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00000000-0000-0000-0000-000000000000}"/>
  <workbookPr showInkAnnotation="0" codeName="ThisWorkbook" autoCompressPictures="0"/>
  <bookViews>
    <workbookView xWindow="480" yWindow="180" windowWidth="33140" windowHeight="24800" tabRatio="500" activeTab="4"/>
  </bookViews>
  <sheets>
    <sheet name="csv import" sheetId="6" r:id="rId1"/>
    <sheet name="From DB" sheetId="7" r:id="rId2"/>
    <sheet name="new_list" sheetId="14" r:id="rId3"/>
    <sheet name="wa_2" sheetId="23" r:id="rId4"/>
    <sheet name="final" sheetId="9" r:id="rId5"/>
    <sheet name="format" sheetId="12" r:id="rId6"/>
    <sheet name="MLF_WA" sheetId="25" r:id="rId7"/>
    <sheet name="MLF12" sheetId="19" r:id="rId8"/>
    <sheet name="MLF14" sheetId="17" r:id="rId9"/>
    <sheet name="MLF16" sheetId="16" r:id="rId10"/>
    <sheet name="MLF18" sheetId="15" r:id="rId11"/>
    <sheet name="MLF20" sheetId="13" r:id="rId12"/>
    <sheet name="ref" sheetId="18" r:id="rId13"/>
  </sheets>
  <definedNames>
    <definedName name="_xlnm._FilterDatabase" localSheetId="0" hidden="1">'csv import'!$A$1:$Q$253</definedName>
    <definedName name="_xlnm._FilterDatabase" localSheetId="4" hidden="1">final!$A$1:$AB$352</definedName>
    <definedName name="_xlnm._FilterDatabase" localSheetId="1" hidden="1">'From DB'!$A$1:$M$339</definedName>
    <definedName name="_xlnm._FilterDatabase" localSheetId="6" hidden="1">MLF_WA!$A$1:$E$174</definedName>
    <definedName name="_xlnm._FilterDatabase" localSheetId="7" hidden="1">'MLF12'!$A$1:$G$337</definedName>
    <definedName name="_xlnm._FilterDatabase" localSheetId="8" hidden="1">'MLF14'!$A$1:$G$336</definedName>
    <definedName name="_xlnm._FilterDatabase" localSheetId="10" hidden="1">'MLF18'!$A$1:$G$354</definedName>
    <definedName name="_xlnm._FilterDatabase" localSheetId="11" hidden="1">'MLF20'!$A$1:$L$389</definedName>
    <definedName name="_xlnm._FilterDatabase" localSheetId="2" hidden="1">new_list!$A$1:$Q$468</definedName>
    <definedName name="plant_ref" localSheetId="1">'From DB'!$A$1:$L$339</definedName>
    <definedName name="temp_generator_output" localSheetId="0">'csv import'!$A$1:$Q$253</definedName>
    <definedName name="wa_generators" localSheetId="3">wa_2!$E$1:$P$68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53" i="9" l="1"/>
  <c r="T353" i="9"/>
  <c r="U353" i="9"/>
  <c r="V353" i="9"/>
  <c r="W353" i="9"/>
  <c r="X353" i="9"/>
  <c r="Y353" i="9"/>
  <c r="Z353" i="9"/>
  <c r="S354" i="9"/>
  <c r="T354" i="9"/>
  <c r="U354" i="9"/>
  <c r="V354" i="9"/>
  <c r="W354" i="9"/>
  <c r="X354" i="9"/>
  <c r="Y354" i="9"/>
  <c r="Z354" i="9"/>
  <c r="S355" i="9"/>
  <c r="T355" i="9"/>
  <c r="U355" i="9"/>
  <c r="V355" i="9"/>
  <c r="W355" i="9"/>
  <c r="X355" i="9"/>
  <c r="Y355" i="9"/>
  <c r="Z355" i="9"/>
  <c r="S356" i="9"/>
  <c r="T356" i="9"/>
  <c r="U356" i="9"/>
  <c r="V356" i="9"/>
  <c r="W356" i="9"/>
  <c r="X356" i="9"/>
  <c r="Y356" i="9"/>
  <c r="Z356" i="9"/>
  <c r="S357" i="9"/>
  <c r="T357" i="9"/>
  <c r="U357" i="9"/>
  <c r="V357" i="9"/>
  <c r="W357" i="9"/>
  <c r="X357" i="9"/>
  <c r="Y357" i="9"/>
  <c r="Z357" i="9"/>
  <c r="S358" i="9"/>
  <c r="T358" i="9"/>
  <c r="U358" i="9"/>
  <c r="V358" i="9"/>
  <c r="W358" i="9"/>
  <c r="X358" i="9"/>
  <c r="Y358" i="9"/>
  <c r="Z358" i="9"/>
  <c r="S360" i="9"/>
  <c r="T360" i="9"/>
  <c r="U360" i="9"/>
  <c r="V360" i="9"/>
  <c r="W360" i="9"/>
  <c r="X360" i="9"/>
  <c r="Y360" i="9"/>
  <c r="Z360" i="9"/>
  <c r="S361" i="9"/>
  <c r="T361" i="9"/>
  <c r="U361" i="9"/>
  <c r="V361" i="9"/>
  <c r="W361" i="9"/>
  <c r="X361" i="9"/>
  <c r="Y361" i="9"/>
  <c r="Z361" i="9"/>
  <c r="S362" i="9"/>
  <c r="T362" i="9"/>
  <c r="U362" i="9"/>
  <c r="V362" i="9"/>
  <c r="W362" i="9"/>
  <c r="X362" i="9"/>
  <c r="Y362" i="9"/>
  <c r="Z362" i="9"/>
  <c r="S363" i="9"/>
  <c r="T363" i="9"/>
  <c r="U363" i="9"/>
  <c r="V363" i="9"/>
  <c r="W363" i="9"/>
  <c r="X363" i="9"/>
  <c r="Y363" i="9"/>
  <c r="Z363" i="9"/>
  <c r="S364" i="9"/>
  <c r="T364" i="9"/>
  <c r="U364" i="9"/>
  <c r="V364" i="9"/>
  <c r="W364" i="9"/>
  <c r="X364" i="9"/>
  <c r="Y364" i="9"/>
  <c r="Z364" i="9"/>
  <c r="S365" i="9"/>
  <c r="T365" i="9"/>
  <c r="U365" i="9"/>
  <c r="V365" i="9"/>
  <c r="W365" i="9"/>
  <c r="X365" i="9"/>
  <c r="Y365" i="9"/>
  <c r="Z365" i="9"/>
  <c r="U366" i="9"/>
  <c r="V366" i="9"/>
  <c r="W366" i="9"/>
  <c r="X366" i="9"/>
  <c r="Y366" i="9"/>
  <c r="Z366" i="9"/>
  <c r="S367" i="9"/>
  <c r="T367" i="9"/>
  <c r="U367" i="9"/>
  <c r="V367" i="9"/>
  <c r="W367" i="9"/>
  <c r="X367" i="9"/>
  <c r="Y367" i="9"/>
  <c r="Z367" i="9"/>
  <c r="S368" i="9"/>
  <c r="T368" i="9"/>
  <c r="U368" i="9"/>
  <c r="V368" i="9"/>
  <c r="W368" i="9"/>
  <c r="X368" i="9"/>
  <c r="Y368" i="9"/>
  <c r="Z368" i="9"/>
  <c r="S369" i="9"/>
  <c r="T369" i="9"/>
  <c r="U369" i="9"/>
  <c r="V369" i="9"/>
  <c r="W369" i="9"/>
  <c r="X369" i="9"/>
  <c r="Y369" i="9"/>
  <c r="Z369" i="9"/>
  <c r="S370" i="9"/>
  <c r="T370" i="9"/>
  <c r="U370" i="9"/>
  <c r="V370" i="9"/>
  <c r="W370" i="9"/>
  <c r="X370" i="9"/>
  <c r="Y370" i="9"/>
  <c r="Z370" i="9"/>
  <c r="S371" i="9"/>
  <c r="T371" i="9"/>
  <c r="U371" i="9"/>
  <c r="V371" i="9"/>
  <c r="W371" i="9"/>
  <c r="X371" i="9"/>
  <c r="Y371" i="9"/>
  <c r="Z371" i="9"/>
  <c r="S372" i="9"/>
  <c r="T372" i="9"/>
  <c r="U372" i="9"/>
  <c r="V372" i="9"/>
  <c r="W372" i="9"/>
  <c r="X372" i="9"/>
  <c r="Y372" i="9"/>
  <c r="Z372" i="9"/>
  <c r="S373" i="9"/>
  <c r="T373" i="9"/>
  <c r="U373" i="9"/>
  <c r="V373" i="9"/>
  <c r="W373" i="9"/>
  <c r="X373" i="9"/>
  <c r="Y373" i="9"/>
  <c r="Z373" i="9"/>
  <c r="S374" i="9"/>
  <c r="T374" i="9"/>
  <c r="U374" i="9"/>
  <c r="V374" i="9"/>
  <c r="W374" i="9"/>
  <c r="X374" i="9"/>
  <c r="Y374" i="9"/>
  <c r="Z374" i="9"/>
  <c r="S375" i="9"/>
  <c r="T375" i="9"/>
  <c r="U375" i="9"/>
  <c r="V375" i="9"/>
  <c r="W375" i="9"/>
  <c r="X375" i="9"/>
  <c r="Y375" i="9"/>
  <c r="Z375" i="9"/>
  <c r="S376" i="9"/>
  <c r="T376" i="9"/>
  <c r="U376" i="9"/>
  <c r="V376" i="9"/>
  <c r="W376" i="9"/>
  <c r="X376" i="9"/>
  <c r="Y376" i="9"/>
  <c r="Z376" i="9"/>
  <c r="S377" i="9"/>
  <c r="T377" i="9"/>
  <c r="U377" i="9"/>
  <c r="V377" i="9"/>
  <c r="W377" i="9"/>
  <c r="X377" i="9"/>
  <c r="Y377" i="9"/>
  <c r="Z377" i="9"/>
  <c r="S378" i="9"/>
  <c r="T378" i="9"/>
  <c r="U378" i="9"/>
  <c r="V378" i="9"/>
  <c r="W378" i="9"/>
  <c r="X378" i="9"/>
  <c r="Y378" i="9"/>
  <c r="Z378" i="9"/>
  <c r="V379" i="9"/>
  <c r="W379" i="9"/>
  <c r="X379" i="9"/>
  <c r="Y379" i="9"/>
  <c r="Z379" i="9"/>
  <c r="V380" i="9"/>
  <c r="W380" i="9"/>
  <c r="X380" i="9"/>
  <c r="Y380" i="9"/>
  <c r="Z380" i="9"/>
  <c r="S381" i="9"/>
  <c r="T381" i="9"/>
  <c r="U381" i="9"/>
  <c r="V381" i="9"/>
  <c r="W381" i="9"/>
  <c r="X381" i="9"/>
  <c r="Y381" i="9"/>
  <c r="Z381" i="9"/>
  <c r="S382" i="9"/>
  <c r="T382" i="9"/>
  <c r="U382" i="9"/>
  <c r="V382" i="9"/>
  <c r="W382" i="9"/>
  <c r="X382" i="9"/>
  <c r="Y382" i="9"/>
  <c r="Z382" i="9"/>
  <c r="S383" i="9"/>
  <c r="T383" i="9"/>
  <c r="U383" i="9"/>
  <c r="V383" i="9"/>
  <c r="W383" i="9"/>
  <c r="X383" i="9"/>
  <c r="Y383" i="9"/>
  <c r="Z383" i="9"/>
  <c r="S384" i="9"/>
  <c r="T384" i="9"/>
  <c r="U384" i="9"/>
  <c r="V384" i="9"/>
  <c r="W384" i="9"/>
  <c r="X384" i="9"/>
  <c r="Y384" i="9"/>
  <c r="Z384" i="9"/>
  <c r="S385" i="9"/>
  <c r="T385" i="9"/>
  <c r="U385" i="9"/>
  <c r="V385" i="9"/>
  <c r="W385" i="9"/>
  <c r="X385" i="9"/>
  <c r="Y385" i="9"/>
  <c r="Z385" i="9"/>
  <c r="S386" i="9"/>
  <c r="T386" i="9"/>
  <c r="U386" i="9"/>
  <c r="V386" i="9"/>
  <c r="W386" i="9"/>
  <c r="X386" i="9"/>
  <c r="Y386" i="9"/>
  <c r="Z386" i="9"/>
  <c r="S387" i="9"/>
  <c r="T387" i="9"/>
  <c r="U387" i="9"/>
  <c r="V387" i="9"/>
  <c r="W387" i="9"/>
  <c r="X387" i="9"/>
  <c r="Y387" i="9"/>
  <c r="Z387" i="9"/>
  <c r="S388" i="9"/>
  <c r="T388" i="9"/>
  <c r="U388" i="9"/>
  <c r="V388" i="9"/>
  <c r="W388" i="9"/>
  <c r="X388" i="9"/>
  <c r="Y388" i="9"/>
  <c r="Z388" i="9"/>
  <c r="S389" i="9"/>
  <c r="T389" i="9"/>
  <c r="U389" i="9"/>
  <c r="V389" i="9"/>
  <c r="W389" i="9"/>
  <c r="X389" i="9"/>
  <c r="Y389" i="9"/>
  <c r="Z389" i="9"/>
  <c r="S390" i="9"/>
  <c r="T390" i="9"/>
  <c r="U390" i="9"/>
  <c r="V390" i="9"/>
  <c r="W390" i="9"/>
  <c r="X390" i="9"/>
  <c r="Y390" i="9"/>
  <c r="Z390" i="9"/>
  <c r="S391" i="9"/>
  <c r="T391" i="9"/>
  <c r="U391" i="9"/>
  <c r="V391" i="9"/>
  <c r="W391" i="9"/>
  <c r="X391" i="9"/>
  <c r="Y391" i="9"/>
  <c r="Z391" i="9"/>
  <c r="S392" i="9"/>
  <c r="T392" i="9"/>
  <c r="U392" i="9"/>
  <c r="V392" i="9"/>
  <c r="W392" i="9"/>
  <c r="X392" i="9"/>
  <c r="Y392" i="9"/>
  <c r="Z392" i="9"/>
  <c r="S393" i="9"/>
  <c r="T393" i="9"/>
  <c r="U393" i="9"/>
  <c r="V393" i="9"/>
  <c r="W393" i="9"/>
  <c r="X393" i="9"/>
  <c r="Y393" i="9"/>
  <c r="Z393" i="9"/>
  <c r="S394" i="9"/>
  <c r="T394" i="9"/>
  <c r="U394" i="9"/>
  <c r="V394" i="9"/>
  <c r="W394" i="9"/>
  <c r="X394" i="9"/>
  <c r="Y394" i="9"/>
  <c r="Z394" i="9"/>
  <c r="S396" i="9"/>
  <c r="T396" i="9"/>
  <c r="U396" i="9"/>
  <c r="V396" i="9"/>
  <c r="W396" i="9"/>
  <c r="X396" i="9"/>
  <c r="Y396" i="9"/>
  <c r="Z396" i="9"/>
  <c r="S397" i="9"/>
  <c r="T397" i="9"/>
  <c r="U397" i="9"/>
  <c r="V397" i="9"/>
  <c r="W397" i="9"/>
  <c r="X397" i="9"/>
  <c r="Y397" i="9"/>
  <c r="Z397" i="9"/>
  <c r="E176" i="25"/>
  <c r="F176" i="25"/>
  <c r="E177" i="25"/>
  <c r="F177" i="25"/>
  <c r="E178" i="25"/>
  <c r="F178" i="25"/>
  <c r="E179" i="25"/>
  <c r="F179" i="25"/>
  <c r="E180" i="25"/>
  <c r="F180" i="25"/>
  <c r="E181" i="25"/>
  <c r="F181" i="25"/>
  <c r="E182" i="25"/>
  <c r="F182" i="25"/>
  <c r="E183" i="25"/>
  <c r="F183" i="25"/>
  <c r="E184" i="25"/>
  <c r="F184" i="25"/>
  <c r="E185" i="25"/>
  <c r="F185" i="25"/>
  <c r="E186" i="25"/>
  <c r="F186" i="25"/>
  <c r="E187" i="25"/>
  <c r="F187" i="25"/>
  <c r="E188" i="25"/>
  <c r="F188" i="25"/>
  <c r="E189" i="25"/>
  <c r="F189" i="25"/>
  <c r="E190" i="25"/>
  <c r="F190" i="25"/>
  <c r="E191" i="25"/>
  <c r="F191" i="25"/>
  <c r="E192" i="25"/>
  <c r="F192" i="25"/>
  <c r="E193" i="25"/>
  <c r="F193" i="25"/>
  <c r="E194" i="25"/>
  <c r="F194" i="25"/>
  <c r="E195" i="25"/>
  <c r="F195" i="25"/>
  <c r="E196" i="25"/>
  <c r="F196" i="25"/>
  <c r="E197" i="25"/>
  <c r="F197" i="25"/>
  <c r="E198" i="25"/>
  <c r="F198" i="25"/>
  <c r="E199" i="25"/>
  <c r="F199" i="25"/>
  <c r="E200" i="25"/>
  <c r="F200" i="25"/>
  <c r="E201" i="25"/>
  <c r="F201" i="25"/>
  <c r="E202" i="25"/>
  <c r="F202" i="25"/>
  <c r="E203" i="25"/>
  <c r="F203" i="25"/>
  <c r="E204" i="25"/>
  <c r="F204" i="25"/>
  <c r="E205" i="25"/>
  <c r="F205" i="25"/>
  <c r="E206" i="25"/>
  <c r="F206" i="25"/>
  <c r="E207" i="25"/>
  <c r="F207" i="25"/>
  <c r="E208" i="25"/>
  <c r="F208" i="25"/>
  <c r="E209" i="25"/>
  <c r="F209" i="25"/>
  <c r="E210" i="25"/>
  <c r="F210" i="25"/>
  <c r="E211" i="25"/>
  <c r="F211" i="25"/>
  <c r="E212" i="25"/>
  <c r="F212" i="25"/>
  <c r="E213" i="25"/>
  <c r="F213" i="25"/>
  <c r="E214" i="25"/>
  <c r="F214" i="25"/>
  <c r="E215" i="25"/>
  <c r="F215" i="25"/>
  <c r="E216" i="25"/>
  <c r="F216" i="25"/>
  <c r="E217" i="25"/>
  <c r="F217" i="25"/>
  <c r="E218" i="25"/>
  <c r="F218" i="25"/>
  <c r="E219" i="25"/>
  <c r="F219" i="25"/>
  <c r="E220" i="25"/>
  <c r="F220" i="25"/>
  <c r="E221" i="25"/>
  <c r="F221" i="25"/>
  <c r="E222" i="25"/>
  <c r="F222" i="25"/>
  <c r="E223" i="25"/>
  <c r="F223" i="25"/>
  <c r="E224" i="25"/>
  <c r="F224" i="25"/>
  <c r="E225" i="25"/>
  <c r="F225" i="25"/>
  <c r="E226" i="25"/>
  <c r="F226" i="25"/>
  <c r="E227" i="25"/>
  <c r="F227" i="25"/>
  <c r="E228" i="25"/>
  <c r="F228" i="25"/>
  <c r="E229" i="25"/>
  <c r="F229" i="25"/>
  <c r="E230" i="25"/>
  <c r="F230" i="25"/>
  <c r="E231" i="25"/>
  <c r="F231" i="25"/>
  <c r="E232" i="25"/>
  <c r="F232" i="25"/>
  <c r="E233" i="25"/>
  <c r="F233" i="25"/>
  <c r="E234" i="25"/>
  <c r="F234" i="25"/>
  <c r="E235" i="25"/>
  <c r="F235" i="25"/>
  <c r="E236" i="25"/>
  <c r="F236" i="25"/>
  <c r="E237" i="25"/>
  <c r="F237" i="25"/>
  <c r="E238" i="25"/>
  <c r="F238" i="25"/>
  <c r="E239" i="25"/>
  <c r="F239" i="25"/>
  <c r="E240" i="25"/>
  <c r="F240" i="25"/>
  <c r="E241" i="25"/>
  <c r="F241" i="25"/>
  <c r="E242" i="25"/>
  <c r="F242" i="25"/>
  <c r="E243" i="25"/>
  <c r="F243" i="25"/>
  <c r="E244" i="25"/>
  <c r="F244" i="25"/>
  <c r="E245" i="25"/>
  <c r="F245" i="25"/>
  <c r="E246" i="25"/>
  <c r="F246" i="25"/>
  <c r="E247" i="25"/>
  <c r="F247" i="25"/>
  <c r="E248" i="25"/>
  <c r="F248" i="25"/>
  <c r="E249" i="25"/>
  <c r="F249" i="25"/>
  <c r="E250" i="25"/>
  <c r="F250" i="25"/>
  <c r="E251" i="25"/>
  <c r="F251" i="25"/>
  <c r="E252" i="25"/>
  <c r="F252" i="25"/>
  <c r="E253" i="25"/>
  <c r="F253" i="25"/>
  <c r="E254" i="25"/>
  <c r="F254" i="25"/>
  <c r="E255" i="25"/>
  <c r="F255" i="25"/>
  <c r="E256" i="25"/>
  <c r="F256" i="25"/>
  <c r="E257" i="25"/>
  <c r="F257" i="25"/>
  <c r="E258" i="25"/>
  <c r="F258" i="25"/>
  <c r="E259" i="25"/>
  <c r="F259" i="25"/>
  <c r="E260" i="25"/>
  <c r="F260" i="25"/>
  <c r="E261" i="25"/>
  <c r="F261" i="25"/>
  <c r="E262" i="25"/>
  <c r="F262" i="25"/>
  <c r="E263" i="25"/>
  <c r="F263" i="25"/>
  <c r="E264" i="25"/>
  <c r="F264" i="25"/>
  <c r="E265" i="25"/>
  <c r="F265" i="25"/>
  <c r="E266" i="25"/>
  <c r="F266" i="25"/>
  <c r="E267" i="25"/>
  <c r="F267" i="25"/>
  <c r="E268" i="25"/>
  <c r="F268" i="25"/>
  <c r="E269" i="25"/>
  <c r="F269" i="25"/>
  <c r="E270" i="25"/>
  <c r="F270" i="25"/>
  <c r="E271" i="25"/>
  <c r="F271" i="25"/>
  <c r="E272" i="25"/>
  <c r="F272" i="25"/>
  <c r="E273" i="25"/>
  <c r="F273" i="25"/>
  <c r="E274" i="25"/>
  <c r="F274" i="25"/>
  <c r="E275" i="25"/>
  <c r="F275" i="25"/>
  <c r="E276" i="25"/>
  <c r="F276" i="25"/>
  <c r="E277" i="25"/>
  <c r="F277" i="25"/>
  <c r="E278" i="25"/>
  <c r="F278" i="25"/>
  <c r="E279" i="25"/>
  <c r="F279" i="25"/>
  <c r="E280" i="25"/>
  <c r="F280" i="25"/>
  <c r="E281" i="25"/>
  <c r="F281" i="25"/>
  <c r="E282" i="25"/>
  <c r="F282" i="25"/>
  <c r="E283" i="25"/>
  <c r="F283" i="25"/>
  <c r="E284" i="25"/>
  <c r="F284" i="25"/>
  <c r="E285" i="25"/>
  <c r="F285" i="25"/>
  <c r="E286" i="25"/>
  <c r="F286" i="25"/>
  <c r="E287" i="25"/>
  <c r="F287" i="25"/>
  <c r="E288" i="25"/>
  <c r="F288" i="25"/>
  <c r="E289" i="25"/>
  <c r="F289" i="25"/>
  <c r="E290" i="25"/>
  <c r="F290" i="25"/>
  <c r="E291" i="25"/>
  <c r="F291" i="25"/>
  <c r="E292" i="25"/>
  <c r="F292" i="25"/>
  <c r="E293" i="25"/>
  <c r="F293" i="25"/>
  <c r="E294" i="25"/>
  <c r="F294" i="25"/>
  <c r="E295" i="25"/>
  <c r="F295" i="25"/>
  <c r="E296" i="25"/>
  <c r="F296" i="25"/>
  <c r="E297" i="25"/>
  <c r="F297" i="25"/>
  <c r="E298" i="25"/>
  <c r="F298" i="25"/>
  <c r="E299" i="25"/>
  <c r="F299" i="25"/>
  <c r="E300" i="25"/>
  <c r="F300" i="25"/>
  <c r="E301" i="25"/>
  <c r="F301" i="25"/>
  <c r="E302" i="25"/>
  <c r="F302" i="25"/>
  <c r="E303" i="25"/>
  <c r="F303" i="25"/>
  <c r="E304" i="25"/>
  <c r="F304" i="25"/>
  <c r="E305" i="25"/>
  <c r="F305" i="25"/>
  <c r="E306" i="25"/>
  <c r="F306" i="25"/>
  <c r="E307" i="25"/>
  <c r="F307" i="25"/>
  <c r="E308" i="25"/>
  <c r="F308" i="25"/>
  <c r="E309" i="25"/>
  <c r="F309" i="25"/>
  <c r="E310" i="25"/>
  <c r="F310" i="25"/>
  <c r="E311" i="25"/>
  <c r="F311" i="25"/>
  <c r="E312" i="25"/>
  <c r="F312" i="25"/>
  <c r="E313" i="25"/>
  <c r="F313" i="25"/>
  <c r="E314" i="25"/>
  <c r="F314" i="25"/>
  <c r="E315" i="25"/>
  <c r="F315" i="25"/>
  <c r="E316" i="25"/>
  <c r="F316" i="25"/>
  <c r="E317" i="25"/>
  <c r="F317" i="25"/>
  <c r="E318" i="25"/>
  <c r="F318" i="25"/>
  <c r="E319" i="25"/>
  <c r="F319" i="25"/>
  <c r="E320" i="25"/>
  <c r="F320" i="25"/>
  <c r="E321" i="25"/>
  <c r="F321" i="25"/>
  <c r="E322" i="25"/>
  <c r="F322" i="25"/>
  <c r="E323" i="25"/>
  <c r="F323" i="25"/>
  <c r="E324" i="25"/>
  <c r="F324" i="25"/>
  <c r="E325" i="25"/>
  <c r="F325" i="25"/>
  <c r="E326" i="25"/>
  <c r="F326" i="25"/>
  <c r="E327" i="25"/>
  <c r="F327" i="25"/>
  <c r="E328" i="25"/>
  <c r="F328" i="25"/>
  <c r="E329" i="25"/>
  <c r="F329" i="25"/>
  <c r="E330" i="25"/>
  <c r="F330" i="25"/>
  <c r="E331" i="25"/>
  <c r="F331" i="25"/>
  <c r="E332" i="25"/>
  <c r="F332" i="25"/>
  <c r="E333" i="25"/>
  <c r="F333" i="25"/>
  <c r="E334" i="25"/>
  <c r="F334" i="25"/>
  <c r="E335" i="25"/>
  <c r="F335" i="25"/>
  <c r="E336" i="25"/>
  <c r="F336" i="25"/>
  <c r="E337" i="25"/>
  <c r="F337" i="25"/>
  <c r="E338" i="25"/>
  <c r="F338" i="25"/>
  <c r="E339" i="25"/>
  <c r="F339" i="25"/>
  <c r="E340" i="25"/>
  <c r="F340" i="25"/>
  <c r="E341" i="25"/>
  <c r="F341" i="25"/>
  <c r="E342" i="25"/>
  <c r="F342" i="25"/>
  <c r="E343" i="25"/>
  <c r="F343" i="25"/>
  <c r="E344" i="25"/>
  <c r="F344" i="25"/>
  <c r="E345" i="25"/>
  <c r="F345" i="25"/>
  <c r="E346" i="25"/>
  <c r="F346" i="25"/>
  <c r="E347" i="25"/>
  <c r="F347" i="25"/>
  <c r="E348" i="25"/>
  <c r="F348" i="25"/>
  <c r="E349" i="25"/>
  <c r="F349" i="25"/>
  <c r="E350" i="25"/>
  <c r="F350" i="25"/>
  <c r="E351" i="25"/>
  <c r="F351" i="25"/>
  <c r="E352" i="25"/>
  <c r="F352" i="25"/>
  <c r="E353" i="25"/>
  <c r="F353" i="25"/>
  <c r="E354" i="25"/>
  <c r="F354" i="25"/>
  <c r="E355" i="25"/>
  <c r="F355" i="25"/>
  <c r="E356" i="25"/>
  <c r="F356" i="25"/>
  <c r="E357" i="25"/>
  <c r="F357" i="25"/>
  <c r="E358" i="25"/>
  <c r="F358" i="25"/>
  <c r="E359" i="25"/>
  <c r="F359" i="25"/>
  <c r="E360" i="25"/>
  <c r="F360" i="25"/>
  <c r="E361" i="25"/>
  <c r="F361" i="25"/>
  <c r="E362" i="25"/>
  <c r="F362" i="25"/>
  <c r="E363" i="25"/>
  <c r="F363" i="25"/>
  <c r="E364" i="25"/>
  <c r="F364" i="25"/>
  <c r="E365" i="25"/>
  <c r="F365" i="25"/>
  <c r="E366" i="25"/>
  <c r="F366" i="25"/>
  <c r="E367" i="25"/>
  <c r="F367" i="25"/>
  <c r="E368" i="25"/>
  <c r="F368" i="25"/>
  <c r="E369" i="25"/>
  <c r="F369" i="25"/>
  <c r="E370" i="25"/>
  <c r="F370" i="25"/>
  <c r="E371" i="25"/>
  <c r="F371" i="25"/>
  <c r="E372" i="25"/>
  <c r="F372" i="25"/>
  <c r="E373" i="25"/>
  <c r="F373" i="25"/>
  <c r="E374" i="25"/>
  <c r="F374" i="25"/>
  <c r="E375" i="25"/>
  <c r="F375" i="25"/>
  <c r="E376" i="25"/>
  <c r="F376" i="25"/>
  <c r="E377" i="25"/>
  <c r="F377" i="25"/>
  <c r="E378" i="25"/>
  <c r="F378" i="25"/>
  <c r="E379" i="25"/>
  <c r="F379" i="25"/>
  <c r="E380" i="25"/>
  <c r="F380" i="25"/>
  <c r="E381" i="25"/>
  <c r="F381" i="25"/>
  <c r="E382" i="25"/>
  <c r="F382" i="25"/>
  <c r="E383" i="25"/>
  <c r="F383" i="25"/>
  <c r="E384" i="25"/>
  <c r="F384" i="25"/>
  <c r="E385" i="25"/>
  <c r="F385" i="25"/>
  <c r="E386" i="25"/>
  <c r="F386" i="25"/>
  <c r="E387" i="25"/>
  <c r="F387" i="25"/>
  <c r="E388" i="25"/>
  <c r="F388" i="25"/>
  <c r="E389" i="25"/>
  <c r="F389" i="25"/>
  <c r="E390" i="25"/>
  <c r="F390" i="25"/>
  <c r="E391" i="25"/>
  <c r="F391" i="25"/>
  <c r="E392" i="25"/>
  <c r="F392" i="25"/>
  <c r="E393" i="25"/>
  <c r="F393" i="25"/>
  <c r="E394" i="25"/>
  <c r="F394" i="25"/>
  <c r="E395" i="25"/>
  <c r="F395" i="25"/>
  <c r="E396" i="25"/>
  <c r="F396" i="25"/>
  <c r="E397" i="25"/>
  <c r="F397" i="25"/>
  <c r="E398" i="25"/>
  <c r="F398" i="25"/>
  <c r="E399" i="25"/>
  <c r="F399" i="25"/>
  <c r="E400" i="25"/>
  <c r="F400" i="25"/>
  <c r="E401" i="25"/>
  <c r="F401" i="25"/>
  <c r="E402" i="25"/>
  <c r="F402" i="25"/>
  <c r="E403" i="25"/>
  <c r="F403" i="25"/>
  <c r="E404" i="25"/>
  <c r="F404" i="25"/>
  <c r="E405" i="25"/>
  <c r="F405" i="25"/>
  <c r="E406" i="25"/>
  <c r="F406" i="25"/>
  <c r="E407" i="25"/>
  <c r="F407" i="25"/>
  <c r="E408" i="25"/>
  <c r="F408" i="25"/>
  <c r="E409" i="25"/>
  <c r="F409" i="25"/>
  <c r="E410" i="25"/>
  <c r="F410" i="25"/>
  <c r="E411" i="25"/>
  <c r="F411" i="25"/>
  <c r="E412" i="25"/>
  <c r="F412" i="25"/>
  <c r="E413" i="25"/>
  <c r="F413" i="25"/>
  <c r="E414" i="25"/>
  <c r="F414" i="25"/>
  <c r="E415" i="25"/>
  <c r="F415" i="25"/>
  <c r="E416" i="25"/>
  <c r="F416" i="25"/>
  <c r="E417" i="25"/>
  <c r="F417" i="25"/>
  <c r="E418" i="25"/>
  <c r="F418" i="25"/>
  <c r="E419" i="25"/>
  <c r="F419" i="25"/>
  <c r="E420" i="25"/>
  <c r="F420" i="25"/>
  <c r="E421" i="25"/>
  <c r="F421" i="25"/>
  <c r="E422" i="25"/>
  <c r="F422" i="25"/>
  <c r="E423" i="25"/>
  <c r="F423" i="25"/>
  <c r="E424" i="25"/>
  <c r="F424" i="25"/>
  <c r="E425" i="25"/>
  <c r="F425" i="25"/>
  <c r="E426" i="25"/>
  <c r="F426" i="25"/>
  <c r="E427" i="25"/>
  <c r="F427" i="25"/>
  <c r="E428" i="25"/>
  <c r="F428" i="25"/>
  <c r="E429" i="25"/>
  <c r="F429" i="25"/>
  <c r="E430" i="25"/>
  <c r="F430" i="25"/>
  <c r="E431" i="25"/>
  <c r="F431" i="25"/>
  <c r="E432" i="25"/>
  <c r="F432" i="25"/>
  <c r="E433" i="25"/>
  <c r="F433" i="25"/>
  <c r="E434" i="25"/>
  <c r="F434" i="25"/>
  <c r="E435" i="25"/>
  <c r="F435" i="25"/>
  <c r="E436" i="25"/>
  <c r="F436" i="25"/>
  <c r="E437" i="25"/>
  <c r="F437" i="25"/>
  <c r="E438" i="25"/>
  <c r="F438" i="25"/>
  <c r="E439" i="25"/>
  <c r="F439" i="25"/>
  <c r="E440" i="25"/>
  <c r="F440" i="25"/>
  <c r="E441" i="25"/>
  <c r="F441" i="25"/>
  <c r="E442" i="25"/>
  <c r="F442" i="25"/>
  <c r="E443" i="25"/>
  <c r="F443" i="25"/>
  <c r="E444" i="25"/>
  <c r="F444" i="25"/>
  <c r="E445" i="25"/>
  <c r="F445" i="25"/>
  <c r="E446" i="25"/>
  <c r="F446" i="25"/>
  <c r="E447" i="25"/>
  <c r="F447" i="25"/>
  <c r="E448" i="25"/>
  <c r="F448" i="25"/>
  <c r="E449" i="25"/>
  <c r="F449" i="25"/>
  <c r="E450" i="25"/>
  <c r="F450" i="25"/>
  <c r="E451" i="25"/>
  <c r="F451" i="25"/>
  <c r="E452" i="25"/>
  <c r="F452" i="25"/>
  <c r="E453" i="25"/>
  <c r="F453" i="25"/>
  <c r="E454" i="25"/>
  <c r="F454" i="25"/>
  <c r="E455" i="25"/>
  <c r="F455" i="25"/>
  <c r="E456" i="25"/>
  <c r="F456" i="25"/>
  <c r="E457" i="25"/>
  <c r="F457" i="25"/>
  <c r="E458" i="25"/>
  <c r="F458" i="25"/>
  <c r="E459" i="25"/>
  <c r="F459" i="25"/>
  <c r="E460" i="25"/>
  <c r="F460" i="25"/>
  <c r="E461" i="25"/>
  <c r="F461" i="25"/>
  <c r="E462" i="25"/>
  <c r="F462" i="25"/>
  <c r="E463" i="25"/>
  <c r="F463" i="25"/>
  <c r="E464" i="25"/>
  <c r="F464" i="25"/>
  <c r="E465" i="25"/>
  <c r="F465" i="25"/>
  <c r="E466" i="25"/>
  <c r="F466" i="25"/>
  <c r="E467" i="25"/>
  <c r="F467" i="25"/>
  <c r="E468" i="25"/>
  <c r="F468" i="25"/>
  <c r="E469" i="25"/>
  <c r="F469" i="25"/>
  <c r="E470" i="25"/>
  <c r="F470" i="25"/>
  <c r="E471" i="25"/>
  <c r="F471" i="25"/>
  <c r="E472" i="25"/>
  <c r="F472" i="25"/>
  <c r="E473" i="25"/>
  <c r="F473" i="25"/>
  <c r="E474" i="25"/>
  <c r="F474" i="25"/>
  <c r="E475" i="25"/>
  <c r="F475" i="25"/>
  <c r="E476" i="25"/>
  <c r="F476" i="25"/>
  <c r="E477" i="25"/>
  <c r="F477" i="25"/>
  <c r="E478" i="25"/>
  <c r="F478" i="25"/>
  <c r="E479" i="25"/>
  <c r="F479" i="25"/>
  <c r="E480" i="25"/>
  <c r="F480" i="25"/>
  <c r="E481" i="25"/>
  <c r="F481" i="25"/>
  <c r="E482" i="25"/>
  <c r="F482" i="25"/>
  <c r="E483" i="25"/>
  <c r="F483" i="25"/>
  <c r="E484" i="25"/>
  <c r="F484" i="25"/>
  <c r="E485" i="25"/>
  <c r="F485" i="25"/>
  <c r="E486" i="25"/>
  <c r="F486" i="25"/>
  <c r="E487" i="25"/>
  <c r="F487" i="25"/>
  <c r="E488" i="25"/>
  <c r="F488" i="25"/>
  <c r="E489" i="25"/>
  <c r="F489" i="25"/>
  <c r="E490" i="25"/>
  <c r="F490" i="25"/>
  <c r="E491" i="25"/>
  <c r="F491" i="25"/>
  <c r="E492" i="25"/>
  <c r="F492" i="25"/>
  <c r="E493" i="25"/>
  <c r="F493" i="25"/>
  <c r="E494" i="25"/>
  <c r="F494" i="25"/>
  <c r="E495" i="25"/>
  <c r="F495" i="25"/>
  <c r="E496" i="25"/>
  <c r="F496" i="25"/>
  <c r="E497" i="25"/>
  <c r="F497" i="25"/>
  <c r="E498" i="25"/>
  <c r="F498" i="25"/>
  <c r="E499" i="25"/>
  <c r="F499" i="25"/>
  <c r="E500" i="25"/>
  <c r="F500" i="25"/>
  <c r="E501" i="25"/>
  <c r="F501" i="25"/>
  <c r="E502" i="25"/>
  <c r="F502" i="25"/>
  <c r="E503" i="25"/>
  <c r="F503" i="25"/>
  <c r="E504" i="25"/>
  <c r="F504" i="25"/>
  <c r="E505" i="25"/>
  <c r="F505" i="25"/>
  <c r="E506" i="25"/>
  <c r="F506" i="25"/>
  <c r="E507" i="25"/>
  <c r="F507" i="25"/>
  <c r="E508" i="25"/>
  <c r="F508" i="25"/>
  <c r="E509" i="25"/>
  <c r="F509" i="25"/>
  <c r="E510" i="25"/>
  <c r="F510" i="25"/>
  <c r="E511" i="25"/>
  <c r="F511" i="25"/>
  <c r="E512" i="25"/>
  <c r="F512" i="25"/>
  <c r="E513" i="25"/>
  <c r="F513" i="25"/>
  <c r="E514" i="25"/>
  <c r="F514" i="25"/>
  <c r="E515" i="25"/>
  <c r="F515" i="25"/>
  <c r="E516" i="25"/>
  <c r="F516" i="25"/>
  <c r="E517" i="25"/>
  <c r="F517" i="25"/>
  <c r="E518" i="25"/>
  <c r="F518" i="25"/>
  <c r="E519" i="25"/>
  <c r="F519" i="25"/>
  <c r="E520" i="25"/>
  <c r="F520" i="25"/>
  <c r="E521" i="25"/>
  <c r="F521" i="25"/>
  <c r="E522" i="25"/>
  <c r="F522" i="25"/>
  <c r="E523" i="25"/>
  <c r="F523" i="25"/>
  <c r="E524" i="25"/>
  <c r="F524" i="25"/>
  <c r="E525" i="25"/>
  <c r="F525" i="25"/>
  <c r="E526" i="25"/>
  <c r="F526" i="25"/>
  <c r="E527" i="25"/>
  <c r="F527" i="25"/>
  <c r="E528" i="25"/>
  <c r="F528" i="25"/>
  <c r="E529" i="25"/>
  <c r="F529" i="25"/>
  <c r="E530" i="25"/>
  <c r="F530" i="25"/>
  <c r="E531" i="25"/>
  <c r="F531" i="25"/>
  <c r="E532" i="25"/>
  <c r="F532" i="25"/>
  <c r="E533" i="25"/>
  <c r="F533" i="25"/>
  <c r="E534" i="25"/>
  <c r="F534" i="25"/>
  <c r="E535" i="25"/>
  <c r="F535" i="25"/>
  <c r="E536" i="25"/>
  <c r="F536" i="25"/>
  <c r="E537" i="25"/>
  <c r="F537" i="25"/>
  <c r="E538" i="25"/>
  <c r="F538" i="25"/>
  <c r="E539" i="25"/>
  <c r="F539" i="25"/>
  <c r="E540" i="25"/>
  <c r="F540" i="25"/>
  <c r="E541" i="25"/>
  <c r="F541" i="25"/>
  <c r="E542" i="25"/>
  <c r="F542" i="25"/>
  <c r="E543" i="25"/>
  <c r="F543" i="25"/>
  <c r="E544" i="25"/>
  <c r="F544" i="25"/>
  <c r="E545" i="25"/>
  <c r="F545" i="25"/>
  <c r="E546" i="25"/>
  <c r="F546" i="25"/>
  <c r="E547" i="25"/>
  <c r="F547" i="25"/>
  <c r="E548" i="25"/>
  <c r="F548" i="25"/>
  <c r="E549" i="25"/>
  <c r="F549" i="25"/>
  <c r="E550" i="25"/>
  <c r="F550" i="25"/>
  <c r="E551" i="25"/>
  <c r="F551" i="25"/>
  <c r="E552" i="25"/>
  <c r="F552" i="25"/>
  <c r="E553" i="25"/>
  <c r="F553" i="25"/>
  <c r="E554" i="25"/>
  <c r="F554" i="25"/>
  <c r="E555" i="25"/>
  <c r="F555" i="25"/>
  <c r="E556" i="25"/>
  <c r="F556" i="25"/>
  <c r="E557" i="25"/>
  <c r="F557" i="25"/>
  <c r="E558" i="25"/>
  <c r="F558" i="25"/>
  <c r="E559" i="25"/>
  <c r="F559" i="25"/>
  <c r="E560" i="25"/>
  <c r="F560" i="25"/>
  <c r="E561" i="25"/>
  <c r="F561" i="25"/>
  <c r="E562" i="25"/>
  <c r="F562" i="25"/>
  <c r="E563" i="25"/>
  <c r="F563" i="25"/>
  <c r="E564" i="25"/>
  <c r="F564" i="25"/>
  <c r="E565" i="25"/>
  <c r="F565" i="25"/>
  <c r="E566" i="25"/>
  <c r="F566" i="25"/>
  <c r="E567" i="25"/>
  <c r="F567" i="25"/>
  <c r="E568" i="25"/>
  <c r="F568" i="25"/>
  <c r="E569" i="25"/>
  <c r="F569" i="25"/>
  <c r="E570" i="25"/>
  <c r="F570" i="25"/>
  <c r="E571" i="25"/>
  <c r="F571" i="25"/>
  <c r="E572" i="25"/>
  <c r="F572" i="25"/>
  <c r="E573" i="25"/>
  <c r="F573" i="25"/>
  <c r="E574" i="25"/>
  <c r="F574" i="25"/>
  <c r="E575" i="25"/>
  <c r="F575" i="25"/>
  <c r="E576" i="25"/>
  <c r="F576" i="25"/>
  <c r="E577" i="25"/>
  <c r="F577" i="25"/>
  <c r="E578" i="25"/>
  <c r="F578" i="25"/>
  <c r="E579" i="25"/>
  <c r="F579" i="25"/>
  <c r="E580" i="25"/>
  <c r="F580" i="25"/>
  <c r="E581" i="25"/>
  <c r="F581" i="25"/>
  <c r="E582" i="25"/>
  <c r="F582" i="25"/>
  <c r="E583" i="25"/>
  <c r="F583" i="25"/>
  <c r="E584" i="25"/>
  <c r="F584" i="25"/>
  <c r="E585" i="25"/>
  <c r="F585" i="25"/>
  <c r="E586" i="25"/>
  <c r="F586" i="25"/>
  <c r="E587" i="25"/>
  <c r="F587" i="25"/>
  <c r="E588" i="25"/>
  <c r="F588" i="25"/>
  <c r="E589" i="25"/>
  <c r="F589" i="25"/>
  <c r="E590" i="25"/>
  <c r="F590" i="25"/>
  <c r="E591" i="25"/>
  <c r="F591" i="25"/>
  <c r="E592" i="25"/>
  <c r="F592" i="25"/>
  <c r="E593" i="25"/>
  <c r="F593" i="25"/>
  <c r="E594" i="25"/>
  <c r="F594" i="25"/>
  <c r="E595" i="25"/>
  <c r="F595" i="25"/>
  <c r="E596" i="25"/>
  <c r="F596" i="25"/>
  <c r="E597" i="25"/>
  <c r="F597" i="25"/>
  <c r="E598" i="25"/>
  <c r="F598" i="25"/>
  <c r="E599" i="25"/>
  <c r="F599" i="25"/>
  <c r="E600" i="25"/>
  <c r="F600" i="25"/>
  <c r="E601" i="25"/>
  <c r="F601" i="25"/>
  <c r="E602" i="25"/>
  <c r="F602" i="25"/>
  <c r="E603" i="25"/>
  <c r="F603" i="25"/>
  <c r="E604" i="25"/>
  <c r="F604" i="25"/>
  <c r="E605" i="25"/>
  <c r="F605" i="25"/>
  <c r="E606" i="25"/>
  <c r="F606" i="25"/>
  <c r="E607" i="25"/>
  <c r="F607" i="25"/>
  <c r="E608" i="25"/>
  <c r="F608" i="25"/>
  <c r="E609" i="25"/>
  <c r="F609" i="25"/>
  <c r="E610" i="25"/>
  <c r="F610" i="25"/>
  <c r="E611" i="25"/>
  <c r="F611" i="25"/>
  <c r="E612" i="25"/>
  <c r="F612" i="25"/>
  <c r="E613" i="25"/>
  <c r="F613" i="25"/>
  <c r="E614" i="25"/>
  <c r="F614" i="25"/>
  <c r="E615" i="25"/>
  <c r="F615" i="25"/>
  <c r="E616" i="25"/>
  <c r="F616" i="25"/>
  <c r="E617" i="25"/>
  <c r="F617" i="25"/>
  <c r="E618" i="25"/>
  <c r="F618" i="25"/>
  <c r="E619" i="25"/>
  <c r="F619" i="25"/>
  <c r="E620" i="25"/>
  <c r="F620" i="25"/>
  <c r="E621" i="25"/>
  <c r="F621" i="25"/>
  <c r="E622" i="25"/>
  <c r="F622" i="25"/>
  <c r="E623" i="25"/>
  <c r="F623" i="25"/>
  <c r="E624" i="25"/>
  <c r="F624" i="25"/>
  <c r="E625" i="25"/>
  <c r="F625" i="25"/>
  <c r="E626" i="25"/>
  <c r="F626" i="25"/>
  <c r="E627" i="25"/>
  <c r="F627" i="25"/>
  <c r="E628" i="25"/>
  <c r="F628" i="25"/>
  <c r="E629" i="25"/>
  <c r="F629" i="25"/>
  <c r="E630" i="25"/>
  <c r="F630" i="25"/>
  <c r="E631" i="25"/>
  <c r="F631" i="25"/>
  <c r="E632" i="25"/>
  <c r="F632" i="25"/>
  <c r="E633" i="25"/>
  <c r="F633" i="25"/>
  <c r="E634" i="25"/>
  <c r="F634" i="25"/>
  <c r="E635" i="25"/>
  <c r="F635" i="25"/>
  <c r="E636" i="25"/>
  <c r="F636" i="25"/>
  <c r="E637" i="25"/>
  <c r="F637" i="25"/>
  <c r="E638" i="25"/>
  <c r="F638" i="25"/>
  <c r="E639" i="25"/>
  <c r="F639" i="25"/>
  <c r="E640" i="25"/>
  <c r="F640" i="25"/>
  <c r="E641" i="25"/>
  <c r="F641" i="25"/>
  <c r="E642" i="25"/>
  <c r="F642" i="25"/>
  <c r="E643" i="25"/>
  <c r="F643" i="25"/>
  <c r="E644" i="25"/>
  <c r="F644" i="25"/>
  <c r="E645" i="25"/>
  <c r="F645" i="25"/>
  <c r="E646" i="25"/>
  <c r="F646" i="25"/>
  <c r="E647" i="25"/>
  <c r="F647" i="25"/>
  <c r="E648" i="25"/>
  <c r="F648" i="25"/>
  <c r="E649" i="25"/>
  <c r="F649" i="25"/>
  <c r="E650" i="25"/>
  <c r="F650" i="25"/>
  <c r="E651" i="25"/>
  <c r="F651" i="25"/>
  <c r="E652" i="25"/>
  <c r="F652" i="25"/>
  <c r="E653" i="25"/>
  <c r="F653" i="25"/>
  <c r="E654" i="25"/>
  <c r="F654" i="25"/>
  <c r="E655" i="25"/>
  <c r="F655" i="25"/>
  <c r="E656" i="25"/>
  <c r="F656" i="25"/>
  <c r="E657" i="25"/>
  <c r="F657" i="25"/>
  <c r="E658" i="25"/>
  <c r="F658" i="25"/>
  <c r="E659" i="25"/>
  <c r="F659" i="25"/>
  <c r="E660" i="25"/>
  <c r="F660" i="25"/>
  <c r="E661" i="25"/>
  <c r="F661" i="25"/>
  <c r="E662" i="25"/>
  <c r="F662" i="25"/>
  <c r="E663" i="25"/>
  <c r="F663" i="25"/>
  <c r="E664" i="25"/>
  <c r="F664" i="25"/>
  <c r="E665" i="25"/>
  <c r="F665" i="25"/>
  <c r="E666" i="25"/>
  <c r="F666" i="25"/>
  <c r="E667" i="25"/>
  <c r="F667" i="25"/>
  <c r="E668" i="25"/>
  <c r="F668" i="25"/>
  <c r="E669" i="25"/>
  <c r="F669" i="25"/>
  <c r="E670" i="25"/>
  <c r="F670" i="25"/>
  <c r="E671" i="25"/>
  <c r="F671" i="25"/>
  <c r="E672" i="25"/>
  <c r="F672" i="25"/>
  <c r="E673" i="25"/>
  <c r="F673" i="25"/>
  <c r="E674" i="25"/>
  <c r="F674" i="25"/>
  <c r="E675" i="25"/>
  <c r="F675" i="25"/>
  <c r="E676" i="25"/>
  <c r="F676" i="25"/>
  <c r="E677" i="25"/>
  <c r="F677" i="25"/>
  <c r="E678" i="25"/>
  <c r="F678" i="25"/>
  <c r="E679" i="25"/>
  <c r="F679" i="25"/>
  <c r="E680" i="25"/>
  <c r="F680" i="25"/>
  <c r="E681" i="25"/>
  <c r="F681" i="25"/>
  <c r="E682" i="25"/>
  <c r="F682" i="25"/>
  <c r="E683" i="25"/>
  <c r="F683" i="25"/>
  <c r="E684" i="25"/>
  <c r="F684" i="25"/>
  <c r="E685" i="25"/>
  <c r="F685" i="25"/>
  <c r="E686" i="25"/>
  <c r="F686" i="25"/>
  <c r="E687" i="25"/>
  <c r="F687" i="25"/>
  <c r="E688" i="25"/>
  <c r="F688" i="25"/>
  <c r="E689" i="25"/>
  <c r="F689" i="25"/>
  <c r="E690" i="25"/>
  <c r="F690" i="25"/>
  <c r="E691" i="25"/>
  <c r="F691" i="25"/>
  <c r="E692" i="25"/>
  <c r="F692" i="25"/>
  <c r="E693" i="25"/>
  <c r="F693" i="25"/>
  <c r="E694" i="25"/>
  <c r="F694" i="25"/>
  <c r="E695" i="25"/>
  <c r="F695" i="25"/>
  <c r="E696" i="25"/>
  <c r="F696" i="25"/>
  <c r="E697" i="25"/>
  <c r="F697" i="25"/>
  <c r="E698" i="25"/>
  <c r="F698" i="25"/>
  <c r="E699" i="25"/>
  <c r="F699" i="25"/>
  <c r="E700" i="25"/>
  <c r="F700" i="25"/>
  <c r="E701" i="25"/>
  <c r="F701" i="25"/>
  <c r="E702" i="25"/>
  <c r="F702" i="25"/>
  <c r="E703" i="25"/>
  <c r="F703" i="25"/>
  <c r="E704" i="25"/>
  <c r="F704" i="25"/>
  <c r="E705" i="25"/>
  <c r="F705" i="25"/>
  <c r="E706" i="25"/>
  <c r="F706" i="25"/>
  <c r="E707" i="25"/>
  <c r="F707" i="25"/>
  <c r="E708" i="25"/>
  <c r="F708" i="25"/>
  <c r="E709" i="25"/>
  <c r="F709" i="25"/>
  <c r="E710" i="25"/>
  <c r="F710" i="25"/>
  <c r="E711" i="25"/>
  <c r="F711" i="25"/>
  <c r="E712" i="25"/>
  <c r="F712" i="25"/>
  <c r="E713" i="25"/>
  <c r="F713" i="25"/>
  <c r="E714" i="25"/>
  <c r="F714" i="25"/>
  <c r="E715" i="25"/>
  <c r="F715" i="25"/>
  <c r="E716" i="25"/>
  <c r="F716" i="25"/>
  <c r="E717" i="25"/>
  <c r="F717" i="25"/>
  <c r="E718" i="25"/>
  <c r="F718" i="25"/>
  <c r="E719" i="25"/>
  <c r="F719" i="25"/>
  <c r="E720" i="25"/>
  <c r="F720" i="25"/>
  <c r="E721" i="25"/>
  <c r="F721" i="25"/>
  <c r="E722" i="25"/>
  <c r="F722" i="25"/>
  <c r="E723" i="25"/>
  <c r="F723" i="25"/>
  <c r="E724" i="25"/>
  <c r="F724" i="25"/>
  <c r="E725" i="25"/>
  <c r="F725" i="25"/>
  <c r="E726" i="25"/>
  <c r="F726" i="25"/>
  <c r="E727" i="25"/>
  <c r="F727" i="25"/>
  <c r="E728" i="25"/>
  <c r="F728" i="25"/>
  <c r="E729" i="25"/>
  <c r="F729" i="25"/>
  <c r="E730" i="25"/>
  <c r="F730" i="25"/>
  <c r="E731" i="25"/>
  <c r="F731" i="25"/>
  <c r="E732" i="25"/>
  <c r="F732" i="25"/>
  <c r="E733" i="25"/>
  <c r="F733" i="25"/>
  <c r="E734" i="25"/>
  <c r="F734" i="25"/>
  <c r="E735" i="25"/>
  <c r="F735" i="25"/>
  <c r="E736" i="25"/>
  <c r="F736" i="25"/>
  <c r="E737" i="25"/>
  <c r="F737" i="25"/>
  <c r="E738" i="25"/>
  <c r="F738" i="25"/>
  <c r="E739" i="25"/>
  <c r="F739" i="25"/>
  <c r="E740" i="25"/>
  <c r="F740" i="25"/>
  <c r="E741" i="25"/>
  <c r="F741" i="25"/>
  <c r="E742" i="25"/>
  <c r="F742" i="25"/>
  <c r="E743" i="25"/>
  <c r="F743" i="25"/>
  <c r="E744" i="25"/>
  <c r="F744" i="25"/>
  <c r="E745" i="25"/>
  <c r="F745" i="25"/>
  <c r="E746" i="25"/>
  <c r="F746" i="25"/>
  <c r="E747" i="25"/>
  <c r="F747" i="25"/>
  <c r="E748" i="25"/>
  <c r="F748" i="25"/>
  <c r="E749" i="25"/>
  <c r="F749" i="25"/>
  <c r="E750" i="25"/>
  <c r="F750" i="25"/>
  <c r="E751" i="25"/>
  <c r="F751" i="25"/>
  <c r="E752" i="25"/>
  <c r="F752" i="25"/>
  <c r="E753" i="25"/>
  <c r="F753" i="25"/>
  <c r="E754" i="25"/>
  <c r="F754" i="25"/>
  <c r="E755" i="25"/>
  <c r="F755" i="25"/>
  <c r="E756" i="25"/>
  <c r="F756" i="25"/>
  <c r="E757" i="25"/>
  <c r="F757" i="25"/>
  <c r="E758" i="25"/>
  <c r="F758" i="25"/>
  <c r="E759" i="25"/>
  <c r="F759" i="25"/>
  <c r="E760" i="25"/>
  <c r="F760" i="25"/>
  <c r="E761" i="25"/>
  <c r="F761" i="25"/>
  <c r="E762" i="25"/>
  <c r="F762" i="25"/>
  <c r="E763" i="25"/>
  <c r="F763" i="25"/>
  <c r="E764" i="25"/>
  <c r="F764" i="25"/>
  <c r="E765" i="25"/>
  <c r="F765" i="25"/>
  <c r="E766" i="25"/>
  <c r="F766" i="25"/>
  <c r="E767" i="25"/>
  <c r="F767" i="25"/>
  <c r="E768" i="25"/>
  <c r="F768" i="25"/>
  <c r="E769" i="25"/>
  <c r="F769" i="25"/>
  <c r="E770" i="25"/>
  <c r="F770" i="25"/>
  <c r="E771" i="25"/>
  <c r="F771" i="25"/>
  <c r="E772" i="25"/>
  <c r="F772" i="25"/>
  <c r="E773" i="25"/>
  <c r="F773" i="25"/>
  <c r="E774" i="25"/>
  <c r="F774" i="25"/>
  <c r="E775" i="25"/>
  <c r="F775" i="25"/>
  <c r="E776" i="25"/>
  <c r="F776" i="25"/>
  <c r="E777" i="25"/>
  <c r="F777" i="25"/>
  <c r="E778" i="25"/>
  <c r="F778" i="25"/>
  <c r="E779" i="25"/>
  <c r="F779" i="25"/>
  <c r="E780" i="25"/>
  <c r="F780" i="25"/>
  <c r="E781" i="25"/>
  <c r="F781" i="25"/>
  <c r="E782" i="25"/>
  <c r="F782" i="25"/>
  <c r="E783" i="25"/>
  <c r="F783" i="25"/>
  <c r="E784" i="25"/>
  <c r="F784" i="25"/>
  <c r="E785" i="25"/>
  <c r="F785" i="25"/>
  <c r="E786" i="25"/>
  <c r="F786" i="25"/>
  <c r="E787" i="25"/>
  <c r="F787" i="25"/>
  <c r="E788" i="25"/>
  <c r="F788" i="25"/>
  <c r="E789" i="25"/>
  <c r="F789" i="25"/>
  <c r="E790" i="25"/>
  <c r="F790" i="25"/>
  <c r="E791" i="25"/>
  <c r="F791" i="25"/>
  <c r="E792" i="25"/>
  <c r="F792" i="25"/>
  <c r="E793" i="25"/>
  <c r="F793" i="25"/>
  <c r="E794" i="25"/>
  <c r="F794" i="25"/>
  <c r="E795" i="25"/>
  <c r="F795" i="25"/>
  <c r="E796" i="25"/>
  <c r="F796" i="25"/>
  <c r="E797" i="25"/>
  <c r="F797" i="25"/>
  <c r="E798" i="25"/>
  <c r="F798" i="25"/>
  <c r="E799" i="25"/>
  <c r="F799" i="25"/>
  <c r="E800" i="25"/>
  <c r="F800" i="25"/>
  <c r="E801" i="25"/>
  <c r="F801" i="25"/>
  <c r="E802" i="25"/>
  <c r="F802" i="25"/>
  <c r="E803" i="25"/>
  <c r="F803" i="25"/>
  <c r="E804" i="25"/>
  <c r="F804" i="25"/>
  <c r="E805" i="25"/>
  <c r="F805" i="25"/>
  <c r="E806" i="25"/>
  <c r="F806" i="25"/>
  <c r="E807" i="25"/>
  <c r="F807" i="25"/>
  <c r="E808" i="25"/>
  <c r="F808" i="25"/>
  <c r="E809" i="25"/>
  <c r="F809" i="25"/>
  <c r="E810" i="25"/>
  <c r="F810" i="25"/>
  <c r="E811" i="25"/>
  <c r="F811" i="25"/>
  <c r="E812" i="25"/>
  <c r="F812" i="25"/>
  <c r="E813" i="25"/>
  <c r="F813" i="25"/>
  <c r="E814" i="25"/>
  <c r="F814" i="25"/>
  <c r="E815" i="25"/>
  <c r="F815" i="25"/>
  <c r="E816" i="25"/>
  <c r="F816" i="25"/>
  <c r="E817" i="25"/>
  <c r="F817" i="25"/>
  <c r="E818" i="25"/>
  <c r="F818" i="25"/>
  <c r="E819" i="25"/>
  <c r="F819" i="25"/>
  <c r="E820" i="25"/>
  <c r="F820" i="25"/>
  <c r="E821" i="25"/>
  <c r="F821" i="25"/>
  <c r="E822" i="25"/>
  <c r="F822" i="25"/>
  <c r="E823" i="25"/>
  <c r="F823" i="25"/>
  <c r="E824" i="25"/>
  <c r="F824" i="25"/>
  <c r="E825" i="25"/>
  <c r="F825" i="25"/>
  <c r="E826" i="25"/>
  <c r="F826" i="25"/>
  <c r="E827" i="25"/>
  <c r="F827" i="25"/>
  <c r="E828" i="25"/>
  <c r="F828" i="25"/>
  <c r="E829" i="25"/>
  <c r="F829" i="25"/>
  <c r="E830" i="25"/>
  <c r="F830" i="25"/>
  <c r="E831" i="25"/>
  <c r="F831" i="25"/>
  <c r="E832" i="25"/>
  <c r="F832" i="25"/>
  <c r="E833" i="25"/>
  <c r="F833" i="25"/>
  <c r="E834" i="25"/>
  <c r="F834" i="25"/>
  <c r="E835" i="25"/>
  <c r="F835" i="25"/>
  <c r="E836" i="25"/>
  <c r="F836" i="25"/>
  <c r="E837" i="25"/>
  <c r="F837" i="25"/>
  <c r="E838" i="25"/>
  <c r="F838" i="25"/>
  <c r="E839" i="25"/>
  <c r="F839" i="25"/>
  <c r="E840" i="25"/>
  <c r="F840" i="25"/>
  <c r="E841" i="25"/>
  <c r="F841" i="25"/>
  <c r="E842" i="25"/>
  <c r="F842" i="25"/>
  <c r="E843" i="25"/>
  <c r="F843" i="25"/>
  <c r="E844" i="25"/>
  <c r="F844" i="25"/>
  <c r="E845" i="25"/>
  <c r="F845" i="25"/>
  <c r="E846" i="25"/>
  <c r="F846" i="25"/>
  <c r="E847" i="25"/>
  <c r="F847" i="25"/>
  <c r="E848" i="25"/>
  <c r="F848" i="25"/>
  <c r="E849" i="25"/>
  <c r="F849" i="25"/>
  <c r="E850" i="25"/>
  <c r="F850" i="25"/>
  <c r="E851" i="25"/>
  <c r="F851" i="25"/>
  <c r="E852" i="25"/>
  <c r="F852" i="25"/>
  <c r="E853" i="25"/>
  <c r="F853" i="25"/>
  <c r="E854" i="25"/>
  <c r="F854" i="25"/>
  <c r="E855" i="25"/>
  <c r="F855" i="25"/>
  <c r="E856" i="25"/>
  <c r="F856" i="25"/>
  <c r="E857" i="25"/>
  <c r="F857" i="25"/>
  <c r="E858" i="25"/>
  <c r="F858" i="25"/>
  <c r="E859" i="25"/>
  <c r="F859" i="25"/>
  <c r="E860" i="25"/>
  <c r="F860" i="25"/>
  <c r="E861" i="25"/>
  <c r="F861" i="25"/>
  <c r="E862" i="25"/>
  <c r="F862" i="25"/>
  <c r="E863" i="25"/>
  <c r="F863" i="25"/>
  <c r="E864" i="25"/>
  <c r="F864" i="25"/>
  <c r="E865" i="25"/>
  <c r="F865" i="25"/>
  <c r="E866" i="25"/>
  <c r="F866" i="25"/>
  <c r="E867" i="25"/>
  <c r="F867" i="25"/>
  <c r="E868" i="25"/>
  <c r="F868" i="25"/>
  <c r="E869" i="25"/>
  <c r="F869" i="25"/>
  <c r="E870" i="25"/>
  <c r="F870" i="25"/>
  <c r="E871" i="25"/>
  <c r="F871" i="25"/>
  <c r="E872" i="25"/>
  <c r="F872" i="25"/>
  <c r="E873" i="25"/>
  <c r="F873" i="25"/>
  <c r="E874" i="25"/>
  <c r="F874" i="25"/>
  <c r="E875" i="25"/>
  <c r="F875" i="25"/>
  <c r="E876" i="25"/>
  <c r="F876" i="25"/>
  <c r="E877" i="25"/>
  <c r="F877" i="25"/>
  <c r="E878" i="25"/>
  <c r="F878" i="25"/>
  <c r="E879" i="25"/>
  <c r="F879" i="25"/>
  <c r="E880" i="25"/>
  <c r="F880" i="25"/>
  <c r="E881" i="25"/>
  <c r="F881" i="25"/>
  <c r="E882" i="25"/>
  <c r="F882" i="25"/>
  <c r="E883" i="25"/>
  <c r="F883" i="25"/>
  <c r="E884" i="25"/>
  <c r="F884" i="25"/>
  <c r="E885" i="25"/>
  <c r="F885" i="25"/>
  <c r="E886" i="25"/>
  <c r="F886" i="25"/>
  <c r="E887" i="25"/>
  <c r="F887" i="25"/>
  <c r="E888" i="25"/>
  <c r="F888" i="25"/>
  <c r="E889" i="25"/>
  <c r="F889" i="25"/>
  <c r="E890" i="25"/>
  <c r="F890" i="25"/>
  <c r="E891" i="25"/>
  <c r="F891" i="25"/>
  <c r="E892" i="25"/>
  <c r="F892" i="25"/>
  <c r="E893" i="25"/>
  <c r="F893" i="25"/>
  <c r="E894" i="25"/>
  <c r="F894" i="25"/>
  <c r="E895" i="25"/>
  <c r="F895" i="25"/>
  <c r="E896" i="25"/>
  <c r="F896" i="25"/>
  <c r="E897" i="25"/>
  <c r="F897" i="25"/>
  <c r="E898" i="25"/>
  <c r="F898" i="25"/>
  <c r="E899" i="25"/>
  <c r="F899" i="25"/>
  <c r="E900" i="25"/>
  <c r="F900" i="25"/>
  <c r="E901" i="25"/>
  <c r="F901" i="25"/>
  <c r="E902" i="25"/>
  <c r="F902" i="25"/>
  <c r="E903" i="25"/>
  <c r="F903" i="25"/>
  <c r="E904" i="25"/>
  <c r="F904" i="25"/>
  <c r="E905" i="25"/>
  <c r="F905" i="25"/>
  <c r="E906" i="25"/>
  <c r="F906" i="25"/>
  <c r="E907" i="25"/>
  <c r="F907" i="25"/>
  <c r="E908" i="25"/>
  <c r="F908" i="25"/>
  <c r="E909" i="25"/>
  <c r="F909" i="25"/>
  <c r="E910" i="25"/>
  <c r="F910" i="25"/>
  <c r="E911" i="25"/>
  <c r="F911" i="25"/>
  <c r="E912" i="25"/>
  <c r="F912" i="25"/>
  <c r="E913" i="25"/>
  <c r="F913" i="25"/>
  <c r="E914" i="25"/>
  <c r="F914" i="25"/>
  <c r="E915" i="25"/>
  <c r="F915" i="25"/>
  <c r="E916" i="25"/>
  <c r="F916" i="25"/>
  <c r="E917" i="25"/>
  <c r="F917" i="25"/>
  <c r="E918" i="25"/>
  <c r="F918" i="25"/>
  <c r="E919" i="25"/>
  <c r="F919" i="25"/>
  <c r="E920" i="25"/>
  <c r="F920" i="25"/>
  <c r="E921" i="25"/>
  <c r="F921" i="25"/>
  <c r="E922" i="25"/>
  <c r="F922" i="25"/>
  <c r="E923" i="25"/>
  <c r="F923" i="25"/>
  <c r="E924" i="25"/>
  <c r="F924" i="25"/>
  <c r="E925" i="25"/>
  <c r="F925" i="25"/>
  <c r="E926" i="25"/>
  <c r="F926" i="25"/>
  <c r="E927" i="25"/>
  <c r="F927" i="25"/>
  <c r="E928" i="25"/>
  <c r="F928" i="25"/>
  <c r="E929" i="25"/>
  <c r="F929" i="25"/>
  <c r="E930" i="25"/>
  <c r="F930" i="25"/>
  <c r="E931" i="25"/>
  <c r="F931" i="25"/>
  <c r="E932" i="25"/>
  <c r="F932" i="25"/>
  <c r="E933" i="25"/>
  <c r="F933" i="25"/>
  <c r="E934" i="25"/>
  <c r="F934" i="25"/>
  <c r="E935" i="25"/>
  <c r="F935" i="25"/>
  <c r="E936" i="25"/>
  <c r="F936" i="25"/>
  <c r="E937" i="25"/>
  <c r="F937" i="25"/>
  <c r="E938" i="25"/>
  <c r="F938" i="25"/>
  <c r="E939" i="25"/>
  <c r="F939" i="25"/>
  <c r="E940" i="25"/>
  <c r="F940" i="25"/>
  <c r="E941" i="25"/>
  <c r="F941" i="25"/>
  <c r="E942" i="25"/>
  <c r="F942" i="25"/>
  <c r="E943" i="25"/>
  <c r="F943" i="25"/>
  <c r="E944" i="25"/>
  <c r="F944" i="25"/>
  <c r="E945" i="25"/>
  <c r="F945" i="25"/>
  <c r="E946" i="25"/>
  <c r="F946" i="25"/>
  <c r="E947" i="25"/>
  <c r="F947" i="25"/>
  <c r="E948" i="25"/>
  <c r="F948" i="25"/>
  <c r="E949" i="25"/>
  <c r="F949" i="25"/>
  <c r="E950" i="25"/>
  <c r="F950" i="25"/>
  <c r="E951" i="25"/>
  <c r="F951" i="25"/>
  <c r="E952" i="25"/>
  <c r="F952" i="25"/>
  <c r="E953" i="25"/>
  <c r="F953" i="25"/>
  <c r="E954" i="25"/>
  <c r="F954" i="25"/>
  <c r="E955" i="25"/>
  <c r="F955" i="25"/>
  <c r="E956" i="25"/>
  <c r="F956" i="25"/>
  <c r="E957" i="25"/>
  <c r="F957" i="25"/>
  <c r="E958" i="25"/>
  <c r="F958" i="25"/>
  <c r="E959" i="25"/>
  <c r="F959" i="25"/>
  <c r="E960" i="25"/>
  <c r="F960" i="25"/>
  <c r="E961" i="25"/>
  <c r="F961" i="25"/>
  <c r="E962" i="25"/>
  <c r="F962" i="25"/>
  <c r="E963" i="25"/>
  <c r="F963" i="25"/>
  <c r="E964" i="25"/>
  <c r="F964" i="25"/>
  <c r="E965" i="25"/>
  <c r="F965" i="25"/>
  <c r="E966" i="25"/>
  <c r="F966" i="25"/>
  <c r="E967" i="25"/>
  <c r="F967" i="25"/>
  <c r="E968" i="25"/>
  <c r="F968" i="25"/>
  <c r="E969" i="25"/>
  <c r="F969" i="25"/>
  <c r="E970" i="25"/>
  <c r="F970" i="25"/>
  <c r="E971" i="25"/>
  <c r="F971" i="25"/>
  <c r="E972" i="25"/>
  <c r="F972" i="25"/>
  <c r="E973" i="25"/>
  <c r="F973" i="25"/>
  <c r="E974" i="25"/>
  <c r="F974" i="25"/>
  <c r="E975" i="25"/>
  <c r="F975" i="25"/>
  <c r="E976" i="25"/>
  <c r="F976" i="25"/>
  <c r="E977" i="25"/>
  <c r="F977" i="25"/>
  <c r="E978" i="25"/>
  <c r="F978" i="25"/>
  <c r="E979" i="25"/>
  <c r="F979" i="25"/>
  <c r="E980" i="25"/>
  <c r="F980" i="25"/>
  <c r="E981" i="25"/>
  <c r="F981" i="25"/>
  <c r="E982" i="25"/>
  <c r="F982" i="25"/>
  <c r="E983" i="25"/>
  <c r="F983" i="25"/>
  <c r="E984" i="25"/>
  <c r="F984" i="25"/>
  <c r="E985" i="25"/>
  <c r="F985" i="25"/>
  <c r="E986" i="25"/>
  <c r="F986" i="25"/>
  <c r="E987" i="25"/>
  <c r="F987" i="25"/>
  <c r="E988" i="25"/>
  <c r="F988" i="25"/>
  <c r="E989" i="25"/>
  <c r="F989" i="25"/>
  <c r="E990" i="25"/>
  <c r="F990" i="25"/>
  <c r="E991" i="25"/>
  <c r="F991" i="25"/>
  <c r="E992" i="25"/>
  <c r="F992" i="25"/>
  <c r="E993" i="25"/>
  <c r="F993" i="25"/>
  <c r="E994" i="25"/>
  <c r="F994" i="25"/>
  <c r="E995" i="25"/>
  <c r="F995" i="25"/>
  <c r="E996" i="25"/>
  <c r="F996" i="25"/>
  <c r="E997" i="25"/>
  <c r="F997" i="25"/>
  <c r="E998" i="25"/>
  <c r="F998" i="25"/>
  <c r="E999" i="25"/>
  <c r="F999" i="25"/>
  <c r="E1000" i="25"/>
  <c r="F1000" i="25"/>
  <c r="E1001" i="25"/>
  <c r="F1001" i="25"/>
  <c r="E1002" i="25"/>
  <c r="F1002" i="25"/>
  <c r="E1003" i="25"/>
  <c r="F1003" i="25"/>
  <c r="E1004" i="25"/>
  <c r="F1004" i="25"/>
  <c r="E1005" i="25"/>
  <c r="F1005" i="25"/>
  <c r="E1006" i="25"/>
  <c r="F1006" i="25"/>
  <c r="E1007" i="25"/>
  <c r="F1007" i="25"/>
  <c r="E1008" i="25"/>
  <c r="F1008" i="25"/>
  <c r="E1009" i="25"/>
  <c r="F1009" i="25"/>
  <c r="E1010" i="25"/>
  <c r="F1010" i="25"/>
  <c r="E1011" i="25"/>
  <c r="F1011" i="25"/>
  <c r="E1012" i="25"/>
  <c r="F1012" i="25"/>
  <c r="E1013" i="25"/>
  <c r="F1013" i="25"/>
  <c r="E1014" i="25"/>
  <c r="F1014" i="25"/>
  <c r="E1015" i="25"/>
  <c r="F1015" i="25"/>
  <c r="E1016" i="25"/>
  <c r="F1016" i="25"/>
  <c r="E1017" i="25"/>
  <c r="F1017" i="25"/>
  <c r="E1018" i="25"/>
  <c r="F1018" i="25"/>
  <c r="E1019" i="25"/>
  <c r="F1019" i="25"/>
  <c r="E1020" i="25"/>
  <c r="F1020" i="25"/>
  <c r="E1021" i="25"/>
  <c r="F1021" i="25"/>
  <c r="E1022" i="25"/>
  <c r="F1022" i="25"/>
  <c r="E1023" i="25"/>
  <c r="F1023" i="25"/>
  <c r="E1024" i="25"/>
  <c r="F1024" i="25"/>
  <c r="E1025" i="25"/>
  <c r="F1025" i="25"/>
  <c r="E1026" i="25"/>
  <c r="F1026" i="25"/>
  <c r="E1027" i="25"/>
  <c r="F1027" i="25"/>
  <c r="E1028" i="25"/>
  <c r="F1028" i="25"/>
  <c r="E1029" i="25"/>
  <c r="F1029" i="25"/>
  <c r="E1030" i="25"/>
  <c r="F1030" i="25"/>
  <c r="E1031" i="25"/>
  <c r="F1031" i="25"/>
  <c r="E1032" i="25"/>
  <c r="F1032" i="25"/>
  <c r="E1033" i="25"/>
  <c r="F1033" i="25"/>
  <c r="E1034" i="25"/>
  <c r="F1034" i="25"/>
  <c r="E1035" i="25"/>
  <c r="F1035" i="25"/>
  <c r="E1036" i="25"/>
  <c r="F1036" i="25"/>
  <c r="E1037" i="25"/>
  <c r="F1037" i="25"/>
  <c r="E1038" i="25"/>
  <c r="F1038" i="25"/>
  <c r="E1039" i="25"/>
  <c r="F1039" i="25"/>
  <c r="E1040" i="25"/>
  <c r="F1040" i="25"/>
  <c r="E1041" i="25"/>
  <c r="F1041" i="25"/>
  <c r="E1042" i="25"/>
  <c r="F1042" i="25"/>
  <c r="E1043" i="25"/>
  <c r="F1043" i="25"/>
  <c r="E1044" i="25"/>
  <c r="F1044" i="25"/>
  <c r="E1045" i="25"/>
  <c r="F1045" i="25"/>
  <c r="E1046" i="25"/>
  <c r="F1046" i="25"/>
  <c r="E1047" i="25"/>
  <c r="F1047" i="25"/>
  <c r="E1048" i="25"/>
  <c r="F1048" i="25"/>
  <c r="E1049" i="25"/>
  <c r="F1049" i="25"/>
  <c r="E1050" i="25"/>
  <c r="F1050" i="25"/>
  <c r="E1051" i="25"/>
  <c r="F1051" i="25"/>
  <c r="E1052" i="25"/>
  <c r="F1052" i="25"/>
  <c r="E1053" i="25"/>
  <c r="F1053" i="25"/>
  <c r="E1054" i="25"/>
  <c r="F1054" i="25"/>
  <c r="E1055" i="25"/>
  <c r="F1055" i="25"/>
  <c r="E1056" i="25"/>
  <c r="F1056" i="25"/>
  <c r="E1057" i="25"/>
  <c r="F1057" i="25"/>
  <c r="E1058" i="25"/>
  <c r="F1058" i="25"/>
  <c r="E1059" i="25"/>
  <c r="F1059" i="25"/>
  <c r="E1060" i="25"/>
  <c r="F1060" i="25"/>
  <c r="E1061" i="25"/>
  <c r="F1061" i="25"/>
  <c r="E1062" i="25"/>
  <c r="F1062" i="25"/>
  <c r="E1063" i="25"/>
  <c r="F1063" i="25"/>
  <c r="E1064" i="25"/>
  <c r="F1064" i="25"/>
  <c r="E1065" i="25"/>
  <c r="F1065" i="25"/>
  <c r="E1066" i="25"/>
  <c r="F1066" i="25"/>
  <c r="E1067" i="25"/>
  <c r="F1067" i="25"/>
  <c r="E1068" i="25"/>
  <c r="F1068" i="25"/>
  <c r="E1069" i="25"/>
  <c r="F1069" i="25"/>
  <c r="E1070" i="25"/>
  <c r="F1070" i="25"/>
  <c r="E1071" i="25"/>
  <c r="F1071" i="25"/>
  <c r="E1072" i="25"/>
  <c r="F1072" i="25"/>
  <c r="E1073" i="25"/>
  <c r="F1073" i="25"/>
  <c r="E1074" i="25"/>
  <c r="F1074" i="25"/>
  <c r="E1075" i="25"/>
  <c r="F1075" i="25"/>
  <c r="E1076" i="25"/>
  <c r="F1076" i="25"/>
  <c r="E1077" i="25"/>
  <c r="F1077" i="25"/>
  <c r="E1078" i="25"/>
  <c r="F1078" i="25"/>
  <c r="E1079" i="25"/>
  <c r="F1079" i="25"/>
  <c r="E1080" i="25"/>
  <c r="F1080" i="25"/>
  <c r="E1081" i="25"/>
  <c r="F1081" i="25"/>
  <c r="E1082" i="25"/>
  <c r="F1082" i="25"/>
  <c r="E1083" i="25"/>
  <c r="F1083" i="25"/>
  <c r="E1084" i="25"/>
  <c r="F1084" i="25"/>
  <c r="E1085" i="25"/>
  <c r="F1085" i="25"/>
  <c r="E1086" i="25"/>
  <c r="F1086" i="25"/>
  <c r="E1087" i="25"/>
  <c r="F1087" i="25"/>
  <c r="E1088" i="25"/>
  <c r="F1088" i="25"/>
  <c r="E1089" i="25"/>
  <c r="F1089" i="25"/>
  <c r="E1090" i="25"/>
  <c r="F1090" i="25"/>
  <c r="E1091" i="25"/>
  <c r="F1091" i="25"/>
  <c r="E1092" i="25"/>
  <c r="F1092" i="25"/>
  <c r="E1093" i="25"/>
  <c r="F1093" i="25"/>
  <c r="E1094" i="25"/>
  <c r="F1094" i="25"/>
  <c r="E1095" i="25"/>
  <c r="F1095" i="25"/>
  <c r="E1096" i="25"/>
  <c r="F1096" i="25"/>
  <c r="E1097" i="25"/>
  <c r="F1097" i="25"/>
  <c r="E1098" i="25"/>
  <c r="F1098" i="25"/>
  <c r="E1099" i="25"/>
  <c r="F1099" i="25"/>
  <c r="E1100" i="25"/>
  <c r="F1100" i="25"/>
  <c r="E1101" i="25"/>
  <c r="F1101" i="25"/>
  <c r="E1102" i="25"/>
  <c r="F1102" i="25"/>
  <c r="E1103" i="25"/>
  <c r="F1103" i="25"/>
  <c r="E1104" i="25"/>
  <c r="F1104" i="25"/>
  <c r="E1105" i="25"/>
  <c r="F1105" i="25"/>
  <c r="E1106" i="25"/>
  <c r="F1106" i="25"/>
  <c r="E1107" i="25"/>
  <c r="F1107" i="25"/>
  <c r="E1108" i="25"/>
  <c r="F1108" i="25"/>
  <c r="E1109" i="25"/>
  <c r="F1109" i="25"/>
  <c r="E1110" i="25"/>
  <c r="F1110" i="25"/>
  <c r="E1111" i="25"/>
  <c r="F1111" i="25"/>
  <c r="E1112" i="25"/>
  <c r="F1112" i="25"/>
  <c r="E1113" i="25"/>
  <c r="F1113" i="25"/>
  <c r="E1114" i="25"/>
  <c r="F1114" i="25"/>
  <c r="E1115" i="25"/>
  <c r="F1115" i="25"/>
  <c r="E1116" i="25"/>
  <c r="F1116" i="25"/>
  <c r="E1117" i="25"/>
  <c r="F1117" i="25"/>
  <c r="E1118" i="25"/>
  <c r="F1118" i="25"/>
  <c r="E1119" i="25"/>
  <c r="F1119" i="25"/>
  <c r="E1120" i="25"/>
  <c r="F1120" i="25"/>
  <c r="E1121" i="25"/>
  <c r="F1121" i="25"/>
  <c r="E1122" i="25"/>
  <c r="F1122" i="25"/>
  <c r="E1123" i="25"/>
  <c r="F1123" i="25"/>
  <c r="E1124" i="25"/>
  <c r="F1124" i="25"/>
  <c r="E1125" i="25"/>
  <c r="F1125" i="25"/>
  <c r="E1126" i="25"/>
  <c r="F1126" i="25"/>
  <c r="E1127" i="25"/>
  <c r="F1127" i="25"/>
  <c r="E1128" i="25"/>
  <c r="F1128" i="25"/>
  <c r="E1129" i="25"/>
  <c r="F1129" i="25"/>
  <c r="E1130" i="25"/>
  <c r="F1130" i="25"/>
  <c r="E1131" i="25"/>
  <c r="F1131" i="25"/>
  <c r="E1132" i="25"/>
  <c r="F1132" i="25"/>
  <c r="E1133" i="25"/>
  <c r="F1133" i="25"/>
  <c r="E1134" i="25"/>
  <c r="F1134" i="25"/>
  <c r="E1135" i="25"/>
  <c r="F1135" i="25"/>
  <c r="E1136" i="25"/>
  <c r="F1136" i="25"/>
  <c r="E1137" i="25"/>
  <c r="F1137" i="25"/>
  <c r="E1138" i="25"/>
  <c r="F1138" i="25"/>
  <c r="E1139" i="25"/>
  <c r="F1139" i="25"/>
  <c r="E1140" i="25"/>
  <c r="F1140" i="25"/>
  <c r="E1141" i="25"/>
  <c r="F1141" i="25"/>
  <c r="E1142" i="25"/>
  <c r="F1142" i="25"/>
  <c r="E1143" i="25"/>
  <c r="F1143" i="25"/>
  <c r="E1144" i="25"/>
  <c r="F1144" i="25"/>
  <c r="E1145" i="25"/>
  <c r="F1145" i="25"/>
  <c r="E1146" i="25"/>
  <c r="F1146" i="25"/>
  <c r="E1147" i="25"/>
  <c r="F1147" i="25"/>
  <c r="E1148" i="25"/>
  <c r="F1148" i="25"/>
  <c r="E1149" i="25"/>
  <c r="F1149" i="25"/>
  <c r="E1150" i="25"/>
  <c r="F1150" i="25"/>
  <c r="E1151" i="25"/>
  <c r="F1151" i="25"/>
  <c r="E1152" i="25"/>
  <c r="F1152" i="25"/>
  <c r="E1153" i="25"/>
  <c r="F1153" i="25"/>
  <c r="E1154" i="25"/>
  <c r="F1154" i="25"/>
  <c r="E1155" i="25"/>
  <c r="F1155" i="25"/>
  <c r="E1156" i="25"/>
  <c r="F1156" i="25"/>
  <c r="E1157" i="25"/>
  <c r="F1157" i="25"/>
  <c r="E1158" i="25"/>
  <c r="F1158" i="25"/>
  <c r="E1159" i="25"/>
  <c r="F1159" i="25"/>
  <c r="E1160" i="25"/>
  <c r="F1160" i="25"/>
  <c r="E1161" i="25"/>
  <c r="F1161" i="25"/>
  <c r="E1162" i="25"/>
  <c r="F1162" i="25"/>
  <c r="E1163" i="25"/>
  <c r="F1163" i="25"/>
  <c r="E1164" i="25"/>
  <c r="F1164" i="25"/>
  <c r="E1165" i="25"/>
  <c r="F1165" i="25"/>
  <c r="E1166" i="25"/>
  <c r="F1166" i="25"/>
  <c r="E1167" i="25"/>
  <c r="F1167" i="25"/>
  <c r="E1168" i="25"/>
  <c r="F1168" i="25"/>
  <c r="E1169" i="25"/>
  <c r="F1169" i="25"/>
  <c r="E1170" i="25"/>
  <c r="F1170" i="25"/>
  <c r="E1171" i="25"/>
  <c r="F1171" i="25"/>
  <c r="E1172" i="25"/>
  <c r="F1172" i="25"/>
  <c r="E1173" i="25"/>
  <c r="F1173" i="25"/>
  <c r="E1174" i="25"/>
  <c r="F1174" i="25"/>
  <c r="E1175" i="25"/>
  <c r="F1175" i="25"/>
  <c r="E1176" i="25"/>
  <c r="F1176" i="25"/>
  <c r="E1177" i="25"/>
  <c r="F1177" i="25"/>
  <c r="E1178" i="25"/>
  <c r="F1178" i="25"/>
  <c r="E1179" i="25"/>
  <c r="F1179" i="25"/>
  <c r="E1180" i="25"/>
  <c r="F1180" i="25"/>
  <c r="E1181" i="25"/>
  <c r="F1181" i="25"/>
  <c r="E1182" i="25"/>
  <c r="F1182" i="25"/>
  <c r="E1183" i="25"/>
  <c r="F1183" i="25"/>
  <c r="E1184" i="25"/>
  <c r="F1184" i="25"/>
  <c r="E1185" i="25"/>
  <c r="F1185" i="25"/>
  <c r="E1186" i="25"/>
  <c r="F1186" i="25"/>
  <c r="E1187" i="25"/>
  <c r="F1187" i="25"/>
  <c r="E1188" i="25"/>
  <c r="F1188" i="25"/>
  <c r="E1189" i="25"/>
  <c r="F1189" i="25"/>
  <c r="E1190" i="25"/>
  <c r="F1190" i="25"/>
  <c r="E1191" i="25"/>
  <c r="F1191" i="25"/>
  <c r="E1192" i="25"/>
  <c r="F1192" i="25"/>
  <c r="E1193" i="25"/>
  <c r="F1193" i="25"/>
  <c r="E1194" i="25"/>
  <c r="F1194" i="25"/>
  <c r="E1195" i="25"/>
  <c r="F1195" i="25"/>
  <c r="E1196" i="25"/>
  <c r="F1196" i="25"/>
  <c r="E1197" i="25"/>
  <c r="F1197" i="25"/>
  <c r="E1198" i="25"/>
  <c r="F1198" i="25"/>
  <c r="E1199" i="25"/>
  <c r="F1199" i="25"/>
  <c r="E1200" i="25"/>
  <c r="F1200" i="25"/>
  <c r="E1201" i="25"/>
  <c r="F1201" i="25"/>
  <c r="E1202" i="25"/>
  <c r="F1202" i="25"/>
  <c r="E1203" i="25"/>
  <c r="F1203" i="25"/>
  <c r="E1204" i="25"/>
  <c r="F1204" i="25"/>
  <c r="E1205" i="25"/>
  <c r="F1205" i="25"/>
  <c r="E1206" i="25"/>
  <c r="F1206" i="25"/>
  <c r="E1207" i="25"/>
  <c r="F1207" i="25"/>
  <c r="E1208" i="25"/>
  <c r="F1208" i="25"/>
  <c r="E1209" i="25"/>
  <c r="F1209" i="25"/>
  <c r="E1210" i="25"/>
  <c r="F1210" i="25"/>
  <c r="E1211" i="25"/>
  <c r="F1211" i="25"/>
  <c r="E1212" i="25"/>
  <c r="F1212" i="25"/>
  <c r="E1213" i="25"/>
  <c r="F1213" i="25"/>
  <c r="E1214" i="25"/>
  <c r="F1214" i="25"/>
  <c r="E1215" i="25"/>
  <c r="F1215" i="25"/>
  <c r="E1216" i="25"/>
  <c r="F1216" i="25"/>
  <c r="E1217" i="25"/>
  <c r="F1217" i="25"/>
  <c r="E1218" i="25"/>
  <c r="F1218" i="25"/>
  <c r="E1219" i="25"/>
  <c r="F1219" i="25"/>
  <c r="E1220" i="25"/>
  <c r="F1220" i="25"/>
  <c r="E1221" i="25"/>
  <c r="F1221" i="25"/>
  <c r="E1222" i="25"/>
  <c r="F1222" i="25"/>
  <c r="E1223" i="25"/>
  <c r="F1223" i="25"/>
  <c r="E1224" i="25"/>
  <c r="F1224" i="25"/>
  <c r="E1225" i="25"/>
  <c r="F1225" i="25"/>
  <c r="E1226" i="25"/>
  <c r="F1226" i="25"/>
  <c r="E1227" i="25"/>
  <c r="F1227" i="25"/>
  <c r="E1228" i="25"/>
  <c r="F1228" i="25"/>
  <c r="E1229" i="25"/>
  <c r="F1229" i="25"/>
  <c r="E1230" i="25"/>
  <c r="F1230" i="25"/>
  <c r="E1231" i="25"/>
  <c r="F1231" i="25"/>
  <c r="E1232" i="25"/>
  <c r="F1232" i="25"/>
  <c r="E1233" i="25"/>
  <c r="F1233" i="25"/>
  <c r="E1234" i="25"/>
  <c r="F1234" i="25"/>
  <c r="E1235" i="25"/>
  <c r="F1235" i="25"/>
  <c r="E1236" i="25"/>
  <c r="F1236" i="25"/>
  <c r="E1237" i="25"/>
  <c r="F1237" i="25"/>
  <c r="E1238" i="25"/>
  <c r="F1238" i="25"/>
  <c r="E1239" i="25"/>
  <c r="F1239" i="25"/>
  <c r="E1240" i="25"/>
  <c r="F1240" i="25"/>
  <c r="E1241" i="25"/>
  <c r="F1241" i="25"/>
  <c r="E1242" i="25"/>
  <c r="F1242" i="25"/>
  <c r="E1243" i="25"/>
  <c r="F1243" i="25"/>
  <c r="E1244" i="25"/>
  <c r="F1244" i="25"/>
  <c r="E1245" i="25"/>
  <c r="F1245" i="25"/>
  <c r="E1246" i="25"/>
  <c r="F1246" i="25"/>
  <c r="E1247" i="25"/>
  <c r="F1247" i="25"/>
  <c r="E1248" i="25"/>
  <c r="F1248" i="25"/>
  <c r="E1249" i="25"/>
  <c r="F1249" i="25"/>
  <c r="E1250" i="25"/>
  <c r="F1250" i="25"/>
  <c r="E1251" i="25"/>
  <c r="F1251" i="25"/>
  <c r="E1252" i="25"/>
  <c r="F1252" i="25"/>
  <c r="E1253" i="25"/>
  <c r="F1253" i="25"/>
  <c r="E1254" i="25"/>
  <c r="F1254" i="25"/>
  <c r="E1255" i="25"/>
  <c r="F1255" i="25"/>
  <c r="E1256" i="25"/>
  <c r="F1256" i="25"/>
  <c r="E1257" i="25"/>
  <c r="F1257" i="25"/>
  <c r="E1258" i="25"/>
  <c r="F1258" i="25"/>
  <c r="E1259" i="25"/>
  <c r="F1259" i="25"/>
  <c r="E1260" i="25"/>
  <c r="F1260" i="25"/>
  <c r="E1261" i="25"/>
  <c r="F1261" i="25"/>
  <c r="E1262" i="25"/>
  <c r="F1262" i="25"/>
  <c r="E1263" i="25"/>
  <c r="F1263" i="25"/>
  <c r="E1264" i="25"/>
  <c r="F1264" i="25"/>
  <c r="E1265" i="25"/>
  <c r="F1265" i="25"/>
  <c r="E1266" i="25"/>
  <c r="F1266" i="25"/>
  <c r="E1267" i="25"/>
  <c r="F1267" i="25"/>
  <c r="E1268" i="25"/>
  <c r="F1268" i="25"/>
  <c r="E1269" i="25"/>
  <c r="F1269" i="25"/>
  <c r="E1270" i="25"/>
  <c r="F1270" i="25"/>
  <c r="E1271" i="25"/>
  <c r="F1271" i="25"/>
  <c r="E1272" i="25"/>
  <c r="F1272" i="25"/>
  <c r="E1273" i="25"/>
  <c r="F1273" i="25"/>
  <c r="E1274" i="25"/>
  <c r="F1274" i="25"/>
  <c r="E1275" i="25"/>
  <c r="F1275" i="25"/>
  <c r="E1276" i="25"/>
  <c r="F1276" i="25"/>
  <c r="E1277" i="25"/>
  <c r="F1277" i="25"/>
  <c r="E1278" i="25"/>
  <c r="F1278" i="25"/>
  <c r="E1279" i="25"/>
  <c r="F1279" i="25"/>
  <c r="E1280" i="25"/>
  <c r="F1280" i="25"/>
  <c r="E1281" i="25"/>
  <c r="F1281" i="25"/>
  <c r="E1282" i="25"/>
  <c r="F1282" i="25"/>
  <c r="E1283" i="25"/>
  <c r="F1283" i="25"/>
  <c r="E1284" i="25"/>
  <c r="F1284" i="25"/>
  <c r="E1285" i="25"/>
  <c r="F1285" i="25"/>
  <c r="E1286" i="25"/>
  <c r="F1286" i="25"/>
  <c r="E1287" i="25"/>
  <c r="F1287" i="25"/>
  <c r="E1288" i="25"/>
  <c r="F1288" i="25"/>
  <c r="E1289" i="25"/>
  <c r="F1289" i="25"/>
  <c r="E1290" i="25"/>
  <c r="F1290" i="25"/>
  <c r="E1291" i="25"/>
  <c r="F1291" i="25"/>
  <c r="E1292" i="25"/>
  <c r="F1292" i="25"/>
  <c r="E1293" i="25"/>
  <c r="F1293" i="25"/>
  <c r="E1294" i="25"/>
  <c r="F1294" i="25"/>
  <c r="E1295" i="25"/>
  <c r="F1295" i="25"/>
  <c r="E1296" i="25"/>
  <c r="F1296" i="25"/>
  <c r="E1297" i="25"/>
  <c r="F1297" i="25"/>
  <c r="E1298" i="25"/>
  <c r="F1298" i="25"/>
  <c r="E1299" i="25"/>
  <c r="F1299" i="25"/>
  <c r="E1300" i="25"/>
  <c r="F1300" i="25"/>
  <c r="E1301" i="25"/>
  <c r="F1301" i="25"/>
  <c r="E1302" i="25"/>
  <c r="F1302" i="25"/>
  <c r="E1303" i="25"/>
  <c r="F1303" i="25"/>
  <c r="E1304" i="25"/>
  <c r="F1304" i="25"/>
  <c r="E1305" i="25"/>
  <c r="F1305" i="25"/>
  <c r="E1306" i="25"/>
  <c r="F1306" i="25"/>
  <c r="E1307" i="25"/>
  <c r="F1307" i="25"/>
  <c r="E1308" i="25"/>
  <c r="F1308" i="25"/>
  <c r="E1309" i="25"/>
  <c r="F1309" i="25"/>
  <c r="E1310" i="25"/>
  <c r="F1310" i="25"/>
  <c r="E1311" i="25"/>
  <c r="F1311" i="25"/>
  <c r="E1312" i="25"/>
  <c r="F1312" i="25"/>
  <c r="E1313" i="25"/>
  <c r="F1313" i="25"/>
  <c r="E1314" i="25"/>
  <c r="F1314" i="25"/>
  <c r="E1315" i="25"/>
  <c r="F1315" i="25"/>
  <c r="E1316" i="25"/>
  <c r="F1316" i="25"/>
  <c r="E1317" i="25"/>
  <c r="F1317" i="25"/>
  <c r="E1318" i="25"/>
  <c r="F1318" i="25"/>
  <c r="E1319" i="25"/>
  <c r="F1319" i="25"/>
  <c r="E1320" i="25"/>
  <c r="F1320" i="25"/>
  <c r="E1321" i="25"/>
  <c r="F1321" i="25"/>
  <c r="E1322" i="25"/>
  <c r="F1322" i="25"/>
  <c r="E1323" i="25"/>
  <c r="F1323" i="25"/>
  <c r="E1324" i="25"/>
  <c r="F1324" i="25"/>
  <c r="E1325" i="25"/>
  <c r="F1325" i="25"/>
  <c r="E1326" i="25"/>
  <c r="F1326" i="25"/>
  <c r="E1327" i="25"/>
  <c r="F1327" i="25"/>
  <c r="E1328" i="25"/>
  <c r="F1328" i="25"/>
  <c r="E1329" i="25"/>
  <c r="F1329" i="25"/>
  <c r="E1330" i="25"/>
  <c r="F1330" i="25"/>
  <c r="E1331" i="25"/>
  <c r="F1331" i="25"/>
  <c r="E1332" i="25"/>
  <c r="F1332" i="25"/>
  <c r="E1333" i="25"/>
  <c r="F1333" i="25"/>
  <c r="E1334" i="25"/>
  <c r="F1334" i="25"/>
  <c r="E1335" i="25"/>
  <c r="F1335" i="25"/>
  <c r="E1336" i="25"/>
  <c r="F1336" i="25"/>
  <c r="E1337" i="25"/>
  <c r="F1337" i="25"/>
  <c r="E1338" i="25"/>
  <c r="F1338" i="25"/>
  <c r="E1339" i="25"/>
  <c r="F1339" i="25"/>
  <c r="E1340" i="25"/>
  <c r="F1340" i="25"/>
  <c r="E1341" i="25"/>
  <c r="F1341" i="25"/>
  <c r="E1342" i="25"/>
  <c r="F1342" i="25"/>
  <c r="E1343" i="25"/>
  <c r="F1343" i="25"/>
  <c r="E1344" i="25"/>
  <c r="F1344" i="25"/>
  <c r="E1345" i="25"/>
  <c r="F1345" i="25"/>
  <c r="E1346" i="25"/>
  <c r="F1346" i="25"/>
  <c r="E1347" i="25"/>
  <c r="F1347" i="25"/>
  <c r="E1348" i="25"/>
  <c r="F1348" i="25"/>
  <c r="E1349" i="25"/>
  <c r="F1349" i="25"/>
  <c r="E1350" i="25"/>
  <c r="F1350" i="25"/>
  <c r="E1351" i="25"/>
  <c r="F1351" i="25"/>
  <c r="E1352" i="25"/>
  <c r="F1352" i="25"/>
  <c r="E1353" i="25"/>
  <c r="F1353" i="25"/>
  <c r="E1354" i="25"/>
  <c r="F1354" i="25"/>
  <c r="E1355" i="25"/>
  <c r="F1355" i="25"/>
  <c r="E1356" i="25"/>
  <c r="F1356" i="25"/>
  <c r="E1357" i="25"/>
  <c r="F1357" i="25"/>
  <c r="E1358" i="25"/>
  <c r="F1358" i="25"/>
  <c r="E1359" i="25"/>
  <c r="F1359" i="25"/>
  <c r="E1360" i="25"/>
  <c r="F1360" i="25"/>
  <c r="E1361" i="25"/>
  <c r="F1361" i="25"/>
  <c r="E1362" i="25"/>
  <c r="F1362" i="25"/>
  <c r="E1363" i="25"/>
  <c r="F1363" i="25"/>
  <c r="E1364" i="25"/>
  <c r="F1364" i="25"/>
  <c r="E1365" i="25"/>
  <c r="F1365" i="25"/>
  <c r="E1366" i="25"/>
  <c r="F1366" i="25"/>
  <c r="E1367" i="25"/>
  <c r="F1367" i="25"/>
  <c r="E1368" i="25"/>
  <c r="F1368" i="25"/>
  <c r="E1369" i="25"/>
  <c r="F1369" i="25"/>
  <c r="E1370" i="25"/>
  <c r="F1370" i="25"/>
  <c r="E1371" i="25"/>
  <c r="F1371" i="25"/>
  <c r="E1372" i="25"/>
  <c r="F1372" i="25"/>
  <c r="E1373" i="25"/>
  <c r="F1373" i="25"/>
  <c r="E1374" i="25"/>
  <c r="F1374" i="25"/>
  <c r="E1375" i="25"/>
  <c r="F1375" i="25"/>
  <c r="E1376" i="25"/>
  <c r="F1376" i="25"/>
  <c r="E1377" i="25"/>
  <c r="F1377" i="25"/>
  <c r="E1378" i="25"/>
  <c r="F1378" i="25"/>
  <c r="E1379" i="25"/>
  <c r="F1379" i="25"/>
  <c r="E1380" i="25"/>
  <c r="F1380" i="25"/>
  <c r="E1381" i="25"/>
  <c r="F1381" i="25"/>
  <c r="E1382" i="25"/>
  <c r="F1382" i="25"/>
  <c r="E1383" i="25"/>
  <c r="F1383" i="25"/>
  <c r="E1384" i="25"/>
  <c r="F1384" i="25"/>
  <c r="E1385" i="25"/>
  <c r="F1385" i="25"/>
  <c r="E1386" i="25"/>
  <c r="F1386" i="25"/>
  <c r="E1387" i="25"/>
  <c r="F1387" i="25"/>
  <c r="E1388" i="25"/>
  <c r="F1388" i="25"/>
  <c r="E1389" i="25"/>
  <c r="F1389" i="25"/>
  <c r="E1390" i="25"/>
  <c r="F1390" i="25"/>
  <c r="E1391" i="25"/>
  <c r="F1391" i="25"/>
  <c r="E1392" i="25"/>
  <c r="F1392" i="25"/>
  <c r="E1393" i="25"/>
  <c r="F1393" i="25"/>
  <c r="E1394" i="25"/>
  <c r="F1394" i="25"/>
  <c r="E1395" i="25"/>
  <c r="F1395" i="25"/>
  <c r="E1396" i="25"/>
  <c r="F1396" i="25"/>
  <c r="E1397" i="25"/>
  <c r="F1397" i="25"/>
  <c r="E1398" i="25"/>
  <c r="F1398" i="25"/>
  <c r="E1399" i="25"/>
  <c r="F1399" i="25"/>
  <c r="E1400" i="25"/>
  <c r="F1400" i="25"/>
  <c r="E1401" i="25"/>
  <c r="F1401" i="25"/>
  <c r="E1402" i="25"/>
  <c r="F1402" i="25"/>
  <c r="E1403" i="25"/>
  <c r="F1403" i="25"/>
  <c r="E1404" i="25"/>
  <c r="F1404" i="25"/>
  <c r="E1405" i="25"/>
  <c r="F1405" i="25"/>
  <c r="E1406" i="25"/>
  <c r="F1406" i="25"/>
  <c r="E1407" i="25"/>
  <c r="F1407" i="25"/>
  <c r="E1408" i="25"/>
  <c r="F1408" i="25"/>
  <c r="E1409" i="25"/>
  <c r="F1409" i="25"/>
  <c r="E1410" i="25"/>
  <c r="F1410" i="25"/>
  <c r="E1411" i="25"/>
  <c r="F1411" i="25"/>
  <c r="E1412" i="25"/>
  <c r="F1412" i="25"/>
  <c r="E1413" i="25"/>
  <c r="F1413" i="25"/>
  <c r="E1414" i="25"/>
  <c r="F1414" i="25"/>
  <c r="E1415" i="25"/>
  <c r="F1415" i="25"/>
  <c r="E1416" i="25"/>
  <c r="F1416" i="25"/>
  <c r="E1417" i="25"/>
  <c r="F1417" i="25"/>
  <c r="E1418" i="25"/>
  <c r="F1418" i="25"/>
  <c r="E1419" i="25"/>
  <c r="F1419" i="25"/>
  <c r="E1420" i="25"/>
  <c r="F1420" i="25"/>
  <c r="E1421" i="25"/>
  <c r="F1421" i="25"/>
  <c r="E1422" i="25"/>
  <c r="F1422" i="25"/>
  <c r="E1423" i="25"/>
  <c r="F1423" i="25"/>
  <c r="E1424" i="25"/>
  <c r="F1424" i="25"/>
  <c r="E1425" i="25"/>
  <c r="F1425" i="25"/>
  <c r="E1426" i="25"/>
  <c r="F1426" i="25"/>
  <c r="E1427" i="25"/>
  <c r="F1427" i="25"/>
  <c r="E1428" i="25"/>
  <c r="F1428" i="25"/>
  <c r="E1429" i="25"/>
  <c r="F1429" i="25"/>
  <c r="E1430" i="25"/>
  <c r="F1430" i="25"/>
  <c r="E1431" i="25"/>
  <c r="F1431" i="25"/>
  <c r="E1432" i="25"/>
  <c r="F1432" i="25"/>
  <c r="E1433" i="25"/>
  <c r="F1433" i="25"/>
  <c r="E1434" i="25"/>
  <c r="F1434" i="25"/>
  <c r="E1435" i="25"/>
  <c r="F1435" i="25"/>
  <c r="E1436" i="25"/>
  <c r="F1436" i="25"/>
  <c r="E1437" i="25"/>
  <c r="F1437" i="25"/>
  <c r="E1438" i="25"/>
  <c r="F1438" i="25"/>
  <c r="E1439" i="25"/>
  <c r="F1439" i="25"/>
  <c r="E1440" i="25"/>
  <c r="F1440" i="25"/>
  <c r="E1441" i="25"/>
  <c r="F1441" i="25"/>
  <c r="E1442" i="25"/>
  <c r="F1442" i="25"/>
  <c r="E1443" i="25"/>
  <c r="F1443" i="25"/>
  <c r="E1444" i="25"/>
  <c r="F1444" i="25"/>
  <c r="E1445" i="25"/>
  <c r="F1445" i="25"/>
  <c r="E1446" i="25"/>
  <c r="F1446" i="25"/>
  <c r="E1447" i="25"/>
  <c r="F1447" i="25"/>
  <c r="E1448" i="25"/>
  <c r="F1448" i="25"/>
  <c r="E1449" i="25"/>
  <c r="F1449" i="25"/>
  <c r="E1450" i="25"/>
  <c r="F1450" i="25"/>
  <c r="E1451" i="25"/>
  <c r="F1451" i="25"/>
  <c r="E1452" i="25"/>
  <c r="F1452" i="25"/>
  <c r="E1453" i="25"/>
  <c r="F1453" i="25"/>
  <c r="E1454" i="25"/>
  <c r="F1454" i="25"/>
  <c r="E1455" i="25"/>
  <c r="F1455" i="25"/>
  <c r="E1456" i="25"/>
  <c r="F1456" i="25"/>
  <c r="E1457" i="25"/>
  <c r="F1457" i="25"/>
  <c r="E1458" i="25"/>
  <c r="F1458" i="25"/>
  <c r="E1459" i="25"/>
  <c r="F1459" i="25"/>
  <c r="E1460" i="25"/>
  <c r="F1460" i="25"/>
  <c r="E1461" i="25"/>
  <c r="F1461" i="25"/>
  <c r="E1462" i="25"/>
  <c r="F1462" i="25"/>
  <c r="E1463" i="25"/>
  <c r="F1463" i="25"/>
  <c r="E1464" i="25"/>
  <c r="F1464" i="25"/>
  <c r="E1465" i="25"/>
  <c r="F1465" i="25"/>
  <c r="E1466" i="25"/>
  <c r="F1466" i="25"/>
  <c r="E1467" i="25"/>
  <c r="F1467" i="25"/>
  <c r="E1468" i="25"/>
  <c r="F1468" i="25"/>
  <c r="E1469" i="25"/>
  <c r="F1469" i="25"/>
  <c r="E1470" i="25"/>
  <c r="F1470" i="25"/>
  <c r="E1471" i="25"/>
  <c r="F1471" i="25"/>
  <c r="E1472" i="25"/>
  <c r="F1472" i="25"/>
  <c r="E1473" i="25"/>
  <c r="F1473" i="25"/>
  <c r="E1474" i="25"/>
  <c r="F1474" i="25"/>
  <c r="E1475" i="25"/>
  <c r="F1475" i="25"/>
  <c r="E1476" i="25"/>
  <c r="F1476" i="25"/>
  <c r="E1477" i="25"/>
  <c r="F1477" i="25"/>
  <c r="E1478" i="25"/>
  <c r="F1478" i="25"/>
  <c r="E1479" i="25"/>
  <c r="F1479" i="25"/>
  <c r="E1480" i="25"/>
  <c r="F1480" i="25"/>
  <c r="E1481" i="25"/>
  <c r="F1481" i="25"/>
  <c r="E1482" i="25"/>
  <c r="F1482" i="25"/>
  <c r="E1483" i="25"/>
  <c r="F1483" i="25"/>
  <c r="E1484" i="25"/>
  <c r="F1484" i="25"/>
  <c r="E1485" i="25"/>
  <c r="F1485" i="25"/>
  <c r="E1486" i="25"/>
  <c r="F1486" i="25"/>
  <c r="E1487" i="25"/>
  <c r="F1487" i="25"/>
  <c r="E1488" i="25"/>
  <c r="F1488" i="25"/>
  <c r="E1489" i="25"/>
  <c r="F1489" i="25"/>
  <c r="E1490" i="25"/>
  <c r="F1490" i="25"/>
  <c r="E1491" i="25"/>
  <c r="F1491" i="25"/>
  <c r="E1492" i="25"/>
  <c r="F1492" i="25"/>
  <c r="E1493" i="25"/>
  <c r="F1493" i="25"/>
  <c r="E1494" i="25"/>
  <c r="F1494" i="25"/>
  <c r="E1495" i="25"/>
  <c r="F1495" i="25"/>
  <c r="E1496" i="25"/>
  <c r="F1496" i="25"/>
  <c r="E1497" i="25"/>
  <c r="F1497" i="25"/>
  <c r="E1498" i="25"/>
  <c r="F1498" i="25"/>
  <c r="E1499" i="25"/>
  <c r="F1499" i="25"/>
  <c r="E1500" i="25"/>
  <c r="F1500" i="25"/>
  <c r="E1501" i="25"/>
  <c r="F1501" i="25"/>
  <c r="E1502" i="25"/>
  <c r="F1502" i="25"/>
  <c r="E1503" i="25"/>
  <c r="F1503" i="25"/>
  <c r="E1504" i="25"/>
  <c r="F1504" i="25"/>
  <c r="E1505" i="25"/>
  <c r="F1505" i="25"/>
  <c r="E1506" i="25"/>
  <c r="F1506" i="25"/>
  <c r="E1507" i="25"/>
  <c r="F1507" i="25"/>
  <c r="E1508" i="25"/>
  <c r="F1508" i="25"/>
  <c r="E1509" i="25"/>
  <c r="F1509" i="25"/>
  <c r="E1510" i="25"/>
  <c r="F1510" i="25"/>
  <c r="E1511" i="25"/>
  <c r="F1511" i="25"/>
  <c r="E1512" i="25"/>
  <c r="F1512" i="25"/>
  <c r="E1513" i="25"/>
  <c r="F1513" i="25"/>
  <c r="E1514" i="25"/>
  <c r="F1514" i="25"/>
  <c r="E1515" i="25"/>
  <c r="F1515" i="25"/>
  <c r="E1516" i="25"/>
  <c r="F1516" i="25"/>
  <c r="E1517" i="25"/>
  <c r="F1517" i="25"/>
  <c r="E1518" i="25"/>
  <c r="F1518" i="25"/>
  <c r="E1519" i="25"/>
  <c r="F1519" i="25"/>
  <c r="E1520" i="25"/>
  <c r="F1520" i="25"/>
  <c r="F22" i="18"/>
  <c r="F175" i="25"/>
  <c r="E175" i="25"/>
  <c r="F3" i="18"/>
  <c r="AA354" i="9"/>
  <c r="AA355" i="9"/>
  <c r="F4" i="18"/>
  <c r="AA356" i="9"/>
  <c r="AA357" i="9"/>
  <c r="F5" i="18"/>
  <c r="AA358" i="9"/>
  <c r="F6" i="18"/>
  <c r="AA360" i="9"/>
  <c r="AA361" i="9"/>
  <c r="F7" i="18"/>
  <c r="AA362" i="9"/>
  <c r="F8" i="18"/>
  <c r="AA363" i="9"/>
  <c r="F9" i="18"/>
  <c r="AA364" i="9"/>
  <c r="F2" i="18"/>
  <c r="AA365" i="9"/>
  <c r="F10" i="18"/>
  <c r="AA366" i="9"/>
  <c r="F11" i="18"/>
  <c r="AA367" i="9"/>
  <c r="AA368" i="9"/>
  <c r="F12" i="18"/>
  <c r="AA369" i="9"/>
  <c r="AA370" i="9"/>
  <c r="AA371" i="9"/>
  <c r="F13" i="18"/>
  <c r="AA372" i="9"/>
  <c r="AA373" i="9"/>
  <c r="AA374" i="9"/>
  <c r="AA375" i="9"/>
  <c r="F14" i="18"/>
  <c r="AA376" i="9"/>
  <c r="AA377" i="9"/>
  <c r="AA378" i="9"/>
  <c r="F15" i="18"/>
  <c r="AA379" i="9"/>
  <c r="F16" i="18"/>
  <c r="AA380" i="9"/>
  <c r="F17" i="18"/>
  <c r="AA381" i="9"/>
  <c r="F18" i="18"/>
  <c r="AA382" i="9"/>
  <c r="AA383" i="9"/>
  <c r="F19" i="18"/>
  <c r="AA384" i="9"/>
  <c r="AA385" i="9"/>
  <c r="AA386" i="9"/>
  <c r="AA387" i="9"/>
  <c r="AA388" i="9"/>
  <c r="AA389" i="9"/>
  <c r="AA390" i="9"/>
  <c r="AA391" i="9"/>
  <c r="AA392" i="9"/>
  <c r="AA393" i="9"/>
  <c r="F20" i="18"/>
  <c r="AA394" i="9"/>
  <c r="F21" i="18"/>
  <c r="AA396" i="9"/>
  <c r="AA397" i="9"/>
  <c r="F20" i="25"/>
  <c r="E2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AA353" i="9"/>
  <c r="U399" i="9"/>
  <c r="V399" i="9"/>
  <c r="W399" i="9"/>
  <c r="X399" i="9"/>
  <c r="Y399" i="9"/>
  <c r="Z399" i="9"/>
  <c r="AA399" i="9"/>
  <c r="AB399" i="9"/>
  <c r="T399" i="9"/>
  <c r="F138" i="25"/>
  <c r="F162" i="25"/>
  <c r="F170" i="25"/>
  <c r="F4" i="25"/>
  <c r="F95" i="25"/>
  <c r="F58" i="25"/>
  <c r="F66" i="25"/>
  <c r="F50" i="25"/>
  <c r="F89" i="25"/>
  <c r="F112" i="25"/>
  <c r="F104" i="25"/>
  <c r="F8" i="25"/>
  <c r="F9" i="25"/>
  <c r="F125" i="25"/>
  <c r="F73" i="25"/>
  <c r="F135" i="25"/>
  <c r="F136" i="25"/>
  <c r="F163" i="25"/>
  <c r="F3" i="25"/>
  <c r="F5" i="25"/>
  <c r="F6" i="25"/>
  <c r="F7" i="25"/>
  <c r="F10" i="25"/>
  <c r="F11" i="25"/>
  <c r="F12" i="25"/>
  <c r="F13" i="25"/>
  <c r="F14" i="25"/>
  <c r="F15" i="25"/>
  <c r="F16" i="25"/>
  <c r="F17" i="25"/>
  <c r="F18" i="25"/>
  <c r="F19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1" i="25"/>
  <c r="F52" i="25"/>
  <c r="F53" i="25"/>
  <c r="F54" i="25"/>
  <c r="F55" i="25"/>
  <c r="F56" i="25"/>
  <c r="F57" i="25"/>
  <c r="F59" i="25"/>
  <c r="F60" i="25"/>
  <c r="F61" i="25"/>
  <c r="F62" i="25"/>
  <c r="F63" i="25"/>
  <c r="F64" i="25"/>
  <c r="F65" i="25"/>
  <c r="F67" i="25"/>
  <c r="F68" i="25"/>
  <c r="F69" i="25"/>
  <c r="F70" i="25"/>
  <c r="F71" i="25"/>
  <c r="F72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90" i="25"/>
  <c r="F91" i="25"/>
  <c r="F92" i="25"/>
  <c r="F93" i="25"/>
  <c r="F94" i="25"/>
  <c r="F96" i="25"/>
  <c r="F97" i="25"/>
  <c r="F98" i="25"/>
  <c r="F99" i="25"/>
  <c r="F100" i="25"/>
  <c r="F101" i="25"/>
  <c r="F102" i="25"/>
  <c r="F103" i="25"/>
  <c r="F105" i="25"/>
  <c r="F106" i="25"/>
  <c r="F107" i="25"/>
  <c r="F108" i="25"/>
  <c r="F109" i="25"/>
  <c r="F110" i="25"/>
  <c r="F111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6" i="25"/>
  <c r="F127" i="25"/>
  <c r="F128" i="25"/>
  <c r="F129" i="25"/>
  <c r="F130" i="25"/>
  <c r="F131" i="25"/>
  <c r="F132" i="25"/>
  <c r="F133" i="25"/>
  <c r="F134" i="25"/>
  <c r="F137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4" i="25"/>
  <c r="F165" i="25"/>
  <c r="F166" i="25"/>
  <c r="F167" i="25"/>
  <c r="F168" i="25"/>
  <c r="F169" i="25"/>
  <c r="F171" i="25"/>
  <c r="F172" i="25"/>
  <c r="F173" i="25"/>
  <c r="F174" i="25"/>
  <c r="F2" i="25"/>
  <c r="AC354" i="9"/>
  <c r="AD354" i="9"/>
  <c r="AE354" i="9"/>
  <c r="J354" i="9"/>
  <c r="L354" i="9"/>
  <c r="M354" i="9"/>
  <c r="P354" i="9"/>
  <c r="Q354" i="9"/>
  <c r="AC355" i="9"/>
  <c r="AD355" i="9"/>
  <c r="AE355" i="9"/>
  <c r="J355" i="9"/>
  <c r="L355" i="9"/>
  <c r="M355" i="9"/>
  <c r="P355" i="9"/>
  <c r="Q355" i="9"/>
  <c r="AC356" i="9"/>
  <c r="AD356" i="9"/>
  <c r="AE356" i="9"/>
  <c r="J356" i="9"/>
  <c r="L356" i="9"/>
  <c r="M356" i="9"/>
  <c r="P356" i="9"/>
  <c r="Q356" i="9"/>
  <c r="AC357" i="9"/>
  <c r="AD357" i="9"/>
  <c r="AE357" i="9"/>
  <c r="J357" i="9"/>
  <c r="L357" i="9"/>
  <c r="M357" i="9"/>
  <c r="P357" i="9"/>
  <c r="Q357" i="9"/>
  <c r="AC358" i="9"/>
  <c r="AD358" i="9"/>
  <c r="AE358" i="9"/>
  <c r="J358" i="9"/>
  <c r="L358" i="9"/>
  <c r="M358" i="9"/>
  <c r="P358" i="9"/>
  <c r="Q358" i="9"/>
  <c r="AC359" i="9"/>
  <c r="AD359" i="9"/>
  <c r="AE359" i="9"/>
  <c r="J359" i="9"/>
  <c r="L359" i="9"/>
  <c r="M359" i="9"/>
  <c r="P359" i="9"/>
  <c r="Q359" i="9"/>
  <c r="AC360" i="9"/>
  <c r="AD360" i="9"/>
  <c r="AE360" i="9"/>
  <c r="J360" i="9"/>
  <c r="L360" i="9"/>
  <c r="M360" i="9"/>
  <c r="P360" i="9"/>
  <c r="Q360" i="9"/>
  <c r="AC361" i="9"/>
  <c r="AD361" i="9"/>
  <c r="AE361" i="9"/>
  <c r="J361" i="9"/>
  <c r="L361" i="9"/>
  <c r="M361" i="9"/>
  <c r="P361" i="9"/>
  <c r="Q361" i="9"/>
  <c r="AC362" i="9"/>
  <c r="AD362" i="9"/>
  <c r="AE362" i="9"/>
  <c r="J362" i="9"/>
  <c r="L362" i="9"/>
  <c r="M362" i="9"/>
  <c r="P362" i="9"/>
  <c r="Q362" i="9"/>
  <c r="AC363" i="9"/>
  <c r="AD363" i="9"/>
  <c r="AE363" i="9"/>
  <c r="J363" i="9"/>
  <c r="L363" i="9"/>
  <c r="M363" i="9"/>
  <c r="P363" i="9"/>
  <c r="Q363" i="9"/>
  <c r="AC364" i="9"/>
  <c r="AD364" i="9"/>
  <c r="AE364" i="9"/>
  <c r="J364" i="9"/>
  <c r="L364" i="9"/>
  <c r="M364" i="9"/>
  <c r="P364" i="9"/>
  <c r="Q364" i="9"/>
  <c r="AC365" i="9"/>
  <c r="AD365" i="9"/>
  <c r="AE365" i="9"/>
  <c r="J365" i="9"/>
  <c r="L365" i="9"/>
  <c r="M365" i="9"/>
  <c r="P365" i="9"/>
  <c r="Q365" i="9"/>
  <c r="AC366" i="9"/>
  <c r="AD366" i="9"/>
  <c r="AE366" i="9"/>
  <c r="J366" i="9"/>
  <c r="L366" i="9"/>
  <c r="M366" i="9"/>
  <c r="P366" i="9"/>
  <c r="Q366" i="9"/>
  <c r="AC367" i="9"/>
  <c r="AD367" i="9"/>
  <c r="AE367" i="9"/>
  <c r="J367" i="9"/>
  <c r="L367" i="9"/>
  <c r="M367" i="9"/>
  <c r="P367" i="9"/>
  <c r="Q367" i="9"/>
  <c r="AC368" i="9"/>
  <c r="AD368" i="9"/>
  <c r="AE368" i="9"/>
  <c r="J368" i="9"/>
  <c r="L368" i="9"/>
  <c r="M368" i="9"/>
  <c r="P368" i="9"/>
  <c r="Q368" i="9"/>
  <c r="AC369" i="9"/>
  <c r="AD369" i="9"/>
  <c r="AE369" i="9"/>
  <c r="J369" i="9"/>
  <c r="L369" i="9"/>
  <c r="M369" i="9"/>
  <c r="P369" i="9"/>
  <c r="Q369" i="9"/>
  <c r="AC370" i="9"/>
  <c r="AD370" i="9"/>
  <c r="AE370" i="9"/>
  <c r="J370" i="9"/>
  <c r="L370" i="9"/>
  <c r="M370" i="9"/>
  <c r="P370" i="9"/>
  <c r="Q370" i="9"/>
  <c r="AC371" i="9"/>
  <c r="AD371" i="9"/>
  <c r="AE371" i="9"/>
  <c r="J371" i="9"/>
  <c r="L371" i="9"/>
  <c r="M371" i="9"/>
  <c r="P371" i="9"/>
  <c r="Q371" i="9"/>
  <c r="AC372" i="9"/>
  <c r="AD372" i="9"/>
  <c r="AE372" i="9"/>
  <c r="J372" i="9"/>
  <c r="L372" i="9"/>
  <c r="M372" i="9"/>
  <c r="P372" i="9"/>
  <c r="Q372" i="9"/>
  <c r="AC373" i="9"/>
  <c r="AD373" i="9"/>
  <c r="AE373" i="9"/>
  <c r="J373" i="9"/>
  <c r="L373" i="9"/>
  <c r="M373" i="9"/>
  <c r="P373" i="9"/>
  <c r="Q373" i="9"/>
  <c r="AC374" i="9"/>
  <c r="AD374" i="9"/>
  <c r="AE374" i="9"/>
  <c r="J374" i="9"/>
  <c r="L374" i="9"/>
  <c r="M374" i="9"/>
  <c r="P374" i="9"/>
  <c r="Q374" i="9"/>
  <c r="AC375" i="9"/>
  <c r="AD375" i="9"/>
  <c r="AE375" i="9"/>
  <c r="J375" i="9"/>
  <c r="L375" i="9"/>
  <c r="M375" i="9"/>
  <c r="P375" i="9"/>
  <c r="Q375" i="9"/>
  <c r="AC376" i="9"/>
  <c r="AD376" i="9"/>
  <c r="AE376" i="9"/>
  <c r="J376" i="9"/>
  <c r="L376" i="9"/>
  <c r="M376" i="9"/>
  <c r="P376" i="9"/>
  <c r="Q376" i="9"/>
  <c r="AC377" i="9"/>
  <c r="AD377" i="9"/>
  <c r="AE377" i="9"/>
  <c r="J377" i="9"/>
  <c r="L377" i="9"/>
  <c r="M377" i="9"/>
  <c r="P377" i="9"/>
  <c r="Q377" i="9"/>
  <c r="AC378" i="9"/>
  <c r="AD378" i="9"/>
  <c r="AE378" i="9"/>
  <c r="J378" i="9"/>
  <c r="L378" i="9"/>
  <c r="M378" i="9"/>
  <c r="P378" i="9"/>
  <c r="Q378" i="9"/>
  <c r="AC379" i="9"/>
  <c r="AD379" i="9"/>
  <c r="AE379" i="9"/>
  <c r="J379" i="9"/>
  <c r="L379" i="9"/>
  <c r="M379" i="9"/>
  <c r="P379" i="9"/>
  <c r="Q379" i="9"/>
  <c r="AC380" i="9"/>
  <c r="AD380" i="9"/>
  <c r="AE380" i="9"/>
  <c r="J380" i="9"/>
  <c r="L380" i="9"/>
  <c r="M380" i="9"/>
  <c r="P380" i="9"/>
  <c r="Q380" i="9"/>
  <c r="AC381" i="9"/>
  <c r="AD381" i="9"/>
  <c r="AE381" i="9"/>
  <c r="J381" i="9"/>
  <c r="L381" i="9"/>
  <c r="M381" i="9"/>
  <c r="P381" i="9"/>
  <c r="Q381" i="9"/>
  <c r="AC382" i="9"/>
  <c r="AD382" i="9"/>
  <c r="AE382" i="9"/>
  <c r="J382" i="9"/>
  <c r="L382" i="9"/>
  <c r="M382" i="9"/>
  <c r="P382" i="9"/>
  <c r="Q382" i="9"/>
  <c r="AC383" i="9"/>
  <c r="AD383" i="9"/>
  <c r="AE383" i="9"/>
  <c r="J383" i="9"/>
  <c r="L383" i="9"/>
  <c r="M383" i="9"/>
  <c r="P383" i="9"/>
  <c r="Q383" i="9"/>
  <c r="AC384" i="9"/>
  <c r="AD384" i="9"/>
  <c r="AE384" i="9"/>
  <c r="J384" i="9"/>
  <c r="L384" i="9"/>
  <c r="M384" i="9"/>
  <c r="P384" i="9"/>
  <c r="Q384" i="9"/>
  <c r="AC385" i="9"/>
  <c r="AD385" i="9"/>
  <c r="AE385" i="9"/>
  <c r="J385" i="9"/>
  <c r="L385" i="9"/>
  <c r="M385" i="9"/>
  <c r="P385" i="9"/>
  <c r="Q385" i="9"/>
  <c r="AC386" i="9"/>
  <c r="AD386" i="9"/>
  <c r="AE386" i="9"/>
  <c r="J386" i="9"/>
  <c r="L386" i="9"/>
  <c r="M386" i="9"/>
  <c r="P386" i="9"/>
  <c r="Q386" i="9"/>
  <c r="AC387" i="9"/>
  <c r="AD387" i="9"/>
  <c r="AE387" i="9"/>
  <c r="J387" i="9"/>
  <c r="L387" i="9"/>
  <c r="M387" i="9"/>
  <c r="P387" i="9"/>
  <c r="Q387" i="9"/>
  <c r="AC388" i="9"/>
  <c r="AD388" i="9"/>
  <c r="AE388" i="9"/>
  <c r="J388" i="9"/>
  <c r="L388" i="9"/>
  <c r="M388" i="9"/>
  <c r="P388" i="9"/>
  <c r="Q388" i="9"/>
  <c r="AC389" i="9"/>
  <c r="AD389" i="9"/>
  <c r="AE389" i="9"/>
  <c r="J389" i="9"/>
  <c r="L389" i="9"/>
  <c r="M389" i="9"/>
  <c r="P389" i="9"/>
  <c r="Q389" i="9"/>
  <c r="AC390" i="9"/>
  <c r="AD390" i="9"/>
  <c r="AE390" i="9"/>
  <c r="J390" i="9"/>
  <c r="L390" i="9"/>
  <c r="M390" i="9"/>
  <c r="P390" i="9"/>
  <c r="Q390" i="9"/>
  <c r="AC391" i="9"/>
  <c r="AD391" i="9"/>
  <c r="AE391" i="9"/>
  <c r="J391" i="9"/>
  <c r="L391" i="9"/>
  <c r="M391" i="9"/>
  <c r="P391" i="9"/>
  <c r="Q391" i="9"/>
  <c r="AC392" i="9"/>
  <c r="AD392" i="9"/>
  <c r="AE392" i="9"/>
  <c r="J392" i="9"/>
  <c r="L392" i="9"/>
  <c r="M392" i="9"/>
  <c r="P392" i="9"/>
  <c r="Q392" i="9"/>
  <c r="AC393" i="9"/>
  <c r="AD393" i="9"/>
  <c r="AE393" i="9"/>
  <c r="J393" i="9"/>
  <c r="L393" i="9"/>
  <c r="M393" i="9"/>
  <c r="P393" i="9"/>
  <c r="Q393" i="9"/>
  <c r="AC394" i="9"/>
  <c r="AD394" i="9"/>
  <c r="AE394" i="9"/>
  <c r="J394" i="9"/>
  <c r="L394" i="9"/>
  <c r="M394" i="9"/>
  <c r="P394" i="9"/>
  <c r="Q394" i="9"/>
  <c r="AC395" i="9"/>
  <c r="AD395" i="9"/>
  <c r="AE395" i="9"/>
  <c r="J395" i="9"/>
  <c r="L395" i="9"/>
  <c r="M395" i="9"/>
  <c r="P395" i="9"/>
  <c r="Q395" i="9"/>
  <c r="AC396" i="9"/>
  <c r="AD396" i="9"/>
  <c r="AE396" i="9"/>
  <c r="J396" i="9"/>
  <c r="L396" i="9"/>
  <c r="M396" i="9"/>
  <c r="P396" i="9"/>
  <c r="Q396" i="9"/>
  <c r="AC397" i="9"/>
  <c r="AD397" i="9"/>
  <c r="AE397" i="9"/>
  <c r="J397" i="9"/>
  <c r="L397" i="9"/>
  <c r="M397" i="9"/>
  <c r="P397" i="9"/>
  <c r="Q397" i="9"/>
  <c r="A354" i="9"/>
  <c r="B354" i="9"/>
  <c r="C354" i="9"/>
  <c r="A355" i="9"/>
  <c r="B355" i="9"/>
  <c r="C355" i="9"/>
  <c r="A356" i="9"/>
  <c r="B356" i="9"/>
  <c r="C356" i="9"/>
  <c r="A357" i="9"/>
  <c r="B357" i="9"/>
  <c r="C357" i="9"/>
  <c r="A358" i="9"/>
  <c r="B358" i="9"/>
  <c r="C358" i="9"/>
  <c r="A359" i="9"/>
  <c r="B359" i="9"/>
  <c r="C359" i="9"/>
  <c r="A360" i="9"/>
  <c r="B360" i="9"/>
  <c r="C360" i="9"/>
  <c r="A361" i="9"/>
  <c r="B361" i="9"/>
  <c r="C361" i="9"/>
  <c r="A362" i="9"/>
  <c r="B362" i="9"/>
  <c r="C362" i="9"/>
  <c r="A363" i="9"/>
  <c r="B363" i="9"/>
  <c r="C363" i="9"/>
  <c r="A364" i="9"/>
  <c r="B364" i="9"/>
  <c r="C364" i="9"/>
  <c r="A365" i="9"/>
  <c r="B365" i="9"/>
  <c r="C365" i="9"/>
  <c r="A366" i="9"/>
  <c r="B366" i="9"/>
  <c r="C366" i="9"/>
  <c r="A367" i="9"/>
  <c r="B367" i="9"/>
  <c r="C367" i="9"/>
  <c r="A368" i="9"/>
  <c r="B368" i="9"/>
  <c r="C368" i="9"/>
  <c r="A369" i="9"/>
  <c r="B369" i="9"/>
  <c r="C369" i="9"/>
  <c r="A370" i="9"/>
  <c r="B370" i="9"/>
  <c r="C370" i="9"/>
  <c r="A371" i="9"/>
  <c r="B371" i="9"/>
  <c r="C371" i="9"/>
  <c r="A372" i="9"/>
  <c r="B372" i="9"/>
  <c r="C372" i="9"/>
  <c r="A373" i="9"/>
  <c r="B373" i="9"/>
  <c r="C373" i="9"/>
  <c r="A374" i="9"/>
  <c r="B374" i="9"/>
  <c r="C374" i="9"/>
  <c r="A375" i="9"/>
  <c r="B375" i="9"/>
  <c r="C375" i="9"/>
  <c r="A376" i="9"/>
  <c r="B376" i="9"/>
  <c r="C376" i="9"/>
  <c r="A377" i="9"/>
  <c r="B377" i="9"/>
  <c r="C377" i="9"/>
  <c r="A378" i="9"/>
  <c r="B378" i="9"/>
  <c r="C378" i="9"/>
  <c r="A379" i="9"/>
  <c r="B379" i="9"/>
  <c r="C379" i="9"/>
  <c r="A380" i="9"/>
  <c r="B380" i="9"/>
  <c r="C380" i="9"/>
  <c r="A381" i="9"/>
  <c r="B381" i="9"/>
  <c r="C381" i="9"/>
  <c r="A382" i="9"/>
  <c r="B382" i="9"/>
  <c r="C382" i="9"/>
  <c r="A383" i="9"/>
  <c r="B383" i="9"/>
  <c r="C383" i="9"/>
  <c r="A384" i="9"/>
  <c r="B384" i="9"/>
  <c r="C384" i="9"/>
  <c r="A385" i="9"/>
  <c r="B385" i="9"/>
  <c r="C385" i="9"/>
  <c r="A386" i="9"/>
  <c r="B386" i="9"/>
  <c r="C386" i="9"/>
  <c r="A387" i="9"/>
  <c r="B387" i="9"/>
  <c r="C387" i="9"/>
  <c r="A388" i="9"/>
  <c r="B388" i="9"/>
  <c r="C388" i="9"/>
  <c r="A389" i="9"/>
  <c r="B389" i="9"/>
  <c r="C389" i="9"/>
  <c r="A390" i="9"/>
  <c r="B390" i="9"/>
  <c r="C390" i="9"/>
  <c r="A391" i="9"/>
  <c r="B391" i="9"/>
  <c r="C391" i="9"/>
  <c r="A392" i="9"/>
  <c r="B392" i="9"/>
  <c r="C392" i="9"/>
  <c r="A393" i="9"/>
  <c r="B393" i="9"/>
  <c r="C393" i="9"/>
  <c r="A394" i="9"/>
  <c r="B394" i="9"/>
  <c r="C394" i="9"/>
  <c r="A395" i="9"/>
  <c r="B395" i="9"/>
  <c r="C395" i="9"/>
  <c r="A396" i="9"/>
  <c r="B396" i="9"/>
  <c r="C396" i="9"/>
  <c r="A397" i="9"/>
  <c r="B397" i="9"/>
  <c r="C397" i="9"/>
  <c r="Q353" i="9"/>
  <c r="P353" i="9"/>
  <c r="M353" i="9"/>
  <c r="L353" i="9"/>
  <c r="J353" i="9"/>
  <c r="AE353" i="9"/>
  <c r="AD353" i="9"/>
  <c r="AC353" i="9"/>
  <c r="C353" i="9"/>
  <c r="B353" i="9"/>
  <c r="C47" i="23"/>
  <c r="D47" i="23"/>
  <c r="E47" i="23"/>
  <c r="F47" i="23"/>
  <c r="G47" i="23"/>
  <c r="H47" i="23"/>
  <c r="I47" i="23"/>
  <c r="J47" i="23"/>
  <c r="K47" i="23"/>
  <c r="L47" i="23"/>
  <c r="M47" i="23"/>
  <c r="N47" i="23"/>
  <c r="O47" i="23"/>
  <c r="P47" i="23"/>
  <c r="B47" i="23"/>
  <c r="A353" i="9"/>
  <c r="C14" i="23"/>
  <c r="C2" i="23"/>
  <c r="L76" i="13"/>
  <c r="L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L146" i="13"/>
  <c r="L147" i="13"/>
  <c r="L148" i="13"/>
  <c r="L149" i="13"/>
  <c r="L150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L208" i="13"/>
  <c r="L209" i="13"/>
  <c r="L210" i="13"/>
  <c r="L211" i="13"/>
  <c r="L212" i="13"/>
  <c r="L213" i="13"/>
  <c r="L214" i="13"/>
  <c r="L215" i="13"/>
  <c r="L216" i="13"/>
  <c r="L217" i="13"/>
  <c r="L218" i="13"/>
  <c r="L219" i="13"/>
  <c r="L220" i="13"/>
  <c r="L221" i="13"/>
  <c r="L222" i="13"/>
  <c r="L223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2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L271" i="13"/>
  <c r="L272" i="13"/>
  <c r="L273" i="13"/>
  <c r="L274" i="13"/>
  <c r="L275" i="13"/>
  <c r="L276" i="13"/>
  <c r="L277" i="13"/>
  <c r="L278" i="13"/>
  <c r="L279" i="13"/>
  <c r="L280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299" i="13"/>
  <c r="L300" i="13"/>
  <c r="L301" i="13"/>
  <c r="L302" i="13"/>
  <c r="L303" i="13"/>
  <c r="L304" i="13"/>
  <c r="L305" i="13"/>
  <c r="L306" i="13"/>
  <c r="L307" i="13"/>
  <c r="L308" i="13"/>
  <c r="L309" i="13"/>
  <c r="L310" i="13"/>
  <c r="L311" i="13"/>
  <c r="L312" i="13"/>
  <c r="L313" i="13"/>
  <c r="L314" i="13"/>
  <c r="L315" i="13"/>
  <c r="L316" i="13"/>
  <c r="L317" i="13"/>
  <c r="L318" i="13"/>
  <c r="L319" i="13"/>
  <c r="L320" i="13"/>
  <c r="L321" i="13"/>
  <c r="L322" i="13"/>
  <c r="L323" i="13"/>
  <c r="L324" i="13"/>
  <c r="L325" i="13"/>
  <c r="L326" i="13"/>
  <c r="L327" i="13"/>
  <c r="L328" i="13"/>
  <c r="L329" i="13"/>
  <c r="L330" i="13"/>
  <c r="L331" i="13"/>
  <c r="L332" i="13"/>
  <c r="L333" i="13"/>
  <c r="L334" i="13"/>
  <c r="L335" i="13"/>
  <c r="L336" i="13"/>
  <c r="L337" i="13"/>
  <c r="L338" i="13"/>
  <c r="L339" i="13"/>
  <c r="L340" i="13"/>
  <c r="L341" i="13"/>
  <c r="L342" i="13"/>
  <c r="L343" i="13"/>
  <c r="L344" i="13"/>
  <c r="L345" i="13"/>
  <c r="L346" i="13"/>
  <c r="L347" i="13"/>
  <c r="L348" i="13"/>
  <c r="L349" i="13"/>
  <c r="L350" i="13"/>
  <c r="L351" i="13"/>
  <c r="L352" i="13"/>
  <c r="L353" i="13"/>
  <c r="L354" i="13"/>
  <c r="L355" i="13"/>
  <c r="L356" i="13"/>
  <c r="L357" i="13"/>
  <c r="L358" i="13"/>
  <c r="L359" i="13"/>
  <c r="L360" i="13"/>
  <c r="L361" i="13"/>
  <c r="L362" i="13"/>
  <c r="L363" i="13"/>
  <c r="L364" i="13"/>
  <c r="L365" i="13"/>
  <c r="L366" i="13"/>
  <c r="L367" i="13"/>
  <c r="L368" i="13"/>
  <c r="L369" i="13"/>
  <c r="L370" i="13"/>
  <c r="L371" i="13"/>
  <c r="L372" i="13"/>
  <c r="L373" i="13"/>
  <c r="L374" i="13"/>
  <c r="L375" i="13"/>
  <c r="L376" i="13"/>
  <c r="L377" i="13"/>
  <c r="L378" i="13"/>
  <c r="L379" i="13"/>
  <c r="L380" i="13"/>
  <c r="L381" i="13"/>
  <c r="L382" i="13"/>
  <c r="L383" i="13"/>
  <c r="L384" i="13"/>
  <c r="L385" i="13"/>
  <c r="L386" i="13"/>
  <c r="L387" i="13"/>
  <c r="L388" i="13"/>
  <c r="L389" i="13"/>
  <c r="L2" i="13"/>
  <c r="H3" i="13"/>
  <c r="I3" i="13"/>
  <c r="K3" i="13"/>
  <c r="H4" i="13"/>
  <c r="I4" i="13"/>
  <c r="K4" i="13"/>
  <c r="H5" i="13"/>
  <c r="I5" i="13"/>
  <c r="K5" i="13"/>
  <c r="H6" i="13"/>
  <c r="I6" i="13"/>
  <c r="K6" i="13"/>
  <c r="H7" i="13"/>
  <c r="I7" i="13"/>
  <c r="K7" i="13"/>
  <c r="H8" i="13"/>
  <c r="I8" i="13"/>
  <c r="K8" i="13"/>
  <c r="H9" i="13"/>
  <c r="I9" i="13"/>
  <c r="K9" i="13"/>
  <c r="H10" i="13"/>
  <c r="I10" i="13"/>
  <c r="K10" i="13"/>
  <c r="H11" i="13"/>
  <c r="I11" i="13"/>
  <c r="K11" i="13"/>
  <c r="H12" i="13"/>
  <c r="I12" i="13"/>
  <c r="K12" i="13"/>
  <c r="H13" i="13"/>
  <c r="I13" i="13"/>
  <c r="K13" i="13"/>
  <c r="H14" i="13"/>
  <c r="I14" i="13"/>
  <c r="K14" i="13"/>
  <c r="H15" i="13"/>
  <c r="I15" i="13"/>
  <c r="K15" i="13"/>
  <c r="H16" i="13"/>
  <c r="I16" i="13"/>
  <c r="K16" i="13"/>
  <c r="H17" i="13"/>
  <c r="I17" i="13"/>
  <c r="K17" i="13"/>
  <c r="H18" i="13"/>
  <c r="I18" i="13"/>
  <c r="K18" i="13"/>
  <c r="H19" i="13"/>
  <c r="I19" i="13"/>
  <c r="K19" i="13"/>
  <c r="H20" i="13"/>
  <c r="I20" i="13"/>
  <c r="K20" i="13"/>
  <c r="H21" i="13"/>
  <c r="I21" i="13"/>
  <c r="K21" i="13"/>
  <c r="H22" i="13"/>
  <c r="I22" i="13"/>
  <c r="K22" i="13"/>
  <c r="H23" i="13"/>
  <c r="I23" i="13"/>
  <c r="K23" i="13"/>
  <c r="H24" i="13"/>
  <c r="I24" i="13"/>
  <c r="K24" i="13"/>
  <c r="H25" i="13"/>
  <c r="I25" i="13"/>
  <c r="K25" i="13"/>
  <c r="H26" i="13"/>
  <c r="I26" i="13"/>
  <c r="K26" i="13"/>
  <c r="H27" i="13"/>
  <c r="I27" i="13"/>
  <c r="K27" i="13"/>
  <c r="H28" i="13"/>
  <c r="I28" i="13"/>
  <c r="K28" i="13"/>
  <c r="H29" i="13"/>
  <c r="I29" i="13"/>
  <c r="K29" i="13"/>
  <c r="H30" i="13"/>
  <c r="I30" i="13"/>
  <c r="K30" i="13"/>
  <c r="H31" i="13"/>
  <c r="I31" i="13"/>
  <c r="K31" i="13"/>
  <c r="H32" i="13"/>
  <c r="I32" i="13"/>
  <c r="K32" i="13"/>
  <c r="H33" i="13"/>
  <c r="I33" i="13"/>
  <c r="K33" i="13"/>
  <c r="H34" i="13"/>
  <c r="I34" i="13"/>
  <c r="K34" i="13"/>
  <c r="H35" i="13"/>
  <c r="I35" i="13"/>
  <c r="K35" i="13"/>
  <c r="H36" i="13"/>
  <c r="I36" i="13"/>
  <c r="K36" i="13"/>
  <c r="H37" i="13"/>
  <c r="I37" i="13"/>
  <c r="K37" i="13"/>
  <c r="H38" i="13"/>
  <c r="I38" i="13"/>
  <c r="K38" i="13"/>
  <c r="H39" i="13"/>
  <c r="I39" i="13"/>
  <c r="K39" i="13"/>
  <c r="H40" i="13"/>
  <c r="I40" i="13"/>
  <c r="K40" i="13"/>
  <c r="H41" i="13"/>
  <c r="I41" i="13"/>
  <c r="K41" i="13"/>
  <c r="H42" i="13"/>
  <c r="I42" i="13"/>
  <c r="K42" i="13"/>
  <c r="H43" i="13"/>
  <c r="I43" i="13"/>
  <c r="K43" i="13"/>
  <c r="H44" i="13"/>
  <c r="I44" i="13"/>
  <c r="K44" i="13"/>
  <c r="H45" i="13"/>
  <c r="I45" i="13"/>
  <c r="K45" i="13"/>
  <c r="H46" i="13"/>
  <c r="I46" i="13"/>
  <c r="K46" i="13"/>
  <c r="H47" i="13"/>
  <c r="I47" i="13"/>
  <c r="K47" i="13"/>
  <c r="H48" i="13"/>
  <c r="I48" i="13"/>
  <c r="K48" i="13"/>
  <c r="H49" i="13"/>
  <c r="I49" i="13"/>
  <c r="K49" i="13"/>
  <c r="H50" i="13"/>
  <c r="I50" i="13"/>
  <c r="K50" i="13"/>
  <c r="H51" i="13"/>
  <c r="I51" i="13"/>
  <c r="K51" i="13"/>
  <c r="H52" i="13"/>
  <c r="I52" i="13"/>
  <c r="K52" i="13"/>
  <c r="H53" i="13"/>
  <c r="I53" i="13"/>
  <c r="K53" i="13"/>
  <c r="H54" i="13"/>
  <c r="I54" i="13"/>
  <c r="K54" i="13"/>
  <c r="H55" i="13"/>
  <c r="I55" i="13"/>
  <c r="K55" i="13"/>
  <c r="H56" i="13"/>
  <c r="I56" i="13"/>
  <c r="K56" i="13"/>
  <c r="H57" i="13"/>
  <c r="I57" i="13"/>
  <c r="K57" i="13"/>
  <c r="H58" i="13"/>
  <c r="I58" i="13"/>
  <c r="K58" i="13"/>
  <c r="H59" i="13"/>
  <c r="I59" i="13"/>
  <c r="K59" i="13"/>
  <c r="H60" i="13"/>
  <c r="I60" i="13"/>
  <c r="K60" i="13"/>
  <c r="H61" i="13"/>
  <c r="I61" i="13"/>
  <c r="K61" i="13"/>
  <c r="H62" i="13"/>
  <c r="I62" i="13"/>
  <c r="K62" i="13"/>
  <c r="H63" i="13"/>
  <c r="I63" i="13"/>
  <c r="K63" i="13"/>
  <c r="H64" i="13"/>
  <c r="I64" i="13"/>
  <c r="K64" i="13"/>
  <c r="H65" i="13"/>
  <c r="I65" i="13"/>
  <c r="K65" i="13"/>
  <c r="H66" i="13"/>
  <c r="I66" i="13"/>
  <c r="K66" i="13"/>
  <c r="H67" i="13"/>
  <c r="I67" i="13"/>
  <c r="K67" i="13"/>
  <c r="H68" i="13"/>
  <c r="I68" i="13"/>
  <c r="K68" i="13"/>
  <c r="H69" i="13"/>
  <c r="I69" i="13"/>
  <c r="K69" i="13"/>
  <c r="H70" i="13"/>
  <c r="I70" i="13"/>
  <c r="K70" i="13"/>
  <c r="H71" i="13"/>
  <c r="I71" i="13"/>
  <c r="K71" i="13"/>
  <c r="H72" i="13"/>
  <c r="I72" i="13"/>
  <c r="K72" i="13"/>
  <c r="H73" i="13"/>
  <c r="I73" i="13"/>
  <c r="K73" i="13"/>
  <c r="H74" i="13"/>
  <c r="I74" i="13"/>
  <c r="K74" i="13"/>
  <c r="H75" i="13"/>
  <c r="I75" i="13"/>
  <c r="K75" i="13"/>
  <c r="H76" i="13"/>
  <c r="I76" i="13"/>
  <c r="K76" i="13"/>
  <c r="H77" i="13"/>
  <c r="I77" i="13"/>
  <c r="K77" i="13"/>
  <c r="H78" i="13"/>
  <c r="I78" i="13"/>
  <c r="K78" i="13"/>
  <c r="H79" i="13"/>
  <c r="I79" i="13"/>
  <c r="K79" i="13"/>
  <c r="H80" i="13"/>
  <c r="I80" i="13"/>
  <c r="K80" i="13"/>
  <c r="H81" i="13"/>
  <c r="I81" i="13"/>
  <c r="K81" i="13"/>
  <c r="H82" i="13"/>
  <c r="I82" i="13"/>
  <c r="K82" i="13"/>
  <c r="H83" i="13"/>
  <c r="I83" i="13"/>
  <c r="K83" i="13"/>
  <c r="H84" i="13"/>
  <c r="I84" i="13"/>
  <c r="K84" i="13"/>
  <c r="H85" i="13"/>
  <c r="I85" i="13"/>
  <c r="K85" i="13"/>
  <c r="H86" i="13"/>
  <c r="I86" i="13"/>
  <c r="K86" i="13"/>
  <c r="H87" i="13"/>
  <c r="I87" i="13"/>
  <c r="K87" i="13"/>
  <c r="H88" i="13"/>
  <c r="I88" i="13"/>
  <c r="K88" i="13"/>
  <c r="H89" i="13"/>
  <c r="I89" i="13"/>
  <c r="K89" i="13"/>
  <c r="H90" i="13"/>
  <c r="I90" i="13"/>
  <c r="K90" i="13"/>
  <c r="H91" i="13"/>
  <c r="I91" i="13"/>
  <c r="K91" i="13"/>
  <c r="H92" i="13"/>
  <c r="I92" i="13"/>
  <c r="K92" i="13"/>
  <c r="H93" i="13"/>
  <c r="I93" i="13"/>
  <c r="K93" i="13"/>
  <c r="H94" i="13"/>
  <c r="I94" i="13"/>
  <c r="K94" i="13"/>
  <c r="H95" i="13"/>
  <c r="I95" i="13"/>
  <c r="K95" i="13"/>
  <c r="H96" i="13"/>
  <c r="I96" i="13"/>
  <c r="K96" i="13"/>
  <c r="H97" i="13"/>
  <c r="I97" i="13"/>
  <c r="K97" i="13"/>
  <c r="H98" i="13"/>
  <c r="I98" i="13"/>
  <c r="K98" i="13"/>
  <c r="H99" i="13"/>
  <c r="I99" i="13"/>
  <c r="K99" i="13"/>
  <c r="H100" i="13"/>
  <c r="I100" i="13"/>
  <c r="K100" i="13"/>
  <c r="H101" i="13"/>
  <c r="I101" i="13"/>
  <c r="K101" i="13"/>
  <c r="H102" i="13"/>
  <c r="I102" i="13"/>
  <c r="K102" i="13"/>
  <c r="H103" i="13"/>
  <c r="I103" i="13"/>
  <c r="K103" i="13"/>
  <c r="H104" i="13"/>
  <c r="I104" i="13"/>
  <c r="K104" i="13"/>
  <c r="H105" i="13"/>
  <c r="I105" i="13"/>
  <c r="K105" i="13"/>
  <c r="H106" i="13"/>
  <c r="I106" i="13"/>
  <c r="K106" i="13"/>
  <c r="H107" i="13"/>
  <c r="I107" i="13"/>
  <c r="K107" i="13"/>
  <c r="H108" i="13"/>
  <c r="I108" i="13"/>
  <c r="K108" i="13"/>
  <c r="H109" i="13"/>
  <c r="I109" i="13"/>
  <c r="K109" i="13"/>
  <c r="H110" i="13"/>
  <c r="I110" i="13"/>
  <c r="K110" i="13"/>
  <c r="H111" i="13"/>
  <c r="I111" i="13"/>
  <c r="K111" i="13"/>
  <c r="H112" i="13"/>
  <c r="I112" i="13"/>
  <c r="K112" i="13"/>
  <c r="H113" i="13"/>
  <c r="I113" i="13"/>
  <c r="K113" i="13"/>
  <c r="H114" i="13"/>
  <c r="I114" i="13"/>
  <c r="K114" i="13"/>
  <c r="H115" i="13"/>
  <c r="I115" i="13"/>
  <c r="K115" i="13"/>
  <c r="H116" i="13"/>
  <c r="I116" i="13"/>
  <c r="K116" i="13"/>
  <c r="H117" i="13"/>
  <c r="I117" i="13"/>
  <c r="K117" i="13"/>
  <c r="H118" i="13"/>
  <c r="I118" i="13"/>
  <c r="K118" i="13"/>
  <c r="H119" i="13"/>
  <c r="I119" i="13"/>
  <c r="K119" i="13"/>
  <c r="H120" i="13"/>
  <c r="I120" i="13"/>
  <c r="K120" i="13"/>
  <c r="H121" i="13"/>
  <c r="I121" i="13"/>
  <c r="K121" i="13"/>
  <c r="H122" i="13"/>
  <c r="I122" i="13"/>
  <c r="K122" i="13"/>
  <c r="H123" i="13"/>
  <c r="I123" i="13"/>
  <c r="K123" i="13"/>
  <c r="H124" i="13"/>
  <c r="I124" i="13"/>
  <c r="K124" i="13"/>
  <c r="H125" i="13"/>
  <c r="I125" i="13"/>
  <c r="K125" i="13"/>
  <c r="H126" i="13"/>
  <c r="I126" i="13"/>
  <c r="K126" i="13"/>
  <c r="H127" i="13"/>
  <c r="I127" i="13"/>
  <c r="K127" i="13"/>
  <c r="H128" i="13"/>
  <c r="I128" i="13"/>
  <c r="K128" i="13"/>
  <c r="H129" i="13"/>
  <c r="I129" i="13"/>
  <c r="K129" i="13"/>
  <c r="H130" i="13"/>
  <c r="I130" i="13"/>
  <c r="K130" i="13"/>
  <c r="H131" i="13"/>
  <c r="I131" i="13"/>
  <c r="K131" i="13"/>
  <c r="H132" i="13"/>
  <c r="I132" i="13"/>
  <c r="K132" i="13"/>
  <c r="H133" i="13"/>
  <c r="I133" i="13"/>
  <c r="K133" i="13"/>
  <c r="H134" i="13"/>
  <c r="I134" i="13"/>
  <c r="K134" i="13"/>
  <c r="H135" i="13"/>
  <c r="I135" i="13"/>
  <c r="K135" i="13"/>
  <c r="H136" i="13"/>
  <c r="I136" i="13"/>
  <c r="K136" i="13"/>
  <c r="H137" i="13"/>
  <c r="I137" i="13"/>
  <c r="K137" i="13"/>
  <c r="H138" i="13"/>
  <c r="I138" i="13"/>
  <c r="K138" i="13"/>
  <c r="H139" i="13"/>
  <c r="I139" i="13"/>
  <c r="K139" i="13"/>
  <c r="H140" i="13"/>
  <c r="I140" i="13"/>
  <c r="K140" i="13"/>
  <c r="H141" i="13"/>
  <c r="I141" i="13"/>
  <c r="K141" i="13"/>
  <c r="H142" i="13"/>
  <c r="I142" i="13"/>
  <c r="K142" i="13"/>
  <c r="H143" i="13"/>
  <c r="I143" i="13"/>
  <c r="K143" i="13"/>
  <c r="H144" i="13"/>
  <c r="I144" i="13"/>
  <c r="K144" i="13"/>
  <c r="H145" i="13"/>
  <c r="I145" i="13"/>
  <c r="K145" i="13"/>
  <c r="H146" i="13"/>
  <c r="I146" i="13"/>
  <c r="K146" i="13"/>
  <c r="H147" i="13"/>
  <c r="I147" i="13"/>
  <c r="K147" i="13"/>
  <c r="H148" i="13"/>
  <c r="I148" i="13"/>
  <c r="K148" i="13"/>
  <c r="H149" i="13"/>
  <c r="I149" i="13"/>
  <c r="K149" i="13"/>
  <c r="H150" i="13"/>
  <c r="I150" i="13"/>
  <c r="K150" i="13"/>
  <c r="H151" i="13"/>
  <c r="I151" i="13"/>
  <c r="K151" i="13"/>
  <c r="H152" i="13"/>
  <c r="I152" i="13"/>
  <c r="K152" i="13"/>
  <c r="H153" i="13"/>
  <c r="I153" i="13"/>
  <c r="K153" i="13"/>
  <c r="H154" i="13"/>
  <c r="I154" i="13"/>
  <c r="K154" i="13"/>
  <c r="H155" i="13"/>
  <c r="I155" i="13"/>
  <c r="K155" i="13"/>
  <c r="H156" i="13"/>
  <c r="I156" i="13"/>
  <c r="K156" i="13"/>
  <c r="H157" i="13"/>
  <c r="I157" i="13"/>
  <c r="K157" i="13"/>
  <c r="H158" i="13"/>
  <c r="I158" i="13"/>
  <c r="K158" i="13"/>
  <c r="H159" i="13"/>
  <c r="I159" i="13"/>
  <c r="K159" i="13"/>
  <c r="H160" i="13"/>
  <c r="I160" i="13"/>
  <c r="K160" i="13"/>
  <c r="H161" i="13"/>
  <c r="I161" i="13"/>
  <c r="K161" i="13"/>
  <c r="H162" i="13"/>
  <c r="I162" i="13"/>
  <c r="K162" i="13"/>
  <c r="H163" i="13"/>
  <c r="I163" i="13"/>
  <c r="K163" i="13"/>
  <c r="H164" i="13"/>
  <c r="I164" i="13"/>
  <c r="K164" i="13"/>
  <c r="H165" i="13"/>
  <c r="I165" i="13"/>
  <c r="K165" i="13"/>
  <c r="H166" i="13"/>
  <c r="I166" i="13"/>
  <c r="K166" i="13"/>
  <c r="H167" i="13"/>
  <c r="I167" i="13"/>
  <c r="K167" i="13"/>
  <c r="H168" i="13"/>
  <c r="I168" i="13"/>
  <c r="K168" i="13"/>
  <c r="H169" i="13"/>
  <c r="I169" i="13"/>
  <c r="K169" i="13"/>
  <c r="H170" i="13"/>
  <c r="I170" i="13"/>
  <c r="K170" i="13"/>
  <c r="H171" i="13"/>
  <c r="I171" i="13"/>
  <c r="K171" i="13"/>
  <c r="H172" i="13"/>
  <c r="I172" i="13"/>
  <c r="K172" i="13"/>
  <c r="H173" i="13"/>
  <c r="I173" i="13"/>
  <c r="K173" i="13"/>
  <c r="H174" i="13"/>
  <c r="I174" i="13"/>
  <c r="K174" i="13"/>
  <c r="H175" i="13"/>
  <c r="I175" i="13"/>
  <c r="K175" i="13"/>
  <c r="H176" i="13"/>
  <c r="I176" i="13"/>
  <c r="K176" i="13"/>
  <c r="H177" i="13"/>
  <c r="I177" i="13"/>
  <c r="K177" i="13"/>
  <c r="H178" i="13"/>
  <c r="I178" i="13"/>
  <c r="K178" i="13"/>
  <c r="H179" i="13"/>
  <c r="I179" i="13"/>
  <c r="K179" i="13"/>
  <c r="H180" i="13"/>
  <c r="I180" i="13"/>
  <c r="K180" i="13"/>
  <c r="H181" i="13"/>
  <c r="I181" i="13"/>
  <c r="K181" i="13"/>
  <c r="H182" i="13"/>
  <c r="I182" i="13"/>
  <c r="K182" i="13"/>
  <c r="H183" i="13"/>
  <c r="I183" i="13"/>
  <c r="K183" i="13"/>
  <c r="H184" i="13"/>
  <c r="I184" i="13"/>
  <c r="K184" i="13"/>
  <c r="H185" i="13"/>
  <c r="I185" i="13"/>
  <c r="K185" i="13"/>
  <c r="H186" i="13"/>
  <c r="I186" i="13"/>
  <c r="K186" i="13"/>
  <c r="H187" i="13"/>
  <c r="I187" i="13"/>
  <c r="K187" i="13"/>
  <c r="H188" i="13"/>
  <c r="I188" i="13"/>
  <c r="K188" i="13"/>
  <c r="H189" i="13"/>
  <c r="I189" i="13"/>
  <c r="K189" i="13"/>
  <c r="H190" i="13"/>
  <c r="I190" i="13"/>
  <c r="K190" i="13"/>
  <c r="H191" i="13"/>
  <c r="I191" i="13"/>
  <c r="K191" i="13"/>
  <c r="H192" i="13"/>
  <c r="I192" i="13"/>
  <c r="K192" i="13"/>
  <c r="H193" i="13"/>
  <c r="I193" i="13"/>
  <c r="K193" i="13"/>
  <c r="H194" i="13"/>
  <c r="I194" i="13"/>
  <c r="K194" i="13"/>
  <c r="H195" i="13"/>
  <c r="I195" i="13"/>
  <c r="K195" i="13"/>
  <c r="H196" i="13"/>
  <c r="I196" i="13"/>
  <c r="K196" i="13"/>
  <c r="H197" i="13"/>
  <c r="I197" i="13"/>
  <c r="K197" i="13"/>
  <c r="H198" i="13"/>
  <c r="I198" i="13"/>
  <c r="K198" i="13"/>
  <c r="H199" i="13"/>
  <c r="I199" i="13"/>
  <c r="K199" i="13"/>
  <c r="H200" i="13"/>
  <c r="I200" i="13"/>
  <c r="K200" i="13"/>
  <c r="H201" i="13"/>
  <c r="I201" i="13"/>
  <c r="K201" i="13"/>
  <c r="H202" i="13"/>
  <c r="I202" i="13"/>
  <c r="K202" i="13"/>
  <c r="H203" i="13"/>
  <c r="I203" i="13"/>
  <c r="K203" i="13"/>
  <c r="H204" i="13"/>
  <c r="I204" i="13"/>
  <c r="K204" i="13"/>
  <c r="H205" i="13"/>
  <c r="I205" i="13"/>
  <c r="K205" i="13"/>
  <c r="H206" i="13"/>
  <c r="I206" i="13"/>
  <c r="K206" i="13"/>
  <c r="H207" i="13"/>
  <c r="I207" i="13"/>
  <c r="K207" i="13"/>
  <c r="H208" i="13"/>
  <c r="I208" i="13"/>
  <c r="K208" i="13"/>
  <c r="H209" i="13"/>
  <c r="I209" i="13"/>
  <c r="K209" i="13"/>
  <c r="H210" i="13"/>
  <c r="I210" i="13"/>
  <c r="K210" i="13"/>
  <c r="H211" i="13"/>
  <c r="I211" i="13"/>
  <c r="K211" i="13"/>
  <c r="H212" i="13"/>
  <c r="I212" i="13"/>
  <c r="K212" i="13"/>
  <c r="H213" i="13"/>
  <c r="I213" i="13"/>
  <c r="K213" i="13"/>
  <c r="H214" i="13"/>
  <c r="I214" i="13"/>
  <c r="K214" i="13"/>
  <c r="H215" i="13"/>
  <c r="I215" i="13"/>
  <c r="K215" i="13"/>
  <c r="H216" i="13"/>
  <c r="I216" i="13"/>
  <c r="K216" i="13"/>
  <c r="H217" i="13"/>
  <c r="I217" i="13"/>
  <c r="K217" i="13"/>
  <c r="H218" i="13"/>
  <c r="I218" i="13"/>
  <c r="K218" i="13"/>
  <c r="H219" i="13"/>
  <c r="I219" i="13"/>
  <c r="K219" i="13"/>
  <c r="H220" i="13"/>
  <c r="I220" i="13"/>
  <c r="K220" i="13"/>
  <c r="H221" i="13"/>
  <c r="I221" i="13"/>
  <c r="K221" i="13"/>
  <c r="H222" i="13"/>
  <c r="I222" i="13"/>
  <c r="K222" i="13"/>
  <c r="H223" i="13"/>
  <c r="I223" i="13"/>
  <c r="K223" i="13"/>
  <c r="H224" i="13"/>
  <c r="I224" i="13"/>
  <c r="K224" i="13"/>
  <c r="H225" i="13"/>
  <c r="I225" i="13"/>
  <c r="K225" i="13"/>
  <c r="H226" i="13"/>
  <c r="I226" i="13"/>
  <c r="K226" i="13"/>
  <c r="H227" i="13"/>
  <c r="I227" i="13"/>
  <c r="K227" i="13"/>
  <c r="H228" i="13"/>
  <c r="I228" i="13"/>
  <c r="K228" i="13"/>
  <c r="H229" i="13"/>
  <c r="I229" i="13"/>
  <c r="K229" i="13"/>
  <c r="H230" i="13"/>
  <c r="I230" i="13"/>
  <c r="K230" i="13"/>
  <c r="H231" i="13"/>
  <c r="I231" i="13"/>
  <c r="K231" i="13"/>
  <c r="H232" i="13"/>
  <c r="I232" i="13"/>
  <c r="K232" i="13"/>
  <c r="H233" i="13"/>
  <c r="I233" i="13"/>
  <c r="K233" i="13"/>
  <c r="H234" i="13"/>
  <c r="I234" i="13"/>
  <c r="K234" i="13"/>
  <c r="H235" i="13"/>
  <c r="I235" i="13"/>
  <c r="K235" i="13"/>
  <c r="H236" i="13"/>
  <c r="I236" i="13"/>
  <c r="K236" i="13"/>
  <c r="H237" i="13"/>
  <c r="I237" i="13"/>
  <c r="K237" i="13"/>
  <c r="H238" i="13"/>
  <c r="I238" i="13"/>
  <c r="K238" i="13"/>
  <c r="H239" i="13"/>
  <c r="I239" i="13"/>
  <c r="K239" i="13"/>
  <c r="H240" i="13"/>
  <c r="I240" i="13"/>
  <c r="K240" i="13"/>
  <c r="H241" i="13"/>
  <c r="I241" i="13"/>
  <c r="K241" i="13"/>
  <c r="H242" i="13"/>
  <c r="I242" i="13"/>
  <c r="K242" i="13"/>
  <c r="H243" i="13"/>
  <c r="I243" i="13"/>
  <c r="K243" i="13"/>
  <c r="H244" i="13"/>
  <c r="I244" i="13"/>
  <c r="K244" i="13"/>
  <c r="H245" i="13"/>
  <c r="I245" i="13"/>
  <c r="K245" i="13"/>
  <c r="H246" i="13"/>
  <c r="I246" i="13"/>
  <c r="K246" i="13"/>
  <c r="H247" i="13"/>
  <c r="I247" i="13"/>
  <c r="K247" i="13"/>
  <c r="H248" i="13"/>
  <c r="I248" i="13"/>
  <c r="K248" i="13"/>
  <c r="H249" i="13"/>
  <c r="I249" i="13"/>
  <c r="K249" i="13"/>
  <c r="H250" i="13"/>
  <c r="I250" i="13"/>
  <c r="K250" i="13"/>
  <c r="H251" i="13"/>
  <c r="I251" i="13"/>
  <c r="K251" i="13"/>
  <c r="H252" i="13"/>
  <c r="I252" i="13"/>
  <c r="K252" i="13"/>
  <c r="H253" i="13"/>
  <c r="I253" i="13"/>
  <c r="K253" i="13"/>
  <c r="H254" i="13"/>
  <c r="I254" i="13"/>
  <c r="K254" i="13"/>
  <c r="H255" i="13"/>
  <c r="I255" i="13"/>
  <c r="K255" i="13"/>
  <c r="H256" i="13"/>
  <c r="I256" i="13"/>
  <c r="K256" i="13"/>
  <c r="H257" i="13"/>
  <c r="I257" i="13"/>
  <c r="K257" i="13"/>
  <c r="H258" i="13"/>
  <c r="I258" i="13"/>
  <c r="K258" i="13"/>
  <c r="H259" i="13"/>
  <c r="I259" i="13"/>
  <c r="K259" i="13"/>
  <c r="H260" i="13"/>
  <c r="I260" i="13"/>
  <c r="K260" i="13"/>
  <c r="H261" i="13"/>
  <c r="I261" i="13"/>
  <c r="K261" i="13"/>
  <c r="H262" i="13"/>
  <c r="I262" i="13"/>
  <c r="K262" i="13"/>
  <c r="H263" i="13"/>
  <c r="I263" i="13"/>
  <c r="K263" i="13"/>
  <c r="H264" i="13"/>
  <c r="I264" i="13"/>
  <c r="K264" i="13"/>
  <c r="H265" i="13"/>
  <c r="I265" i="13"/>
  <c r="K265" i="13"/>
  <c r="H266" i="13"/>
  <c r="I266" i="13"/>
  <c r="K266" i="13"/>
  <c r="H267" i="13"/>
  <c r="I267" i="13"/>
  <c r="K267" i="13"/>
  <c r="H268" i="13"/>
  <c r="I268" i="13"/>
  <c r="K268" i="13"/>
  <c r="H269" i="13"/>
  <c r="I269" i="13"/>
  <c r="K269" i="13"/>
  <c r="H270" i="13"/>
  <c r="I270" i="13"/>
  <c r="K270" i="13"/>
  <c r="H271" i="13"/>
  <c r="I271" i="13"/>
  <c r="K271" i="13"/>
  <c r="H272" i="13"/>
  <c r="I272" i="13"/>
  <c r="K272" i="13"/>
  <c r="H273" i="13"/>
  <c r="I273" i="13"/>
  <c r="K273" i="13"/>
  <c r="H274" i="13"/>
  <c r="I274" i="13"/>
  <c r="K274" i="13"/>
  <c r="H275" i="13"/>
  <c r="I275" i="13"/>
  <c r="K275" i="13"/>
  <c r="H276" i="13"/>
  <c r="I276" i="13"/>
  <c r="K276" i="13"/>
  <c r="H277" i="13"/>
  <c r="I277" i="13"/>
  <c r="K277" i="13"/>
  <c r="H278" i="13"/>
  <c r="I278" i="13"/>
  <c r="K278" i="13"/>
  <c r="H279" i="13"/>
  <c r="I279" i="13"/>
  <c r="K279" i="13"/>
  <c r="H280" i="13"/>
  <c r="I280" i="13"/>
  <c r="K280" i="13"/>
  <c r="H281" i="13"/>
  <c r="I281" i="13"/>
  <c r="K281" i="13"/>
  <c r="H282" i="13"/>
  <c r="I282" i="13"/>
  <c r="K282" i="13"/>
  <c r="H283" i="13"/>
  <c r="I283" i="13"/>
  <c r="K283" i="13"/>
  <c r="H284" i="13"/>
  <c r="I284" i="13"/>
  <c r="K284" i="13"/>
  <c r="H285" i="13"/>
  <c r="I285" i="13"/>
  <c r="K285" i="13"/>
  <c r="H286" i="13"/>
  <c r="I286" i="13"/>
  <c r="K286" i="13"/>
  <c r="H287" i="13"/>
  <c r="I287" i="13"/>
  <c r="K287" i="13"/>
  <c r="H288" i="13"/>
  <c r="I288" i="13"/>
  <c r="K288" i="13"/>
  <c r="H289" i="13"/>
  <c r="I289" i="13"/>
  <c r="K289" i="13"/>
  <c r="H290" i="13"/>
  <c r="I290" i="13"/>
  <c r="K290" i="13"/>
  <c r="H291" i="13"/>
  <c r="I291" i="13"/>
  <c r="K291" i="13"/>
  <c r="H292" i="13"/>
  <c r="I292" i="13"/>
  <c r="K292" i="13"/>
  <c r="H293" i="13"/>
  <c r="I293" i="13"/>
  <c r="K293" i="13"/>
  <c r="H294" i="13"/>
  <c r="I294" i="13"/>
  <c r="K294" i="13"/>
  <c r="H295" i="13"/>
  <c r="I295" i="13"/>
  <c r="K295" i="13"/>
  <c r="H296" i="13"/>
  <c r="I296" i="13"/>
  <c r="K296" i="13"/>
  <c r="H297" i="13"/>
  <c r="I297" i="13"/>
  <c r="K297" i="13"/>
  <c r="H298" i="13"/>
  <c r="I298" i="13"/>
  <c r="K298" i="13"/>
  <c r="H299" i="13"/>
  <c r="I299" i="13"/>
  <c r="K299" i="13"/>
  <c r="H300" i="13"/>
  <c r="I300" i="13"/>
  <c r="K300" i="13"/>
  <c r="H301" i="13"/>
  <c r="I301" i="13"/>
  <c r="K301" i="13"/>
  <c r="H302" i="13"/>
  <c r="I302" i="13"/>
  <c r="K302" i="13"/>
  <c r="H303" i="13"/>
  <c r="I303" i="13"/>
  <c r="K303" i="13"/>
  <c r="H304" i="13"/>
  <c r="I304" i="13"/>
  <c r="K304" i="13"/>
  <c r="H305" i="13"/>
  <c r="I305" i="13"/>
  <c r="K305" i="13"/>
  <c r="H306" i="13"/>
  <c r="I306" i="13"/>
  <c r="K306" i="13"/>
  <c r="H307" i="13"/>
  <c r="I307" i="13"/>
  <c r="K307" i="13"/>
  <c r="H308" i="13"/>
  <c r="I308" i="13"/>
  <c r="K308" i="13"/>
  <c r="H309" i="13"/>
  <c r="I309" i="13"/>
  <c r="K309" i="13"/>
  <c r="H310" i="13"/>
  <c r="I310" i="13"/>
  <c r="K310" i="13"/>
  <c r="H311" i="13"/>
  <c r="I311" i="13"/>
  <c r="K311" i="13"/>
  <c r="H312" i="13"/>
  <c r="I312" i="13"/>
  <c r="K312" i="13"/>
  <c r="H313" i="13"/>
  <c r="I313" i="13"/>
  <c r="K313" i="13"/>
  <c r="H314" i="13"/>
  <c r="I314" i="13"/>
  <c r="K314" i="13"/>
  <c r="H315" i="13"/>
  <c r="I315" i="13"/>
  <c r="K315" i="13"/>
  <c r="H316" i="13"/>
  <c r="I316" i="13"/>
  <c r="K316" i="13"/>
  <c r="H317" i="13"/>
  <c r="I317" i="13"/>
  <c r="K317" i="13"/>
  <c r="H318" i="13"/>
  <c r="I318" i="13"/>
  <c r="K318" i="13"/>
  <c r="H319" i="13"/>
  <c r="I319" i="13"/>
  <c r="K319" i="13"/>
  <c r="H320" i="13"/>
  <c r="I320" i="13"/>
  <c r="K320" i="13"/>
  <c r="H321" i="13"/>
  <c r="I321" i="13"/>
  <c r="K321" i="13"/>
  <c r="H322" i="13"/>
  <c r="I322" i="13"/>
  <c r="K322" i="13"/>
  <c r="H323" i="13"/>
  <c r="I323" i="13"/>
  <c r="K323" i="13"/>
  <c r="H324" i="13"/>
  <c r="I324" i="13"/>
  <c r="K324" i="13"/>
  <c r="H325" i="13"/>
  <c r="I325" i="13"/>
  <c r="K325" i="13"/>
  <c r="H326" i="13"/>
  <c r="I326" i="13"/>
  <c r="K326" i="13"/>
  <c r="H327" i="13"/>
  <c r="I327" i="13"/>
  <c r="K327" i="13"/>
  <c r="H328" i="13"/>
  <c r="I328" i="13"/>
  <c r="K328" i="13"/>
  <c r="H329" i="13"/>
  <c r="I329" i="13"/>
  <c r="K329" i="13"/>
  <c r="H330" i="13"/>
  <c r="I330" i="13"/>
  <c r="K330" i="13"/>
  <c r="H331" i="13"/>
  <c r="I331" i="13"/>
  <c r="K331" i="13"/>
  <c r="H332" i="13"/>
  <c r="I332" i="13"/>
  <c r="K332" i="13"/>
  <c r="H333" i="13"/>
  <c r="I333" i="13"/>
  <c r="K333" i="13"/>
  <c r="H334" i="13"/>
  <c r="I334" i="13"/>
  <c r="K334" i="13"/>
  <c r="H335" i="13"/>
  <c r="I335" i="13"/>
  <c r="K335" i="13"/>
  <c r="H336" i="13"/>
  <c r="I336" i="13"/>
  <c r="K336" i="13"/>
  <c r="H337" i="13"/>
  <c r="I337" i="13"/>
  <c r="K337" i="13"/>
  <c r="H338" i="13"/>
  <c r="I338" i="13"/>
  <c r="K338" i="13"/>
  <c r="H339" i="13"/>
  <c r="I339" i="13"/>
  <c r="K339" i="13"/>
  <c r="H340" i="13"/>
  <c r="I340" i="13"/>
  <c r="K340" i="13"/>
  <c r="H341" i="13"/>
  <c r="I341" i="13"/>
  <c r="K341" i="13"/>
  <c r="H342" i="13"/>
  <c r="I342" i="13"/>
  <c r="K342" i="13"/>
  <c r="H343" i="13"/>
  <c r="I343" i="13"/>
  <c r="K343" i="13"/>
  <c r="H344" i="13"/>
  <c r="I344" i="13"/>
  <c r="K344" i="13"/>
  <c r="H345" i="13"/>
  <c r="I345" i="13"/>
  <c r="K345" i="13"/>
  <c r="H346" i="13"/>
  <c r="I346" i="13"/>
  <c r="K346" i="13"/>
  <c r="H347" i="13"/>
  <c r="I347" i="13"/>
  <c r="K347" i="13"/>
  <c r="H348" i="13"/>
  <c r="I348" i="13"/>
  <c r="K348" i="13"/>
  <c r="H349" i="13"/>
  <c r="I349" i="13"/>
  <c r="K349" i="13"/>
  <c r="H350" i="13"/>
  <c r="I350" i="13"/>
  <c r="K350" i="13"/>
  <c r="H351" i="13"/>
  <c r="I351" i="13"/>
  <c r="K351" i="13"/>
  <c r="H352" i="13"/>
  <c r="I352" i="13"/>
  <c r="K352" i="13"/>
  <c r="H353" i="13"/>
  <c r="I353" i="13"/>
  <c r="K353" i="13"/>
  <c r="H354" i="13"/>
  <c r="I354" i="13"/>
  <c r="K354" i="13"/>
  <c r="H355" i="13"/>
  <c r="I355" i="13"/>
  <c r="K355" i="13"/>
  <c r="H356" i="13"/>
  <c r="I356" i="13"/>
  <c r="K356" i="13"/>
  <c r="H357" i="13"/>
  <c r="I357" i="13"/>
  <c r="K357" i="13"/>
  <c r="H358" i="13"/>
  <c r="I358" i="13"/>
  <c r="K358" i="13"/>
  <c r="H359" i="13"/>
  <c r="I359" i="13"/>
  <c r="K359" i="13"/>
  <c r="H360" i="13"/>
  <c r="I360" i="13"/>
  <c r="K360" i="13"/>
  <c r="H361" i="13"/>
  <c r="I361" i="13"/>
  <c r="K361" i="13"/>
  <c r="H362" i="13"/>
  <c r="I362" i="13"/>
  <c r="K362" i="13"/>
  <c r="H363" i="13"/>
  <c r="I363" i="13"/>
  <c r="K363" i="13"/>
  <c r="H364" i="13"/>
  <c r="I364" i="13"/>
  <c r="K364" i="13"/>
  <c r="H365" i="13"/>
  <c r="I365" i="13"/>
  <c r="K365" i="13"/>
  <c r="H366" i="13"/>
  <c r="I366" i="13"/>
  <c r="K366" i="13"/>
  <c r="H367" i="13"/>
  <c r="I367" i="13"/>
  <c r="K367" i="13"/>
  <c r="H368" i="13"/>
  <c r="I368" i="13"/>
  <c r="K368" i="13"/>
  <c r="H369" i="13"/>
  <c r="I369" i="13"/>
  <c r="K369" i="13"/>
  <c r="H370" i="13"/>
  <c r="I370" i="13"/>
  <c r="K370" i="13"/>
  <c r="H371" i="13"/>
  <c r="I371" i="13"/>
  <c r="K371" i="13"/>
  <c r="H372" i="13"/>
  <c r="I372" i="13"/>
  <c r="K372" i="13"/>
  <c r="H373" i="13"/>
  <c r="I373" i="13"/>
  <c r="K373" i="13"/>
  <c r="H374" i="13"/>
  <c r="I374" i="13"/>
  <c r="K374" i="13"/>
  <c r="H375" i="13"/>
  <c r="I375" i="13"/>
  <c r="K375" i="13"/>
  <c r="H376" i="13"/>
  <c r="I376" i="13"/>
  <c r="K376" i="13"/>
  <c r="H377" i="13"/>
  <c r="I377" i="13"/>
  <c r="K377" i="13"/>
  <c r="H378" i="13"/>
  <c r="I378" i="13"/>
  <c r="K378" i="13"/>
  <c r="H379" i="13"/>
  <c r="I379" i="13"/>
  <c r="K379" i="13"/>
  <c r="H380" i="13"/>
  <c r="I380" i="13"/>
  <c r="K380" i="13"/>
  <c r="H381" i="13"/>
  <c r="I381" i="13"/>
  <c r="K381" i="13"/>
  <c r="H382" i="13"/>
  <c r="I382" i="13"/>
  <c r="K382" i="13"/>
  <c r="H383" i="13"/>
  <c r="I383" i="13"/>
  <c r="K383" i="13"/>
  <c r="H384" i="13"/>
  <c r="I384" i="13"/>
  <c r="K384" i="13"/>
  <c r="H385" i="13"/>
  <c r="I385" i="13"/>
  <c r="K385" i="13"/>
  <c r="H386" i="13"/>
  <c r="I386" i="13"/>
  <c r="K386" i="13"/>
  <c r="H387" i="13"/>
  <c r="I387" i="13"/>
  <c r="K387" i="13"/>
  <c r="H388" i="13"/>
  <c r="I388" i="13"/>
  <c r="K388" i="13"/>
  <c r="H389" i="13"/>
  <c r="I389" i="13"/>
  <c r="K389" i="13"/>
  <c r="H2" i="13"/>
  <c r="I2" i="13"/>
  <c r="K2" i="13"/>
  <c r="M333" i="7"/>
  <c r="M332" i="7"/>
  <c r="M331" i="7"/>
  <c r="M330" i="7"/>
  <c r="M327" i="7"/>
  <c r="M326" i="7"/>
  <c r="M325" i="7"/>
  <c r="M324" i="7"/>
  <c r="M323" i="7"/>
  <c r="M320" i="7"/>
  <c r="M319" i="7"/>
  <c r="M318" i="7"/>
  <c r="M317" i="7"/>
  <c r="M316" i="7"/>
  <c r="M315" i="7"/>
  <c r="M314" i="7"/>
  <c r="M313" i="7"/>
  <c r="M312" i="7"/>
  <c r="M309" i="7"/>
  <c r="M305" i="7"/>
  <c r="M304" i="7"/>
  <c r="M303" i="7"/>
  <c r="M302" i="7"/>
  <c r="M301" i="7"/>
  <c r="M300" i="7"/>
  <c r="M299" i="7"/>
  <c r="M275" i="7"/>
  <c r="M273" i="7"/>
  <c r="M272" i="7"/>
  <c r="M271" i="7"/>
  <c r="M270" i="7"/>
  <c r="M263" i="7"/>
  <c r="M257" i="7"/>
  <c r="M251" i="7"/>
  <c r="M250" i="7"/>
  <c r="M249" i="7"/>
  <c r="M248" i="7"/>
  <c r="M241" i="7"/>
  <c r="M240" i="7"/>
  <c r="M235" i="7"/>
  <c r="M234" i="7"/>
  <c r="M233" i="7"/>
  <c r="M231" i="7"/>
  <c r="M228" i="7"/>
  <c r="M221" i="7"/>
  <c r="M218" i="7"/>
  <c r="M215" i="7"/>
  <c r="M214" i="7"/>
  <c r="M212" i="7"/>
  <c r="M202" i="7"/>
  <c r="M198" i="7"/>
  <c r="M197" i="7"/>
  <c r="M186" i="7"/>
  <c r="M185" i="7"/>
  <c r="M184" i="7"/>
  <c r="M180" i="7"/>
  <c r="M178" i="7"/>
  <c r="M174" i="7"/>
  <c r="M173" i="7"/>
  <c r="M166" i="7"/>
  <c r="M165" i="7"/>
  <c r="M159" i="7"/>
  <c r="M158" i="7"/>
  <c r="M154" i="7"/>
  <c r="M153" i="7"/>
  <c r="M149" i="7"/>
  <c r="M148" i="7"/>
  <c r="M147" i="7"/>
  <c r="M142" i="7"/>
  <c r="M140" i="7"/>
  <c r="M132" i="7"/>
  <c r="M131" i="7"/>
  <c r="M127" i="7"/>
  <c r="M126" i="7"/>
  <c r="M114" i="7"/>
  <c r="M110" i="7"/>
  <c r="M109" i="7"/>
  <c r="M107" i="7"/>
  <c r="M106" i="7"/>
  <c r="M99" i="7"/>
  <c r="M98" i="7"/>
  <c r="M97" i="7"/>
  <c r="M95" i="7"/>
  <c r="M87" i="7"/>
  <c r="M86" i="7"/>
  <c r="M77" i="7"/>
  <c r="M76" i="7"/>
  <c r="M75" i="7"/>
  <c r="M74" i="7"/>
  <c r="M64" i="7"/>
  <c r="M60" i="7"/>
  <c r="M57" i="7"/>
  <c r="M48" i="7"/>
  <c r="M47" i="7"/>
  <c r="M46" i="7"/>
  <c r="M45" i="7"/>
  <c r="M44" i="7"/>
  <c r="M42" i="7"/>
  <c r="M41" i="7"/>
  <c r="M32" i="7"/>
  <c r="M29" i="7"/>
  <c r="M24" i="7"/>
  <c r="M16" i="7"/>
  <c r="M14" i="7"/>
  <c r="M13" i="7"/>
  <c r="M12" i="7"/>
  <c r="M8" i="7"/>
  <c r="M7" i="7"/>
  <c r="M5" i="7"/>
  <c r="M2" i="7"/>
  <c r="M3" i="7"/>
  <c r="M4" i="7"/>
  <c r="M6" i="7"/>
  <c r="M9" i="7"/>
  <c r="M10" i="7"/>
  <c r="M11" i="7"/>
  <c r="M15" i="7"/>
  <c r="M17" i="7"/>
  <c r="M18" i="7"/>
  <c r="M19" i="7"/>
  <c r="M20" i="7"/>
  <c r="M21" i="7"/>
  <c r="M22" i="7"/>
  <c r="M23" i="7"/>
  <c r="M25" i="7"/>
  <c r="M26" i="7"/>
  <c r="M27" i="7"/>
  <c r="M28" i="7"/>
  <c r="M30" i="7"/>
  <c r="M31" i="7"/>
  <c r="M33" i="7"/>
  <c r="M34" i="7"/>
  <c r="M35" i="7"/>
  <c r="M36" i="7"/>
  <c r="M37" i="7"/>
  <c r="M38" i="7"/>
  <c r="M39" i="7"/>
  <c r="M40" i="7"/>
  <c r="M43" i="7"/>
  <c r="M49" i="7"/>
  <c r="M50" i="7"/>
  <c r="M51" i="7"/>
  <c r="M52" i="7"/>
  <c r="M53" i="7"/>
  <c r="M54" i="7"/>
  <c r="M55" i="7"/>
  <c r="M56" i="7"/>
  <c r="M58" i="7"/>
  <c r="M59" i="7"/>
  <c r="M61" i="7"/>
  <c r="M62" i="7"/>
  <c r="M63" i="7"/>
  <c r="M65" i="7"/>
  <c r="M66" i="7"/>
  <c r="M67" i="7"/>
  <c r="M68" i="7"/>
  <c r="M69" i="7"/>
  <c r="M70" i="7"/>
  <c r="M71" i="7"/>
  <c r="M72" i="7"/>
  <c r="M73" i="7"/>
  <c r="M78" i="7"/>
  <c r="M79" i="7"/>
  <c r="M80" i="7"/>
  <c r="M81" i="7"/>
  <c r="M82" i="7"/>
  <c r="M83" i="7"/>
  <c r="M84" i="7"/>
  <c r="M85" i="7"/>
  <c r="M88" i="7"/>
  <c r="M89" i="7"/>
  <c r="M90" i="7"/>
  <c r="M91" i="7"/>
  <c r="M92" i="7"/>
  <c r="M93" i="7"/>
  <c r="M94" i="7"/>
  <c r="M96" i="7"/>
  <c r="M100" i="7"/>
  <c r="M101" i="7"/>
  <c r="M102" i="7"/>
  <c r="M103" i="7"/>
  <c r="M104" i="7"/>
  <c r="M105" i="7"/>
  <c r="M108" i="7"/>
  <c r="M111" i="7"/>
  <c r="M112" i="7"/>
  <c r="M113" i="7"/>
  <c r="M115" i="7"/>
  <c r="M116" i="7"/>
  <c r="M117" i="7"/>
  <c r="M118" i="7"/>
  <c r="M119" i="7"/>
  <c r="M120" i="7"/>
  <c r="M121" i="7"/>
  <c r="M122" i="7"/>
  <c r="M123" i="7"/>
  <c r="M124" i="7"/>
  <c r="M125" i="7"/>
  <c r="M128" i="7"/>
  <c r="M129" i="7"/>
  <c r="M130" i="7"/>
  <c r="M133" i="7"/>
  <c r="M134" i="7"/>
  <c r="M135" i="7"/>
  <c r="M136" i="7"/>
  <c r="M137" i="7"/>
  <c r="M138" i="7"/>
  <c r="M139" i="7"/>
  <c r="M141" i="7"/>
  <c r="M143" i="7"/>
  <c r="M144" i="7"/>
  <c r="M145" i="7"/>
  <c r="M146" i="7"/>
  <c r="M150" i="7"/>
  <c r="M151" i="7"/>
  <c r="M152" i="7"/>
  <c r="M155" i="7"/>
  <c r="M156" i="7"/>
  <c r="M157" i="7"/>
  <c r="M160" i="7"/>
  <c r="M161" i="7"/>
  <c r="M162" i="7"/>
  <c r="M163" i="7"/>
  <c r="M164" i="7"/>
  <c r="M167" i="7"/>
  <c r="M168" i="7"/>
  <c r="M169" i="7"/>
  <c r="M170" i="7"/>
  <c r="M171" i="7"/>
  <c r="M172" i="7"/>
  <c r="M175" i="7"/>
  <c r="M176" i="7"/>
  <c r="M177" i="7"/>
  <c r="M179" i="7"/>
  <c r="M181" i="7"/>
  <c r="M182" i="7"/>
  <c r="M183" i="7"/>
  <c r="M187" i="7"/>
  <c r="M188" i="7"/>
  <c r="M189" i="7"/>
  <c r="M190" i="7"/>
  <c r="M191" i="7"/>
  <c r="M192" i="7"/>
  <c r="M193" i="7"/>
  <c r="M194" i="7"/>
  <c r="M195" i="7"/>
  <c r="M196" i="7"/>
  <c r="M199" i="7"/>
  <c r="M200" i="7"/>
  <c r="M201" i="7"/>
  <c r="M203" i="7"/>
  <c r="M204" i="7"/>
  <c r="M205" i="7"/>
  <c r="M206" i="7"/>
  <c r="M207" i="7"/>
  <c r="M208" i="7"/>
  <c r="M209" i="7"/>
  <c r="M210" i="7"/>
  <c r="M211" i="7"/>
  <c r="M213" i="7"/>
  <c r="M216" i="7"/>
  <c r="M217" i="7"/>
  <c r="M219" i="7"/>
  <c r="M220" i="7"/>
  <c r="M222" i="7"/>
  <c r="M223" i="7"/>
  <c r="M224" i="7"/>
  <c r="M225" i="7"/>
  <c r="M226" i="7"/>
  <c r="M227" i="7"/>
  <c r="M229" i="7"/>
  <c r="M230" i="7"/>
  <c r="M232" i="7"/>
  <c r="M236" i="7"/>
  <c r="M237" i="7"/>
  <c r="M238" i="7"/>
  <c r="M239" i="7"/>
  <c r="M242" i="7"/>
  <c r="M243" i="7"/>
  <c r="M244" i="7"/>
  <c r="M245" i="7"/>
  <c r="M246" i="7"/>
  <c r="M247" i="7"/>
  <c r="M252" i="7"/>
  <c r="M253" i="7"/>
  <c r="M254" i="7"/>
  <c r="M255" i="7"/>
  <c r="M256" i="7"/>
  <c r="M258" i="7"/>
  <c r="M259" i="7"/>
  <c r="M260" i="7"/>
  <c r="M261" i="7"/>
  <c r="M262" i="7"/>
  <c r="M264" i="7"/>
  <c r="M265" i="7"/>
  <c r="M266" i="7"/>
  <c r="M267" i="7"/>
  <c r="M268" i="7"/>
  <c r="M269" i="7"/>
  <c r="M274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306" i="7"/>
  <c r="M307" i="7"/>
  <c r="M308" i="7"/>
  <c r="M310" i="7"/>
  <c r="M311" i="7"/>
  <c r="M321" i="7"/>
  <c r="M322" i="7"/>
  <c r="M328" i="7"/>
  <c r="M329" i="7"/>
  <c r="M334" i="7"/>
  <c r="M335" i="7"/>
  <c r="M336" i="7"/>
  <c r="M337" i="7"/>
  <c r="M338" i="7"/>
  <c r="M339" i="7"/>
</calcChain>
</file>

<file path=xl/connections.xml><?xml version="1.0" encoding="utf-8"?>
<connections xmlns="http://schemas.openxmlformats.org/spreadsheetml/2006/main">
  <connection id="1" name="plant_ref.csv" type="6" refreshedVersion="0" background="1" saveData="1">
    <textPr fileType="mac" sourceFile="Macintosh HD:Users:Sam:Desktop:sambrass.com:data:raw:plant_ref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mp_generator_output.csv" type="6" refreshedVersion="0" background="1" saveData="1">
    <textPr fileType="mac" sourceFile="Macintosh HD:Users:Sam:Desktop:sambrass.com:data:raw:temp_generator_output.csv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temp_generator_output.csv1" type="6" refreshedVersion="0" background="1" saveData="1">
    <textPr fileType="mac" sourceFile="Macintosh HD:Users:Sam:Desktop:sambrass.com:data:raw:temp_generator_output.csv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wa_gen_2.csv" type="6" refreshedVersion="0" background="1" saveData="1">
    <textPr fileType="mac" codePage="10000" sourceFile="Macintosh HD:Users:Sam:Desktop:wa_gen_2.csv" tab="0" comma="1">
      <textFields count="5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wa_generators.csv" type="6" refreshedVersion="0" background="1" saveData="1">
    <textPr fileType="mac" codePage="10000" sourceFile="Macintosh HD:Users:Sam:Desktop:wa_generators.csv" tab="0" comma="1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<sst xmlns="http://schemas.openxmlformats.org/spreadsheetml/2006/main" count="30391" uniqueCount="4957">
  <si>
    <t>name</t>
  </si>
  <si>
    <t>Portland Smelter (APD)</t>
  </si>
  <si>
    <t>Northern PS</t>
  </si>
  <si>
    <t>Playford B PS</t>
  </si>
  <si>
    <t>Mount Millar Windfarm</t>
  </si>
  <si>
    <t>Port Lincoln PS</t>
  </si>
  <si>
    <t>Cathedral Rocks WF</t>
  </si>
  <si>
    <t>North Brown Hill WF</t>
  </si>
  <si>
    <t>Hallett PS</t>
  </si>
  <si>
    <t>Hallett WF</t>
  </si>
  <si>
    <t>Hallett Hill WF</t>
  </si>
  <si>
    <t>Snowtown WF</t>
  </si>
  <si>
    <t>Snowtown 2 Nth WF</t>
  </si>
  <si>
    <t>Snowtown 2 Sth WF</t>
  </si>
  <si>
    <t>Bluff Range WF</t>
  </si>
  <si>
    <t>Clements Gap WF</t>
  </si>
  <si>
    <t>Waterloo WF</t>
  </si>
  <si>
    <t>Mintaro PS</t>
  </si>
  <si>
    <t>Wattle Point Windfarm</t>
  </si>
  <si>
    <t>Angaston PS</t>
  </si>
  <si>
    <t>Pellican Pt PS</t>
  </si>
  <si>
    <t>Quarantine PS</t>
  </si>
  <si>
    <t>OCPL</t>
  </si>
  <si>
    <t>TIPS B</t>
  </si>
  <si>
    <t>TIPS A</t>
  </si>
  <si>
    <t>Dry Creek PS</t>
  </si>
  <si>
    <t>Starfish Hill WF</t>
  </si>
  <si>
    <t>Ladbroke Grove PS</t>
  </si>
  <si>
    <t>Snuggery PS</t>
  </si>
  <si>
    <t>Canunda WF</t>
  </si>
  <si>
    <t>Lake Bonney WF</t>
  </si>
  <si>
    <t>Bluff Point WF</t>
  </si>
  <si>
    <t>Studland Bay WF</t>
  </si>
  <si>
    <t>Tamar Valley CCGT</t>
  </si>
  <si>
    <t>Tamar Valley OCGT</t>
  </si>
  <si>
    <t>Bell Bay GTs</t>
  </si>
  <si>
    <t>Mussleroe Bay WF</t>
  </si>
  <si>
    <t>Devils Gate</t>
  </si>
  <si>
    <t>Paloona PS</t>
  </si>
  <si>
    <t>Trevallyn PS</t>
  </si>
  <si>
    <t>Cethana PS</t>
  </si>
  <si>
    <t>Wilmot PS</t>
  </si>
  <si>
    <t>Reece PS</t>
  </si>
  <si>
    <t>Lemonthyme PS</t>
  </si>
  <si>
    <t>Fisher PS</t>
  </si>
  <si>
    <t>Rowallan PS</t>
  </si>
  <si>
    <t>Mackintosh PS</t>
  </si>
  <si>
    <t>Bastyan PS</t>
  </si>
  <si>
    <t>Tribute PS</t>
  </si>
  <si>
    <t>Poatina PS</t>
  </si>
  <si>
    <t>John Butters PS</t>
  </si>
  <si>
    <t>Butlers Gorge PS</t>
  </si>
  <si>
    <t>Lake Echo PS</t>
  </si>
  <si>
    <t>Tarraleah PS</t>
  </si>
  <si>
    <t>Tungatinah PS</t>
  </si>
  <si>
    <t>Liapootah PS</t>
  </si>
  <si>
    <t>Wayatinah PS</t>
  </si>
  <si>
    <t>Catagunya PS</t>
  </si>
  <si>
    <t>Cluny PS</t>
  </si>
  <si>
    <t>Repulse PS</t>
  </si>
  <si>
    <t>Meadowbank PS</t>
  </si>
  <si>
    <t>Gordon PS</t>
  </si>
  <si>
    <t>Murray 1 PS</t>
  </si>
  <si>
    <t>Murray 2 PS</t>
  </si>
  <si>
    <t>Dartmouth PS (DPS)</t>
  </si>
  <si>
    <t>Bogong PS</t>
  </si>
  <si>
    <t>West Kiewa PS (WKPS)</t>
  </si>
  <si>
    <t>Mckay Ck PS (MKPS)</t>
  </si>
  <si>
    <t>Clover PS</t>
  </si>
  <si>
    <t>Rubicon PS</t>
  </si>
  <si>
    <t>Eildon PS</t>
  </si>
  <si>
    <t>Somerton PS (SPS)</t>
  </si>
  <si>
    <t>Newport D PS (NPSD)</t>
  </si>
  <si>
    <t>Laverton Nth PS</t>
  </si>
  <si>
    <t>Loy Yang A PS (LYPA)</t>
  </si>
  <si>
    <t>Loy Yang B PS (LYPB)</t>
  </si>
  <si>
    <t>Morwell PS</t>
  </si>
  <si>
    <t>Jeeralang A PS (JLGA)</t>
  </si>
  <si>
    <t>Jeeralang B PS (JLGB)</t>
  </si>
  <si>
    <t>Valley Power Gas PS (VPGS)</t>
  </si>
  <si>
    <t>Hazelwood PS (HWPS)</t>
  </si>
  <si>
    <t>Yallourn W PS (YWPS)</t>
  </si>
  <si>
    <t>Bairnsdale PS</t>
  </si>
  <si>
    <t>Toora Wind Farm</t>
  </si>
  <si>
    <t>Bald Hills WF</t>
  </si>
  <si>
    <t>Anglesea PS (APS)</t>
  </si>
  <si>
    <t>Mt Mercer WF</t>
  </si>
  <si>
    <t>Waubra WF</t>
  </si>
  <si>
    <t>Challicum Hills WF</t>
  </si>
  <si>
    <t>Oakland Hill WF</t>
  </si>
  <si>
    <t>Mortons Lane WF</t>
  </si>
  <si>
    <t>Macarthur Wind Farm</t>
  </si>
  <si>
    <t>Mortlake PS</t>
  </si>
  <si>
    <t>Codrington WF</t>
  </si>
  <si>
    <t>Yambuk WF</t>
  </si>
  <si>
    <t>Cape Bridgewater WF</t>
  </si>
  <si>
    <t>Cape Nelson South WF</t>
  </si>
  <si>
    <t>Liddell PS</t>
  </si>
  <si>
    <t>Bayswater PS</t>
  </si>
  <si>
    <t>Hunter Valley GT</t>
  </si>
  <si>
    <t>Redbank PS</t>
  </si>
  <si>
    <t>Eraring PS</t>
  </si>
  <si>
    <t>Colongra PS</t>
  </si>
  <si>
    <t>Vales Pt PS</t>
  </si>
  <si>
    <t>Mt Piper PS</t>
  </si>
  <si>
    <t>Sithe PS</t>
  </si>
  <si>
    <t>Tullawarra PS</t>
  </si>
  <si>
    <t>Bendeela PS</t>
  </si>
  <si>
    <t>Kangaroo Valley PS</t>
  </si>
  <si>
    <t>Taralga WF</t>
  </si>
  <si>
    <t>Gullen Range WF</t>
  </si>
  <si>
    <t>Gunning Wind Farm</t>
  </si>
  <si>
    <t>Cullerin Range</t>
  </si>
  <si>
    <t>Woodlawn WF</t>
  </si>
  <si>
    <t>Capital WF</t>
  </si>
  <si>
    <t>Royalla Solar</t>
  </si>
  <si>
    <t>Burrinjuck</t>
  </si>
  <si>
    <t>Uranquinty PS</t>
  </si>
  <si>
    <t>Blowering PS</t>
  </si>
  <si>
    <t>Tumut 3 PS</t>
  </si>
  <si>
    <t>Tumut 2 PS</t>
  </si>
  <si>
    <t>Tumut 1</t>
  </si>
  <si>
    <t>Guthega PS</t>
  </si>
  <si>
    <t>Boco Rock WF</t>
  </si>
  <si>
    <t>Hume PS</t>
  </si>
  <si>
    <t>Nyngun Solar (approx)</t>
  </si>
  <si>
    <t>Broken Hill PS</t>
  </si>
  <si>
    <t>Barron Gorge PS</t>
  </si>
  <si>
    <t>Kareeya PS</t>
  </si>
  <si>
    <t>Townsville PS</t>
  </si>
  <si>
    <t>Mt Stuart PS</t>
  </si>
  <si>
    <t>Invicta Mill</t>
  </si>
  <si>
    <t>Mackay PS</t>
  </si>
  <si>
    <t>Barcaldine PS</t>
  </si>
  <si>
    <t>Stanwell PS</t>
  </si>
  <si>
    <t>Yarwun PS</t>
  </si>
  <si>
    <t>Gladstone PS</t>
  </si>
  <si>
    <t>Callide A PS</t>
  </si>
  <si>
    <t>Callide B  PS</t>
  </si>
  <si>
    <t>Callide C PS</t>
  </si>
  <si>
    <t>Roma PS</t>
  </si>
  <si>
    <t>Condamine PS</t>
  </si>
  <si>
    <t>Tarong Nth PS</t>
  </si>
  <si>
    <t>Tarong PS</t>
  </si>
  <si>
    <t>Kogan Ck PS</t>
  </si>
  <si>
    <t>Braemar PS</t>
  </si>
  <si>
    <t>Braemar 2 PS</t>
  </si>
  <si>
    <t>Darling Downs Power Station</t>
  </si>
  <si>
    <t>Daandine PS</t>
  </si>
  <si>
    <t>Oakey PS</t>
  </si>
  <si>
    <t>Wivenhoe PS</t>
  </si>
  <si>
    <t>Swanbank E PS</t>
  </si>
  <si>
    <t>Millmerran PS</t>
  </si>
  <si>
    <t>station_name</t>
  </si>
  <si>
    <t>region</t>
  </si>
  <si>
    <t>dispatch_type</t>
  </si>
  <si>
    <t>category</t>
  </si>
  <si>
    <t>classification</t>
  </si>
  <si>
    <t>fuel_source_primary</t>
  </si>
  <si>
    <t>fuel_source_secondary</t>
  </si>
  <si>
    <t>tech_type_primary</t>
  </si>
  <si>
    <t>tech_type_secondary</t>
  </si>
  <si>
    <t>reg_cap</t>
  </si>
  <si>
    <t>max_cap</t>
  </si>
  <si>
    <t>AGLHAL</t>
  </si>
  <si>
    <t>Hallett Power Station</t>
  </si>
  <si>
    <t>SA</t>
  </si>
  <si>
    <t>Generator</t>
  </si>
  <si>
    <t>Market</t>
  </si>
  <si>
    <t>Scheduled</t>
  </si>
  <si>
    <t>Gas</t>
  </si>
  <si>
    <t>Natural Gas</t>
  </si>
  <si>
    <t>Combustion</t>
  </si>
  <si>
    <t>Open Cycle Gas turbine (OCGT)</t>
  </si>
  <si>
    <t>AGLNOW1</t>
  </si>
  <si>
    <t>West Nowra Landfill Gas Power Generation Facility</t>
  </si>
  <si>
    <t>NSW</t>
  </si>
  <si>
    <t>Non-Scheduled</t>
  </si>
  <si>
    <t>Landfill Gas</t>
  </si>
  <si>
    <t>Compression Reciprocating Engine</t>
  </si>
  <si>
    <t>AGLSITA1</t>
  </si>
  <si>
    <t>AGL SITA Landfill1 Kemps Creek</t>
  </si>
  <si>
    <t>AGLSOM</t>
  </si>
  <si>
    <t>Somerton Power Station</t>
  </si>
  <si>
    <t>VIC</t>
  </si>
  <si>
    <t>Open Cycle Gas turbines (OCGT)</t>
  </si>
  <si>
    <t>ANGAS1</t>
  </si>
  <si>
    <t>Angaston Power Station</t>
  </si>
  <si>
    <t>Diesel</t>
  </si>
  <si>
    <t>ANGAS2</t>
  </si>
  <si>
    <t>ANGAST1</t>
  </si>
  <si>
    <t>APS</t>
  </si>
  <si>
    <t>Anglesea Power Station</t>
  </si>
  <si>
    <t>Coal</t>
  </si>
  <si>
    <t>Brown Coal</t>
  </si>
  <si>
    <t>Steam Sub-Critical</t>
  </si>
  <si>
    <t>Ararat Wind Farm</t>
  </si>
  <si>
    <t>Semi-Scheduled</t>
  </si>
  <si>
    <t>Wind</t>
  </si>
  <si>
    <t>Renewable</t>
  </si>
  <si>
    <t>Wind - Onshore</t>
  </si>
  <si>
    <t>ARWF1</t>
  </si>
  <si>
    <t>AWABAREF</t>
  </si>
  <si>
    <t>Awaba Power Station</t>
  </si>
  <si>
    <t>BALDHWF1</t>
  </si>
  <si>
    <t>Bald Hills Wind Farm</t>
  </si>
  <si>
    <t>BANKSPT1</t>
  </si>
  <si>
    <t xml:space="preserve">Bankstown Sports Club Plant Units </t>
  </si>
  <si>
    <t>BAPS</t>
  </si>
  <si>
    <t>Banimboola Power Station</t>
  </si>
  <si>
    <t>Hydro</t>
  </si>
  <si>
    <t>Water</t>
  </si>
  <si>
    <t>Hydro - Gravity</t>
  </si>
  <si>
    <t>BARCALDN</t>
  </si>
  <si>
    <t>Barcaldine Power Station</t>
  </si>
  <si>
    <t>QLD</t>
  </si>
  <si>
    <t>Combined Cycle Gas Turbine (CCGT)</t>
  </si>
  <si>
    <t>BARCSF1</t>
  </si>
  <si>
    <t>Barcaldine Solar Farm</t>
  </si>
  <si>
    <t>Solar</t>
  </si>
  <si>
    <t>Photovoltaic Tracking Flat Panel</t>
  </si>
  <si>
    <t>BARRON-1</t>
  </si>
  <si>
    <t>Barron Gorge Power Station</t>
  </si>
  <si>
    <t>Run of River</t>
  </si>
  <si>
    <t>BARRON-2</t>
  </si>
  <si>
    <t>BASTYAN</t>
  </si>
  <si>
    <t>Bastyan Power Station</t>
  </si>
  <si>
    <t>TAS</t>
  </si>
  <si>
    <t>BBASEHOS</t>
  </si>
  <si>
    <t>Ballarat Base Hospital Plant</t>
  </si>
  <si>
    <t>BBDISEL1</t>
  </si>
  <si>
    <t>Bell Bay Diesel Generator</t>
  </si>
  <si>
    <t>BBTHREE1</t>
  </si>
  <si>
    <t>Bell Bay Three Power Station</t>
  </si>
  <si>
    <t>BBTHREE2</t>
  </si>
  <si>
    <t>BBTHREE3</t>
  </si>
  <si>
    <t>BDL01</t>
  </si>
  <si>
    <t>Bairnsdale Power Station</t>
  </si>
  <si>
    <t>BDL02</t>
  </si>
  <si>
    <t>BDONGHYD</t>
  </si>
  <si>
    <t>Burrendong Hydro Power Station</t>
  </si>
  <si>
    <t>BLOWERNG</t>
  </si>
  <si>
    <t>Blowering Power Station</t>
  </si>
  <si>
    <t>BLUFF1</t>
  </si>
  <si>
    <t>The Bluff Wind Farm</t>
  </si>
  <si>
    <t>BLULAKE1</t>
  </si>
  <si>
    <t>Blue Lake Milling Power Plant</t>
  </si>
  <si>
    <t>BOCORWF1</t>
  </si>
  <si>
    <t>Boco Rock Wind Farm</t>
  </si>
  <si>
    <t>BOLIVAR1</t>
  </si>
  <si>
    <t>SA Water Bolivar Waste Water Treatment (WWT) Plant</t>
  </si>
  <si>
    <t>Waste Water / Sewerage</t>
  </si>
  <si>
    <t>BPLANDF1</t>
  </si>
  <si>
    <t>Browns Plains Land Fill Gas Power Station</t>
  </si>
  <si>
    <t>Spark Ignition Reciprocating Engine</t>
  </si>
  <si>
    <t>BRAEMAR1</t>
  </si>
  <si>
    <t xml:space="preserve">Braemar Power Station </t>
  </si>
  <si>
    <t>Coal Seam Methane</t>
  </si>
  <si>
    <t>BRAEMAR2</t>
  </si>
  <si>
    <t>BRAEMAR3</t>
  </si>
  <si>
    <t>BRAEMAR5</t>
  </si>
  <si>
    <t>Braemar 2 Power Station</t>
  </si>
  <si>
    <t>BRAEMAR6</t>
  </si>
  <si>
    <t>BRAEMAR7</t>
  </si>
  <si>
    <t>BROADMDW</t>
  </si>
  <si>
    <t>Broadmeadows Landfill Gas Power Station</t>
  </si>
  <si>
    <t>BROKENH1</t>
  </si>
  <si>
    <t>Broken Hill Solar Plant</t>
  </si>
  <si>
    <t>Photovoltaic Flat Panel</t>
  </si>
  <si>
    <t>BROOKLYN</t>
  </si>
  <si>
    <t>Brooklyn Landfill Gas Power Station</t>
  </si>
  <si>
    <t>Spark Ignition</t>
  </si>
  <si>
    <t>BROWNMT</t>
  </si>
  <si>
    <t>Brown Mountain</t>
  </si>
  <si>
    <t>BURRIN</t>
  </si>
  <si>
    <t>Burrinjuck Power Station</t>
  </si>
  <si>
    <t>BUTLERSG</t>
  </si>
  <si>
    <t>Butlers Gorge Power Station</t>
  </si>
  <si>
    <t>BW01</t>
  </si>
  <si>
    <t>Bayswater Power Station</t>
  </si>
  <si>
    <t>Black Coal</t>
  </si>
  <si>
    <t>BW02</t>
  </si>
  <si>
    <t>BW03</t>
  </si>
  <si>
    <t>BW04</t>
  </si>
  <si>
    <t>BWTR1</t>
  </si>
  <si>
    <t>Broadwater Power Station Units 1 and 2</t>
  </si>
  <si>
    <t>Biomass</t>
  </si>
  <si>
    <t>Bagasse</t>
  </si>
  <si>
    <t>CALL_A_4</t>
  </si>
  <si>
    <t>Callide A Power Station</t>
  </si>
  <si>
    <t>CALL_B_1</t>
  </si>
  <si>
    <t>Callide B Power Station</t>
  </si>
  <si>
    <t>CALL_B_2</t>
  </si>
  <si>
    <t>CAPTL_WF</t>
  </si>
  <si>
    <t>Capital Wind Farm</t>
  </si>
  <si>
    <t>CATAGUN1</t>
  </si>
  <si>
    <t>Catagunya Diesel Generation</t>
  </si>
  <si>
    <t>CATHROCK</t>
  </si>
  <si>
    <t>Cathedral Rocks Wind Farm</t>
  </si>
  <si>
    <t>CBWF1</t>
  </si>
  <si>
    <t>Coonooer Bridge Wind Farm</t>
  </si>
  <si>
    <t>CESF1</t>
  </si>
  <si>
    <t>Capital East Solar Farm</t>
  </si>
  <si>
    <t>PV - Panels</t>
  </si>
  <si>
    <t>CETHANA</t>
  </si>
  <si>
    <t>Cethana Power Station</t>
  </si>
  <si>
    <t>CG1</t>
  </si>
  <si>
    <t>Colongra Power Station</t>
  </si>
  <si>
    <t>CG2</t>
  </si>
  <si>
    <t>CG3</t>
  </si>
  <si>
    <t>CG4</t>
  </si>
  <si>
    <t>CHALLHWF</t>
  </si>
  <si>
    <t>Challicum Hills Wind Farm</t>
  </si>
  <si>
    <t>Non-Market</t>
  </si>
  <si>
    <t>CLAYTON</t>
  </si>
  <si>
    <t>Claytons Landfill Gas Power Station</t>
  </si>
  <si>
    <t>CLEMGPWF</t>
  </si>
  <si>
    <t>Clements Gap Wind Farm</t>
  </si>
  <si>
    <t>CLOVER</t>
  </si>
  <si>
    <t>Clover Power Station</t>
  </si>
  <si>
    <t>CLUNY</t>
  </si>
  <si>
    <t>Cluny Power Station</t>
  </si>
  <si>
    <t>CNUNDAWF</t>
  </si>
  <si>
    <t>Canunda Wind Farm</t>
  </si>
  <si>
    <t>CODRNGTON</t>
  </si>
  <si>
    <t>Codrington Wind Farm</t>
  </si>
  <si>
    <t>CONDONG1</t>
  </si>
  <si>
    <t>Condong Power Station Unit 1</t>
  </si>
  <si>
    <t>COPTNHYD</t>
  </si>
  <si>
    <t>Copeton Hydro Power Station</t>
  </si>
  <si>
    <t>CORIO1</t>
  </si>
  <si>
    <t>Corio Landfill Gas Power Station</t>
  </si>
  <si>
    <t>CPP_3</t>
  </si>
  <si>
    <t>Callide Power Plant</t>
  </si>
  <si>
    <t>Steam Super Critical</t>
  </si>
  <si>
    <t>CPP_4</t>
  </si>
  <si>
    <t>CPSA</t>
  </si>
  <si>
    <t>Condamine Power Station A</t>
  </si>
  <si>
    <t>CULLRGWF</t>
  </si>
  <si>
    <t>Cullerin Range Wind Farm</t>
  </si>
  <si>
    <t>DAANDINE</t>
  </si>
  <si>
    <t>Daandine Power Station</t>
  </si>
  <si>
    <t>DARTM1</t>
  </si>
  <si>
    <t>Dartmouth Power Station</t>
  </si>
  <si>
    <t>DDPS1</t>
  </si>
  <si>
    <t>DEVILS_G</t>
  </si>
  <si>
    <t>Devils Gate Power Station</t>
  </si>
  <si>
    <t>DRYCGT1</t>
  </si>
  <si>
    <t>Dry Creek Gas Turbine Station</t>
  </si>
  <si>
    <t>DRYCGT2</t>
  </si>
  <si>
    <t>DRYCGT3</t>
  </si>
  <si>
    <t>EASTCRK</t>
  </si>
  <si>
    <t>Eastern Creek Power Station</t>
  </si>
  <si>
    <t>EDLRGNRD</t>
  </si>
  <si>
    <t>Roghan Road LFG Power Plant</t>
  </si>
  <si>
    <t>EILDON1</t>
  </si>
  <si>
    <t>Eildon Power Station</t>
  </si>
  <si>
    <t>EILDON2</t>
  </si>
  <si>
    <t>EILDON3</t>
  </si>
  <si>
    <t>Eildon Pondage Hydro Power Station</t>
  </si>
  <si>
    <t>ER01</t>
  </si>
  <si>
    <t>Eraring Power Station</t>
  </si>
  <si>
    <t>ER02</t>
  </si>
  <si>
    <t>ER03</t>
  </si>
  <si>
    <t>ER04</t>
  </si>
  <si>
    <t>ERGT01</t>
  </si>
  <si>
    <t>FISHER</t>
  </si>
  <si>
    <t>Fisher Power Station</t>
  </si>
  <si>
    <t>GB01</t>
  </si>
  <si>
    <t>Broken Hill Gas Turbines</t>
  </si>
  <si>
    <t>GEORGTN1</t>
  </si>
  <si>
    <t>George Town Diesel Generation</t>
  </si>
  <si>
    <t>GEORGTN2</t>
  </si>
  <si>
    <t>GERMCRK</t>
  </si>
  <si>
    <t>German Creek Power Station</t>
  </si>
  <si>
    <t>GLBWNHYD</t>
  </si>
  <si>
    <t>Glenbawn Hydro Power Station</t>
  </si>
  <si>
    <t>GLENMAG1</t>
  </si>
  <si>
    <t>Glenmaggie Hydro Power Station</t>
  </si>
  <si>
    <t>GORDON</t>
  </si>
  <si>
    <t>Gordon Power Station</t>
  </si>
  <si>
    <t>GRANGEAV</t>
  </si>
  <si>
    <t>Grange Avenue Power Station</t>
  </si>
  <si>
    <t>GSTONE1</t>
  </si>
  <si>
    <t>Gladstone Power Station</t>
  </si>
  <si>
    <t>GSTONE2</t>
  </si>
  <si>
    <t>GSTONE3</t>
  </si>
  <si>
    <t>GSTONE4</t>
  </si>
  <si>
    <t>GSTONE5</t>
  </si>
  <si>
    <t>GSTONE6</t>
  </si>
  <si>
    <t>GULLRWF1</t>
  </si>
  <si>
    <t>Gullen Range Wind Farm</t>
  </si>
  <si>
    <t>GUNNING1</t>
  </si>
  <si>
    <t>GUTHEGA</t>
  </si>
  <si>
    <t>Guthega Power Station</t>
  </si>
  <si>
    <t>HALLAMRD1</t>
  </si>
  <si>
    <t>Hallam Road Renewable Energy Facility</t>
  </si>
  <si>
    <t>HALLWF1</t>
  </si>
  <si>
    <t>Hallett 1 Wind Farm</t>
  </si>
  <si>
    <t>HALLWF2</t>
  </si>
  <si>
    <t>Hallett 2 Wind Farm</t>
  </si>
  <si>
    <t>HDWF1</t>
  </si>
  <si>
    <t>Hornsdale Wind Farm</t>
  </si>
  <si>
    <t>HEPWIND1</t>
  </si>
  <si>
    <t>Hepburn Wind Farm</t>
  </si>
  <si>
    <t>HLMSEW01</t>
  </si>
  <si>
    <t>South East Water - Hallam Hydro Plant</t>
  </si>
  <si>
    <t>HUMENSW</t>
  </si>
  <si>
    <t>Hume Power Station</t>
  </si>
  <si>
    <t>HVGTS</t>
  </si>
  <si>
    <t xml:space="preserve">Hunter Valley Gas Turbine </t>
  </si>
  <si>
    <t>Kerosene</t>
  </si>
  <si>
    <t>HWPS1</t>
  </si>
  <si>
    <t>Hazelwood Power Station</t>
  </si>
  <si>
    <t>HWPS2</t>
  </si>
  <si>
    <t>HWPS3</t>
  </si>
  <si>
    <t>HWPS4</t>
  </si>
  <si>
    <t>HWPS5</t>
  </si>
  <si>
    <t>HWPS6</t>
  </si>
  <si>
    <t>HWPS7</t>
  </si>
  <si>
    <t>HWPS8</t>
  </si>
  <si>
    <t>ICSM</t>
  </si>
  <si>
    <t>ISIS Central Sugar Mill Co-generation Plant</t>
  </si>
  <si>
    <t>INVICTA</t>
  </si>
  <si>
    <t>Invicta Sugar Mill</t>
  </si>
  <si>
    <t>JACKSGUL</t>
  </si>
  <si>
    <t>Jacks Gully Landfill Gas Power Station</t>
  </si>
  <si>
    <t>JBUTTERS</t>
  </si>
  <si>
    <t>John Butters Power Station</t>
  </si>
  <si>
    <t>JLA01</t>
  </si>
  <si>
    <t>Jeeralang "A" Power Station</t>
  </si>
  <si>
    <t>JLA02</t>
  </si>
  <si>
    <t>JLA03</t>
  </si>
  <si>
    <t>JLA04</t>
  </si>
  <si>
    <t>JLB01</t>
  </si>
  <si>
    <t>Jeeralang "B" Power Station</t>
  </si>
  <si>
    <t>JLB02</t>
  </si>
  <si>
    <t>JLB03</t>
  </si>
  <si>
    <t>JNDABNE1</t>
  </si>
  <si>
    <t xml:space="preserve">Jindabyne Small Hydro Power Station </t>
  </si>
  <si>
    <t>JOUNAMA1</t>
  </si>
  <si>
    <t>Jounama Small Hydro Power Station</t>
  </si>
  <si>
    <t>KAREEYA1</t>
  </si>
  <si>
    <t>Kareeya Power Station</t>
  </si>
  <si>
    <t>KAREEYA2</t>
  </si>
  <si>
    <t>KAREEYA3</t>
  </si>
  <si>
    <t>KAREEYA4</t>
  </si>
  <si>
    <t>KAREEYA5</t>
  </si>
  <si>
    <t>KEEPIT</t>
  </si>
  <si>
    <t>Keepit Power Station</t>
  </si>
  <si>
    <t>KINCUM1</t>
  </si>
  <si>
    <t>Kincumber Landfill Site</t>
  </si>
  <si>
    <t>Landfill, Biogas</t>
  </si>
  <si>
    <t>KPP_1</t>
  </si>
  <si>
    <t>Kogan Creek Power Station</t>
  </si>
  <si>
    <t>LADBROK1</t>
  </si>
  <si>
    <t>Ladbroke Grove Power Station</t>
  </si>
  <si>
    <t>LADBROK2</t>
  </si>
  <si>
    <t>LAVNORTH</t>
  </si>
  <si>
    <t>Laverton North Power Station</t>
  </si>
  <si>
    <t>LD01</t>
  </si>
  <si>
    <t>Liddell Power Station</t>
  </si>
  <si>
    <t>LD02</t>
  </si>
  <si>
    <t>LD03</t>
  </si>
  <si>
    <t>LD04</t>
  </si>
  <si>
    <t>LEM_WIL</t>
  </si>
  <si>
    <t>Lemonthyme / Wilmot  Power Station</t>
  </si>
  <si>
    <t>LI_WY_CA</t>
  </si>
  <si>
    <t>Catagunya / Liapootah / Wayatinah Power Station</t>
  </si>
  <si>
    <t>LK_ECHO</t>
  </si>
  <si>
    <t>Lake Echo Power Station</t>
  </si>
  <si>
    <t>LKBONNY1</t>
  </si>
  <si>
    <t>Lake Bonney Wind Farm</t>
  </si>
  <si>
    <t>LKBONNY2</t>
  </si>
  <si>
    <t>Lake Bonney Stage 2 Windfarm</t>
  </si>
  <si>
    <t>LKBONNY3</t>
  </si>
  <si>
    <t>Lake Bonney Stage 3 Wind Farm</t>
  </si>
  <si>
    <t>LNGS1</t>
  </si>
  <si>
    <t>LNGS2</t>
  </si>
  <si>
    <t>LONGFORD</t>
  </si>
  <si>
    <t>Longford Plant</t>
  </si>
  <si>
    <t>LONSDALE</t>
  </si>
  <si>
    <t>Lonsdale Power Station</t>
  </si>
  <si>
    <t>LOYYB1</t>
  </si>
  <si>
    <t>Loy Yang B Power Station</t>
  </si>
  <si>
    <t>LOYYB2</t>
  </si>
  <si>
    <t>LUCAS2S2</t>
  </si>
  <si>
    <t>Lucas Heights 2 LFG Power Station</t>
  </si>
  <si>
    <t>LUCASHGT</t>
  </si>
  <si>
    <t>LYA1</t>
  </si>
  <si>
    <t>Loy Yang A Power Station</t>
  </si>
  <si>
    <t>LYA2</t>
  </si>
  <si>
    <t>LYA3</t>
  </si>
  <si>
    <t>LYA4</t>
  </si>
  <si>
    <t>MACARTH1</t>
  </si>
  <si>
    <t>MACKAYGT</t>
  </si>
  <si>
    <t>Mackay Gas Turbine</t>
  </si>
  <si>
    <t>MACKNTSH</t>
  </si>
  <si>
    <t>Mackintosh Power Station</t>
  </si>
  <si>
    <t>MBAHNTH</t>
  </si>
  <si>
    <t>Grosvenor 1 Waste Coal Mine Gas Power Station</t>
  </si>
  <si>
    <t>MCKAY1</t>
  </si>
  <si>
    <t>Bogong / Mckay Power Station</t>
  </si>
  <si>
    <t>MEADOWB2</t>
  </si>
  <si>
    <t>Meadowbank Diesel Generation</t>
  </si>
  <si>
    <t>MEADOWBK</t>
  </si>
  <si>
    <t>Meadowbank Power Station</t>
  </si>
  <si>
    <t>MERCER01</t>
  </si>
  <si>
    <t>Mt Mercer Wind Farm</t>
  </si>
  <si>
    <t>MIDLDPS1</t>
  </si>
  <si>
    <t>Midlands Power Station</t>
  </si>
  <si>
    <t>MINTARO</t>
  </si>
  <si>
    <t>Mintaro Gas Turbine Station</t>
  </si>
  <si>
    <t>MLSP</t>
  </si>
  <si>
    <t>Mugga Lane Solar Park</t>
  </si>
  <si>
    <t>MLSP1</t>
  </si>
  <si>
    <t>MLWF1</t>
  </si>
  <si>
    <t>Mortons Lane Wind Farm</t>
  </si>
  <si>
    <t>MOR1</t>
  </si>
  <si>
    <t>Energy Brix Complex Power Station</t>
  </si>
  <si>
    <t>MORANBAH</t>
  </si>
  <si>
    <t>Moranbah Generation Project</t>
  </si>
  <si>
    <t>MOREESF1</t>
  </si>
  <si>
    <t>Moree Solar Farm</t>
  </si>
  <si>
    <t>MORNW</t>
  </si>
  <si>
    <t>Mornington Waste Disposal Facility</t>
  </si>
  <si>
    <t>MORTLK11</t>
  </si>
  <si>
    <t>Mortlake Power Station Units</t>
  </si>
  <si>
    <t>MORTLK12</t>
  </si>
  <si>
    <t>MP1</t>
  </si>
  <si>
    <t>Mt Piper Power Station</t>
  </si>
  <si>
    <t>MP2</t>
  </si>
  <si>
    <t>MPP_1</t>
  </si>
  <si>
    <t>Millmerran Power Plant</t>
  </si>
  <si>
    <t>MPP_2</t>
  </si>
  <si>
    <t>MSTUART1</t>
  </si>
  <si>
    <t>Mt Stuart Power Station</t>
  </si>
  <si>
    <t>MSTUART2</t>
  </si>
  <si>
    <t>MSTUART3</t>
  </si>
  <si>
    <t>MTMILLAR</t>
  </si>
  <si>
    <t>Mt Millar Wind Farm</t>
  </si>
  <si>
    <t>MURRAY</t>
  </si>
  <si>
    <t>Murray 1 Power Station</t>
  </si>
  <si>
    <t>MUSSELR1</t>
  </si>
  <si>
    <t>Musselroe Wind Farm</t>
  </si>
  <si>
    <t>NBHWF1</t>
  </si>
  <si>
    <t>North Brown Hill Wind Farm</t>
  </si>
  <si>
    <t>NINEWIL1</t>
  </si>
  <si>
    <t xml:space="preserve">Nine Network Willoughby Plant </t>
  </si>
  <si>
    <t>NPS</t>
  </si>
  <si>
    <t>Newport Power Station</t>
  </si>
  <si>
    <t>NPS1</t>
  </si>
  <si>
    <t>Northern Power Station</t>
  </si>
  <si>
    <t>NPS2</t>
  </si>
  <si>
    <t>NYNGAN1</t>
  </si>
  <si>
    <t>Nyngan Solar Plant</t>
  </si>
  <si>
    <t>OAKEY1</t>
  </si>
  <si>
    <t>Oakey Power Station</t>
  </si>
  <si>
    <t>OAKEY2</t>
  </si>
  <si>
    <t>OAKLAND1</t>
  </si>
  <si>
    <t>Oaklands Hill Wind Farm</t>
  </si>
  <si>
    <t>OSB-AG</t>
  </si>
  <si>
    <t>Osborne Power Station</t>
  </si>
  <si>
    <t>PALOONA</t>
  </si>
  <si>
    <t>Paloona Power Station</t>
  </si>
  <si>
    <t>PEDLER1</t>
  </si>
  <si>
    <t>Pedler Creek Landfill Gas Power Station Units 1-3</t>
  </si>
  <si>
    <t>PINDARI</t>
  </si>
  <si>
    <t>Pindari Hydro Power Station</t>
  </si>
  <si>
    <t>PIONEER</t>
  </si>
  <si>
    <t>Pioneer 2 Sugar Mill</t>
  </si>
  <si>
    <t>POAT110</t>
  </si>
  <si>
    <t>Poatina Power Station</t>
  </si>
  <si>
    <t>POAT220</t>
  </si>
  <si>
    <t>POR01</t>
  </si>
  <si>
    <t>Port Lincoln Gas Turbine</t>
  </si>
  <si>
    <t>POR03</t>
  </si>
  <si>
    <t>PORTLAT1</t>
  </si>
  <si>
    <t>Port Latta Diesel Generation</t>
  </si>
  <si>
    <t>PORTWF</t>
  </si>
  <si>
    <t>Portland Wind Farm</t>
  </si>
  <si>
    <t>PPCCGT</t>
  </si>
  <si>
    <t>Pelican Point Power Station</t>
  </si>
  <si>
    <t>PTSTAN1</t>
  </si>
  <si>
    <t>Port Stanvac Power Station 1</t>
  </si>
  <si>
    <t>PUMP1</t>
  </si>
  <si>
    <t>Wivenhoe Power Station No. 1 Pump</t>
  </si>
  <si>
    <t>Load Norm Off</t>
  </si>
  <si>
    <t>PUMP2</t>
  </si>
  <si>
    <t>Wivenhoe Power Station No. 2 Pump</t>
  </si>
  <si>
    <t>QPS1</t>
  </si>
  <si>
    <t>Quarantine Power Station</t>
  </si>
  <si>
    <t>QPS2</t>
  </si>
  <si>
    <t>QPS3</t>
  </si>
  <si>
    <t>QPS4</t>
  </si>
  <si>
    <t>QPS5</t>
  </si>
  <si>
    <t>QUERIVE1</t>
  </si>
  <si>
    <t>Que River Diesel Generator</t>
  </si>
  <si>
    <t>REECE1</t>
  </si>
  <si>
    <t>Reece Power Station</t>
  </si>
  <si>
    <t>REECE2</t>
  </si>
  <si>
    <t>REMOUNT</t>
  </si>
  <si>
    <t>Remount Power Station</t>
  </si>
  <si>
    <t>REPULSE</t>
  </si>
  <si>
    <t>Repulse Power Station</t>
  </si>
  <si>
    <t>ROCHEDAL</t>
  </si>
  <si>
    <t>Rochedale Renewable Energy Facility</t>
  </si>
  <si>
    <t>ROMA_7</t>
  </si>
  <si>
    <t>Roma Gas Turbine Station</t>
  </si>
  <si>
    <t>ROMA_8</t>
  </si>
  <si>
    <t>ROWALLAN</t>
  </si>
  <si>
    <t>Rowallan Power Station</t>
  </si>
  <si>
    <t>ROYALLA1</t>
  </si>
  <si>
    <t>Royalla Solar Farm</t>
  </si>
  <si>
    <t>RPCG</t>
  </si>
  <si>
    <t>Rocky Point Cogeneration Plant</t>
  </si>
  <si>
    <t>Generatir</t>
  </si>
  <si>
    <t>SHEP1</t>
  </si>
  <si>
    <t>Shepparton Wastewater Treatment Facility</t>
  </si>
  <si>
    <t>Sewerage/Waste Water</t>
  </si>
  <si>
    <t>SHGEN</t>
  </si>
  <si>
    <t>Bendeela / Kangaroo Valley Power Station</t>
  </si>
  <si>
    <t xml:space="preserve">Generator </t>
  </si>
  <si>
    <t>SHPUMP</t>
  </si>
  <si>
    <t>Bendeela / Kangaroo Valley Pumps</t>
  </si>
  <si>
    <t>SITHE01</t>
  </si>
  <si>
    <t>Smithfield Energy Facility</t>
  </si>
  <si>
    <t>SNOWNTH1</t>
  </si>
  <si>
    <t>Snowtown Wind Farm Stage 2 North</t>
  </si>
  <si>
    <t>SNOWSTH1</t>
  </si>
  <si>
    <t>Snowtown South Wind Farm</t>
  </si>
  <si>
    <t>SNOWTWN1</t>
  </si>
  <si>
    <t>Snowtown Wind Farm Units 1 to 47</t>
  </si>
  <si>
    <t>Tumut 3 Power Station</t>
  </si>
  <si>
    <t>SNUG1</t>
  </si>
  <si>
    <t>Snuggery Power Station</t>
  </si>
  <si>
    <t>STAN-1</t>
  </si>
  <si>
    <t>Stanwell Power Station</t>
  </si>
  <si>
    <t>STAN-2</t>
  </si>
  <si>
    <t>STAN-3</t>
  </si>
  <si>
    <t>STAN-4</t>
  </si>
  <si>
    <t>STARHLWF</t>
  </si>
  <si>
    <t>Starfish Hill Wind Farm</t>
  </si>
  <si>
    <t>STGEORG1</t>
  </si>
  <si>
    <t>St George Leagues Club Plant</t>
  </si>
  <si>
    <t>STHBKTEC</t>
  </si>
  <si>
    <t>Southbank Institute Of Technology Unit 1 Plant</t>
  </si>
  <si>
    <t>SUNCOAST</t>
  </si>
  <si>
    <t>Suncoast Gold Macadamias</t>
  </si>
  <si>
    <t>Macadamia Nut Shells</t>
  </si>
  <si>
    <t>SVALE1</t>
  </si>
  <si>
    <t>Springvale Landfill Gas Power Station</t>
  </si>
  <si>
    <t>SWAN_E</t>
  </si>
  <si>
    <t>Swanbank E Gas Turbine</t>
  </si>
  <si>
    <t>TALWA1</t>
  </si>
  <si>
    <t>Tallawarra Power Station</t>
  </si>
  <si>
    <t>TARALGA1</t>
  </si>
  <si>
    <t>Taralga Wind Farm</t>
  </si>
  <si>
    <t>TARONG#1</t>
  </si>
  <si>
    <t>Tarong Power Station</t>
  </si>
  <si>
    <t>TARONG#2</t>
  </si>
  <si>
    <t>TARONG#3</t>
  </si>
  <si>
    <t>TARONG#4</t>
  </si>
  <si>
    <t>TARRALEA</t>
  </si>
  <si>
    <t>Tarraleah Power Station</t>
  </si>
  <si>
    <t>TATIARA1</t>
  </si>
  <si>
    <t>Tatiara Bordertown Plant</t>
  </si>
  <si>
    <t>TATURA01</t>
  </si>
  <si>
    <t>Tatura Biomass Generator</t>
  </si>
  <si>
    <t>TERALBA</t>
  </si>
  <si>
    <t xml:space="preserve">Teralba Power Station </t>
  </si>
  <si>
    <t>TERMSTOR</t>
  </si>
  <si>
    <t>Terminal Storage Mini Hydro Power Station</t>
  </si>
  <si>
    <t>TGNSS1</t>
  </si>
  <si>
    <t>Taralgon Network Support Station</t>
  </si>
  <si>
    <t>THEDROP1</t>
  </si>
  <si>
    <t>The Drop Hydro Unit 1</t>
  </si>
  <si>
    <t>TITREE</t>
  </si>
  <si>
    <t>Veolia Ti Tree Bio Reactor</t>
  </si>
  <si>
    <t>TNPS1</t>
  </si>
  <si>
    <t>Tarong North Power Station</t>
  </si>
  <si>
    <t>TOORAWF</t>
  </si>
  <si>
    <t>TORRA1</t>
  </si>
  <si>
    <t>Torrens Island Power Station "A"</t>
  </si>
  <si>
    <t>TORRA2</t>
  </si>
  <si>
    <t>TORRA3</t>
  </si>
  <si>
    <t>TORRA4</t>
  </si>
  <si>
    <t>TORRB1</t>
  </si>
  <si>
    <t>Torrens Island Power Station "B"</t>
  </si>
  <si>
    <t>TORRB2</t>
  </si>
  <si>
    <t>TORRB3</t>
  </si>
  <si>
    <t>TORRB4</t>
  </si>
  <si>
    <t>TREVALLN</t>
  </si>
  <si>
    <t>Trevallyn Power Station</t>
  </si>
  <si>
    <t>TRIBUTE</t>
  </si>
  <si>
    <t>Tribute Power Station</t>
  </si>
  <si>
    <t>TUMUT3</t>
  </si>
  <si>
    <t>TUNGATIN</t>
  </si>
  <si>
    <t>Tungatinah Power Station</t>
  </si>
  <si>
    <t>TVCC201</t>
  </si>
  <si>
    <t>Tamar Valley Combined Cycle Power Station</t>
  </si>
  <si>
    <t>TVPP104</t>
  </si>
  <si>
    <t>Tamar Valley Peaking  Power Station</t>
  </si>
  <si>
    <t>UPPTUMUT</t>
  </si>
  <si>
    <t>Tumut 1 Power Station</t>
  </si>
  <si>
    <t>URANQ11</t>
  </si>
  <si>
    <t xml:space="preserve">Uranquinty Power Station </t>
  </si>
  <si>
    <t>URANQ12</t>
  </si>
  <si>
    <t>URANQ13</t>
  </si>
  <si>
    <t>URANQ14</t>
  </si>
  <si>
    <t>VP5</t>
  </si>
  <si>
    <t>Vales Point "B" Power Station</t>
  </si>
  <si>
    <t>VP6</t>
  </si>
  <si>
    <t>VPGS</t>
  </si>
  <si>
    <t>Valley Power Peaking Facility</t>
  </si>
  <si>
    <t>VPGS1</t>
  </si>
  <si>
    <t>VPGS2</t>
  </si>
  <si>
    <t>VPGS3</t>
  </si>
  <si>
    <t>VPGS4</t>
  </si>
  <si>
    <t>VPGS5</t>
  </si>
  <si>
    <t>VPGS6</t>
  </si>
  <si>
    <t>W/HOE#1</t>
  </si>
  <si>
    <t>Wivenhoe Power Station</t>
  </si>
  <si>
    <t>Hydro - pump storage</t>
  </si>
  <si>
    <t>W/HOE#2</t>
  </si>
  <si>
    <t>WATERLWF</t>
  </si>
  <si>
    <t>Waterloo Wind Farm</t>
  </si>
  <si>
    <t>WAUBRAWF</t>
  </si>
  <si>
    <t>Waubra Wind Farm</t>
  </si>
  <si>
    <t>WDLNGN01</t>
  </si>
  <si>
    <t>Woodlawn Bioreactor Energy Generation Station</t>
  </si>
  <si>
    <t>WESTCBT1</t>
  </si>
  <si>
    <t>Western Suburbs League Club (Campbelltown) Plant</t>
  </si>
  <si>
    <t>WESTILL1</t>
  </si>
  <si>
    <t>West Illawarra Leagues Club Plant</t>
  </si>
  <si>
    <t>WHILL1</t>
  </si>
  <si>
    <t>Windy Hill Wind Farm</t>
  </si>
  <si>
    <t>WHIT1</t>
  </si>
  <si>
    <t>Whitwood Road Renewable Energy Facility</t>
  </si>
  <si>
    <t>WILGAPK</t>
  </si>
  <si>
    <t>Wilga Park A Power Station</t>
  </si>
  <si>
    <t>WILGB01</t>
  </si>
  <si>
    <t>Wilga Park B Power Station</t>
  </si>
  <si>
    <t>WILLHOV1</t>
  </si>
  <si>
    <t>William Hovell Hydro Power Station</t>
  </si>
  <si>
    <t>WING1_1</t>
  </si>
  <si>
    <t>Wingfield 1 Landfill Gas Power Station Units 1-4</t>
  </si>
  <si>
    <t>WING2_1</t>
  </si>
  <si>
    <t>Wingfield 2 Landfill Gas Power Station Units 1-4</t>
  </si>
  <si>
    <t>WKIEWA1</t>
  </si>
  <si>
    <t>West Kiewa Power Station</t>
  </si>
  <si>
    <t>WKIEWA2</t>
  </si>
  <si>
    <t>WOLLERT1</t>
  </si>
  <si>
    <t>Wollert Renewable Energy Facility</t>
  </si>
  <si>
    <t>WONWP</t>
  </si>
  <si>
    <t>Wonthaggi Wind Farm</t>
  </si>
  <si>
    <t>WOODLWN1</t>
  </si>
  <si>
    <t>Woodlawn Wind Farm</t>
  </si>
  <si>
    <t>WOOLNTH1</t>
  </si>
  <si>
    <t>Woolnorth Studland Bay / Bluff Point Wind Farm</t>
  </si>
  <si>
    <t>WOYWOY1</t>
  </si>
  <si>
    <t>Woy Woy Landfill Site</t>
  </si>
  <si>
    <t>WPWF</t>
  </si>
  <si>
    <t>Wattle Point Wind Farm</t>
  </si>
  <si>
    <t>WYANGALA</t>
  </si>
  <si>
    <t>Wyangala A Power Station</t>
  </si>
  <si>
    <t>WYANGALB</t>
  </si>
  <si>
    <t>Wyangala B Power Station</t>
  </si>
  <si>
    <t>WYNDW</t>
  </si>
  <si>
    <t>Wyndham Waste Disposal Facility</t>
  </si>
  <si>
    <t>YABULU</t>
  </si>
  <si>
    <t>Townsville Gas Turbine</t>
  </si>
  <si>
    <t>YABULU2</t>
  </si>
  <si>
    <t>YAMBUKWF</t>
  </si>
  <si>
    <t xml:space="preserve">Yambuk Wind Farm </t>
  </si>
  <si>
    <t>YARWUN_1</t>
  </si>
  <si>
    <t>Yarwun Power Station</t>
  </si>
  <si>
    <t>YWPS1</t>
  </si>
  <si>
    <t>Yallourn W Power Station</t>
  </si>
  <si>
    <t>YWPS2</t>
  </si>
  <si>
    <t>YWPS3</t>
  </si>
  <si>
    <t>YWPS4</t>
  </si>
  <si>
    <t>duid</t>
  </si>
  <si>
    <t>station</t>
  </si>
  <si>
    <t>owner</t>
  </si>
  <si>
    <t>registered_capacity</t>
  </si>
  <si>
    <t>connection_id</t>
  </si>
  <si>
    <t>connection_voltage</t>
  </si>
  <si>
    <t>generator_classification</t>
  </si>
  <si>
    <t>market_generator</t>
  </si>
  <si>
    <t>schedule_type</t>
  </si>
  <si>
    <t>intermittent</t>
  </si>
  <si>
    <t>semi_scheduled</t>
  </si>
  <si>
    <t>generator_fuel_source</t>
  </si>
  <si>
    <t>generator_technology</t>
  </si>
  <si>
    <t>updated_on</t>
  </si>
  <si>
    <t>position</t>
  </si>
  <si>
    <t>total_capacity</t>
  </si>
  <si>
    <t>PORTLAND</t>
  </si>
  <si>
    <t>State Electricity Commission (Vic)</t>
  </si>
  <si>
    <t>APD01</t>
  </si>
  <si>
    <t>VAPD1</t>
  </si>
  <si>
    <t>LOAD - NOT DISPATCHED</t>
  </si>
  <si>
    <t>No</t>
  </si>
  <si>
    <t>NON-SCHEDULED</t>
  </si>
  <si>
    <t>-</t>
  </si>
  <si>
    <t>{"lat":-38.38572883618352,"lng":141.6261501858228}</t>
  </si>
  <si>
    <t>NORTHP</t>
  </si>
  <si>
    <t>Flinders Operating Services Pty Ltd</t>
  </si>
  <si>
    <t>SNPA1</t>
  </si>
  <si>
    <t>GENERATOR - SLOW</t>
  </si>
  <si>
    <t>Yes</t>
  </si>
  <si>
    <t>SCHEDULED</t>
  </si>
  <si>
    <t>Fossil-Brown Coal</t>
  </si>
  <si>
    <t>Combustion-Steam Sub-Critical</t>
  </si>
  <si>
    <t>{"lat":-32.54171081368126,"lng":137.79006085493864}</t>
  </si>
  <si>
    <t>SNPA2</t>
  </si>
  <si>
    <t>PLAYF</t>
  </si>
  <si>
    <t>PLAYB-AG</t>
  </si>
  <si>
    <t>SPSD1</t>
  </si>
  <si>
    <t>{"lat":-32.53863177362726,"lng":137.78226392540432}</t>
  </si>
  <si>
    <t>Mt Millar Wind Farm Pty Ltd</t>
  </si>
  <si>
    <t>SMTM1</t>
  </si>
  <si>
    <t>GENERATOR - NOT DISPATCHED</t>
  </si>
  <si>
    <t>Wind-Wind</t>
  </si>
  <si>
    <t>Renewable-Wind - Onshore</t>
  </si>
  <si>
    <t>{"lat":-33.619374832583155,"lng":136.71798304397}</t>
  </si>
  <si>
    <t>PORTLCN</t>
  </si>
  <si>
    <t>Synergen Power Pty Limited</t>
  </si>
  <si>
    <t>SPLN1</t>
  </si>
  <si>
    <t>GENERATOR - FAST</t>
  </si>
  <si>
    <t>Fossil-Diesel</t>
  </si>
  <si>
    <t>Combustion-Open Cycle Gas turbines (OCGT)</t>
  </si>
  <si>
    <t>{"lat":-34.70011789153905,"lng":135.80574228845487}</t>
  </si>
  <si>
    <t>SPL31P</t>
  </si>
  <si>
    <t>Cathedral Rocks Wind Farm Pty Ltd</t>
  </si>
  <si>
    <t>SCRK</t>
  </si>
  <si>
    <t>{"lat":-34.84791181413131,"lng":135.59132672626114}</t>
  </si>
  <si>
    <t>NBHWF</t>
  </si>
  <si>
    <t>AGL Hydro Partnership</t>
  </si>
  <si>
    <t>SBEL1A</t>
  </si>
  <si>
    <t>SEMI-SCHEDULED</t>
  </si>
  <si>
    <t>{"lat":-33.22833674572447,"lng":138.71789546952243}</t>
  </si>
  <si>
    <t>EnergyAustralia Pty Ltd</t>
  </si>
  <si>
    <t>SHPS1</t>
  </si>
  <si>
    <t>Fossil-Natural Gas / Diesel</t>
  </si>
  <si>
    <t>Combustion-Combined Cycle Gas Turbine (CCGT)</t>
  </si>
  <si>
    <t>{"lat":-33.34841930783068,"lng":138.75298165242685}</t>
  </si>
  <si>
    <t>HALLWF</t>
  </si>
  <si>
    <t>SHPS2W</t>
  </si>
  <si>
    <t>{"lat":-33.32994506750665,"lng":138.70620007522095}</t>
  </si>
  <si>
    <t>SMOK1H</t>
  </si>
  <si>
    <t>{"lat":-33.53931979117901,"lng":138.85824020114012}</t>
  </si>
  <si>
    <t>SNOWTOWN</t>
  </si>
  <si>
    <t>Snowtown Wind Farm Pty Ltd</t>
  </si>
  <si>
    <t>SNWF1T</t>
  </si>
  <si>
    <t>{"lat":-33.69019275382528,"lng":138.1643134725859}</t>
  </si>
  <si>
    <t>SNOWNTH</t>
  </si>
  <si>
    <t>Snowtown Wind Farm Stage 2 Pty Ltd</t>
  </si>
  <si>
    <t>SBLWS1</t>
  </si>
  <si>
    <t>{"lat":-33.7579316350134,"lng":138.14482114875008}</t>
  </si>
  <si>
    <t>SNOWSTH</t>
  </si>
  <si>
    <t>SBLWS2</t>
  </si>
  <si>
    <t>{"lat":-33.862618996849584,"lng":138.12922728968147}</t>
  </si>
  <si>
    <t>BLUFF</t>
  </si>
  <si>
    <t>SBEL2P</t>
  </si>
  <si>
    <t>{"lat":-33.366893548154714,"lng":138.79196630009844}</t>
  </si>
  <si>
    <t>Pacific Hydro Clements Gap Pty Ltd</t>
  </si>
  <si>
    <t>SCGW1P</t>
  </si>
  <si>
    <t>{"lat":-33.49005515031493,"lng":138.11363343061282}</t>
  </si>
  <si>
    <t>Waterloo Wind Farm Pty Ltd</t>
  </si>
  <si>
    <t>SWLE</t>
  </si>
  <si>
    <t>{"lat":-33.99193867911781,"lng":138.9167171726475}</t>
  </si>
  <si>
    <t>SMPS</t>
  </si>
  <si>
    <t>Fossil-Natural Gas</t>
  </si>
  <si>
    <t>{"lat":-33.90264651755165,"lng":138.7373877933582}</t>
  </si>
  <si>
    <t>SSYP1</t>
  </si>
  <si>
    <t>{"lat":-35.115788298829784,"lng":137.7198884891298}</t>
  </si>
  <si>
    <t>ANGASTON</t>
  </si>
  <si>
    <t>Lumo Generation SA Pty Ltd</t>
  </si>
  <si>
    <t>SDRN1</t>
  </si>
  <si>
    <t>Combustion-Compression Reciprocating Engine</t>
  </si>
  <si>
    <t>{"lat":-34.503059328082706,"lng":139.02587418612796}</t>
  </si>
  <si>
    <t>SDRN2</t>
  </si>
  <si>
    <t>NPPPPS</t>
  </si>
  <si>
    <t>Pelican Point Power Limited</t>
  </si>
  <si>
    <t>SPPT</t>
  </si>
  <si>
    <t>{"lat":-34.76477773267317,"lng":138.50347990732868}</t>
  </si>
  <si>
    <t>QUARANTN</t>
  </si>
  <si>
    <t>Origin Energy Electricity Limited</t>
  </si>
  <si>
    <t>SQPS1</t>
  </si>
  <si>
    <t>{"lat":-34.78017293294319,"lng":138.5229722311645}</t>
  </si>
  <si>
    <t>SQPS2</t>
  </si>
  <si>
    <t>SQPS3</t>
  </si>
  <si>
    <t>SQPS4</t>
  </si>
  <si>
    <t>SQPS5Q</t>
  </si>
  <si>
    <t>OSBORNE</t>
  </si>
  <si>
    <t>SNBN1</t>
  </si>
  <si>
    <t>{"lat":-34.79864717326723,"lng":138.50737837209584}</t>
  </si>
  <si>
    <t>TORRIS</t>
  </si>
  <si>
    <t>AGL SA Generation Pty Limited</t>
  </si>
  <si>
    <t>STSB1</t>
  </si>
  <si>
    <t>Fossil-Natural Gas / Fuel Oil</t>
  </si>
  <si>
    <t>{"lat":-34.804805253375235,"lng":138.5229722311645}</t>
  </si>
  <si>
    <t>STSB2</t>
  </si>
  <si>
    <t>STSB3</t>
  </si>
  <si>
    <t>STSB4</t>
  </si>
  <si>
    <t>STSA1</t>
  </si>
  <si>
    <t>{"lat":-34.80788429342924,"lng":138.51907376639733}</t>
  </si>
  <si>
    <t>STSA2</t>
  </si>
  <si>
    <t>STSA3</t>
  </si>
  <si>
    <t>STSA4</t>
  </si>
  <si>
    <t>DRYCGT</t>
  </si>
  <si>
    <t>SDCA1</t>
  </si>
  <si>
    <t>{"lat":-34.84791181413131,"lng":138.58144920267188}</t>
  </si>
  <si>
    <t>SDCA2</t>
  </si>
  <si>
    <t>SDCA3</t>
  </si>
  <si>
    <t>STARFHILL</t>
  </si>
  <si>
    <t>Starfish Hill Wind Farm Pty Ltd</t>
  </si>
  <si>
    <t>SMVE2</t>
  </si>
  <si>
    <t>{"lat":-35.577644306930594,"lng":138.14092268398292}</t>
  </si>
  <si>
    <t>LADBROKE</t>
  </si>
  <si>
    <t>SPEW1</t>
  </si>
  <si>
    <t>{"lat":-37.45585873987388,"lng":140.78408179611654}</t>
  </si>
  <si>
    <t>SPEW2</t>
  </si>
  <si>
    <t>SNUG</t>
  </si>
  <si>
    <t>SSGA1</t>
  </si>
  <si>
    <t>{"lat":-37.66523346354625,"lng":140.41372764323646}</t>
  </si>
  <si>
    <t>CANUNDA1</t>
  </si>
  <si>
    <t>Canunda Power Pty Ltd</t>
  </si>
  <si>
    <t>SSNN1</t>
  </si>
  <si>
    <t>{"lat":-37.69910290414031,"lng":140.3825399250992}</t>
  </si>
  <si>
    <t>Lake Bonney Wind Power Pty Ltd</t>
  </si>
  <si>
    <t>SMAY1</t>
  </si>
  <si>
    <t>{"lat":-37.760683705220416,"lng":140.40593071370213}</t>
  </si>
  <si>
    <t>Hydro-Electric Corporation</t>
  </si>
  <si>
    <t>TST11</t>
  </si>
  <si>
    <t>tion: WO</t>
  </si>
  <si>
    <t>{"lat":-40.735036397389635,"lng":144.6942419575767}</t>
  </si>
  <si>
    <t>{"lat":-40.79045911836173,"lng":144.72542967571397}</t>
  </si>
  <si>
    <t>TVCCPS</t>
  </si>
  <si>
    <t>Aurora Energy (Tamar Valley) Pty Ltd</t>
  </si>
  <si>
    <t>TTV11A</t>
  </si>
  <si>
    <t>tion: TV</t>
  </si>
  <si>
    <t>{"lat":-41.138390644464344,"lng":146.9046714805557}</t>
  </si>
  <si>
    <t>BBP31</t>
  </si>
  <si>
    <t>TBB14A</t>
  </si>
  <si>
    <t>tion: BB</t>
  </si>
  <si>
    <t>TBB11</t>
  </si>
  <si>
    <t>v&gt;\n\t\tSta</t>
  </si>
  <si>
    <t>{"lat":-41.138390644464344,"lng":146.90077301578853}</t>
  </si>
  <si>
    <t>TBB12</t>
  </si>
  <si>
    <t>TBB13</t>
  </si>
  <si>
    <t>MUSSELRO</t>
  </si>
  <si>
    <t>TDE11M</t>
  </si>
  <si>
    <t>tion: MU</t>
  </si>
  <si>
    <t>{"lat":-40.77814295814571,"lng":148.0079370096616}</t>
  </si>
  <si>
    <t>TDG11</t>
  </si>
  <si>
    <t>Hydro-Water</t>
  </si>
  <si>
    <t>Renewable-Hydro - Gravity</t>
  </si>
  <si>
    <t>tion: DE</t>
  </si>
  <si>
    <t>{"lat":-41.35084440819072,"lng":146.2614247939745}</t>
  </si>
  <si>
    <t>TPA11</t>
  </si>
  <si>
    <t>tion: PA</t>
  </si>
  <si>
    <t>{"lat":-41.2831055270026,"lng":146.24972939967301}</t>
  </si>
  <si>
    <t>TTR11</t>
  </si>
  <si>
    <t>tion: TR</t>
  </si>
  <si>
    <t>{"lat":-41.42166232943284,"lng":147.1112901132151}</t>
  </si>
  <si>
    <t>TCE11</t>
  </si>
  <si>
    <t>tion: CE</t>
  </si>
  <si>
    <t>{"lat":-41.48016409045894,"lng":146.13277545665827}</t>
  </si>
  <si>
    <t>TSH11</t>
  </si>
  <si>
    <t>tion: LE</t>
  </si>
  <si>
    <t>{"lat":-41.483243130512946,"lng":146.12497852712394}</t>
  </si>
  <si>
    <t>REECE</t>
  </si>
  <si>
    <t>TRCA1</t>
  </si>
  <si>
    <t>tion: RE</t>
  </si>
  <si>
    <t>{"lat":-41.72340825472537,"lng":145.13476847626563}</t>
  </si>
  <si>
    <t>TRCB1</t>
  </si>
  <si>
    <t>{"lat":-41.60332569261916,"lng":146.1405723861926}</t>
  </si>
  <si>
    <t>TFI11</t>
  </si>
  <si>
    <t>tion: FI</t>
  </si>
  <si>
    <t>{"lat":-41.67414361386128,"lng":146.26922172350882}</t>
  </si>
  <si>
    <t>TFI12</t>
  </si>
  <si>
    <t>tion: RO</t>
  </si>
  <si>
    <t>{"lat":-41.72956633483338,"lng":146.21854168153575}</t>
  </si>
  <si>
    <t>TMA11</t>
  </si>
  <si>
    <t>tion: MA</t>
  </si>
  <si>
    <t>{"lat":-41.701854974347334,"lng":145.64546736076343}</t>
  </si>
  <si>
    <t>TFA11</t>
  </si>
  <si>
    <t>tion: BA</t>
  </si>
  <si>
    <t>{"lat":-41.73572441494139,"lng":145.53241188251582}</t>
  </si>
  <si>
    <t>TTI11</t>
  </si>
  <si>
    <t>{"lat":-41.81270041629153,"lng":145.65326429029773}</t>
  </si>
  <si>
    <t>PTINA110</t>
  </si>
  <si>
    <t>TPM21</t>
  </si>
  <si>
    <t>tion: PT</t>
  </si>
  <si>
    <t>{"lat":-41.80654233618351,"lng":146.92416380439147}</t>
  </si>
  <si>
    <t>PTINA220</t>
  </si>
  <si>
    <t>TPN11</t>
  </si>
  <si>
    <t>TJB11</t>
  </si>
  <si>
    <t>tion: JB</t>
  </si>
  <si>
    <t>{"lat":-42.154473862286125,"lng":145.53631034728298}</t>
  </si>
  <si>
    <t>TBG11</t>
  </si>
  <si>
    <t>tion: BU</t>
  </si>
  <si>
    <t>{"lat":-42.26839834428432,"lng":146.2614247939745}</t>
  </si>
  <si>
    <t>TLE11</t>
  </si>
  <si>
    <t>tion: LK</t>
  </si>
  <si>
    <t>{"lat":-42.2530031440143,"lng":146.6200835525531}</t>
  </si>
  <si>
    <t>TTA11</t>
  </si>
  <si>
    <t>tion: TA</t>
  </si>
  <si>
    <t>{"lat":-42.30226778487838,"lng":146.45634803233244}</t>
  </si>
  <si>
    <t>TTU11</t>
  </si>
  <si>
    <t>tion: TU</t>
  </si>
  <si>
    <t>{"lat":-42.29610970477037,"lng":146.45634803233244}</t>
  </si>
  <si>
    <t>TLI11</t>
  </si>
  <si>
    <t>tion: LI</t>
  </si>
  <si>
    <t>{"lat":-42.37616474617452,"lng":146.51092653907264}</t>
  </si>
  <si>
    <t>{"lat":-42.42850842709261,"lng":146.5343173276756}</t>
  </si>
  <si>
    <t>{"lat":-42.45314074752465,"lng":146.59669276395016}</t>
  </si>
  <si>
    <t>TCL11</t>
  </si>
  <si>
    <t>tion: CL</t>
  </si>
  <si>
    <t>{"lat":-42.50548442844274,"lng":146.68245898882765}</t>
  </si>
  <si>
    <t>TCL12</t>
  </si>
  <si>
    <t>{"lat":-42.508563468496746,"lng":146.6473728059232}</t>
  </si>
  <si>
    <t>TMB11</t>
  </si>
  <si>
    <t>tion: ME</t>
  </si>
  <si>
    <t>{"lat":-42.610171790278926,"lng":146.8461945090483}</t>
  </si>
  <si>
    <t>TGO11</t>
  </si>
  <si>
    <t>tion: GO</t>
  </si>
  <si>
    <t>{"lat":-42.73949147254715,"lng":145.98463379550623}</t>
  </si>
  <si>
    <t>Snowy Hydro Limited</t>
  </si>
  <si>
    <t>NMUR8</t>
  </si>
  <si>
    <t>{"lat":-36.24579599864976,"lng":148.1872663889509}</t>
  </si>
  <si>
    <t>{"lat":-36.24271695859576,"lng":148.13658634697782}</t>
  </si>
  <si>
    <t>DARTM</t>
  </si>
  <si>
    <t>VDPS</t>
  </si>
  <si>
    <t>{"lat":-36.55677904410431,"lng":147.52062891376676}</t>
  </si>
  <si>
    <t>MCKAY</t>
  </si>
  <si>
    <t>VMKP1</t>
  </si>
  <si>
    <t>{"lat":-36.80618128847875,"lng":147.22824405622987}</t>
  </si>
  <si>
    <t>WKIEWA</t>
  </si>
  <si>
    <t>VWKP1</t>
  </si>
  <si>
    <t>{"lat":-36.75999568766866,"lng":147.18536094379112}</t>
  </si>
  <si>
    <t>VWKP2</t>
  </si>
  <si>
    <t>{"lat":-36.85852496939684,"lng":147.23604098576416}</t>
  </si>
  <si>
    <t>VMBT1</t>
  </si>
  <si>
    <t>{"lat":-36.78462800810071,"lng":147.22044712669555}</t>
  </si>
  <si>
    <t>RUBICON</t>
  </si>
  <si>
    <t>VTT21R</t>
  </si>
  <si>
    <t>{"lat":-37.2926696170116,"lng":145.8169998105184}</t>
  </si>
  <si>
    <t>EILDON</t>
  </si>
  <si>
    <t>VEPS1</t>
  </si>
  <si>
    <t>{"lat":-37.22185169576947,"lng":145.9222583592317}</t>
  </si>
  <si>
    <t>VEPS2</t>
  </si>
  <si>
    <t>VTTS1</t>
  </si>
  <si>
    <t>{"lat":-37.63136402295219,"lng":144.95154063220917}</t>
  </si>
  <si>
    <t>NEWPORT</t>
  </si>
  <si>
    <t>Ecogen Energy Pty Ltd</t>
  </si>
  <si>
    <t>VNPS</t>
  </si>
  <si>
    <t>{"lat":-37.84073874662456,"lng":144.89696212546895}</t>
  </si>
  <si>
    <t>LNGS</t>
  </si>
  <si>
    <t>VAT21</t>
  </si>
  <si>
    <t>{"lat":-37.84073874662456,"lng":144.78780511198852}</t>
  </si>
  <si>
    <t>LOYYANGA</t>
  </si>
  <si>
    <t>AGL Loy Yang Marketing Pty Ltd</t>
  </si>
  <si>
    <t>VLYP1</t>
  </si>
  <si>
    <t>{"lat":-38.25025107380728,"lng":146.57720044011435}</t>
  </si>
  <si>
    <t>VLYP2</t>
  </si>
  <si>
    <t>VLYP3</t>
  </si>
  <si>
    <t>VLYP4</t>
  </si>
  <si>
    <t>LOYYB</t>
  </si>
  <si>
    <t>IPM Australia Limited</t>
  </si>
  <si>
    <t>VLYP5</t>
  </si>
  <si>
    <t>{"lat":-38.25333011386128,"lng":146.58499736964868}</t>
  </si>
  <si>
    <t>VLYP6</t>
  </si>
  <si>
    <t>ENERGYB</t>
  </si>
  <si>
    <t>Energy Brix Australia Corporation Pty Ltd</t>
  </si>
  <si>
    <t>VMWT1</t>
  </si>
  <si>
    <t>{"lat":-38.25333011386128,"lng":146.41346491989367}</t>
  </si>
  <si>
    <t>MOR2</t>
  </si>
  <si>
    <t>VMWP4</t>
  </si>
  <si>
    <t>MOR3</t>
  </si>
  <si>
    <t>VMWP5</t>
  </si>
  <si>
    <t>JEERA</t>
  </si>
  <si>
    <t>VJLGA1</t>
  </si>
  <si>
    <t>{"lat":-38.274883394239325,"lng":146.42516031419515}</t>
  </si>
  <si>
    <t>VJLGA2</t>
  </si>
  <si>
    <t>VJLGA3</t>
  </si>
  <si>
    <t>VJLGA4</t>
  </si>
  <si>
    <t>JEERB</t>
  </si>
  <si>
    <t>VJLGB1</t>
  </si>
  <si>
    <t>VJLGB2</t>
  </si>
  <si>
    <t>VJLGB3</t>
  </si>
  <si>
    <t>VLYP7</t>
  </si>
  <si>
    <t>{"lat":-38.25333011386128,"lng":146.58889583441584}</t>
  </si>
  <si>
    <t>HAZEL</t>
  </si>
  <si>
    <t>Hazelwood Power</t>
  </si>
  <si>
    <t>VHWP1</t>
  </si>
  <si>
    <t>{"lat":-38.27180435418531,"lng":146.39007413129073}</t>
  </si>
  <si>
    <t>VHWP2</t>
  </si>
  <si>
    <t>VHWP3</t>
  </si>
  <si>
    <t>VHWP4</t>
  </si>
  <si>
    <t>VHWP5</t>
  </si>
  <si>
    <t>VHWP6</t>
  </si>
  <si>
    <t>VHWP7</t>
  </si>
  <si>
    <t>VHWP8</t>
  </si>
  <si>
    <t>YALLOURN</t>
  </si>
  <si>
    <t>EnergyAustralia Yallourn Pty Ltd</t>
  </si>
  <si>
    <t>VYP21</t>
  </si>
  <si>
    <t>{"lat":-38.17635411251115,"lng":146.347191018852}</t>
  </si>
  <si>
    <t>VYP22</t>
  </si>
  <si>
    <t>VYP23</t>
  </si>
  <si>
    <t>VYP24</t>
  </si>
  <si>
    <t>DEIBDL</t>
  </si>
  <si>
    <t>AETV Pty Ltd</t>
  </si>
  <si>
    <t>VMWT2</t>
  </si>
  <si>
    <t>{"lat":-37.84073874662456,"lng":147.5635120262055}</t>
  </si>
  <si>
    <t>VMWT3</t>
  </si>
  <si>
    <t>Toora Wind Farm Pty Ltd</t>
  </si>
  <si>
    <t>VMWT5</t>
  </si>
  <si>
    <t>{"lat":-38.65360532088199,"lng":146.33939408931766}</t>
  </si>
  <si>
    <t>BHWF</t>
  </si>
  <si>
    <t>Alinta Energy Retail Sales Pty Ltd</t>
  </si>
  <si>
    <t>VMWT9B</t>
  </si>
  <si>
    <t>{"lat":-38.75829268271817,"lng":145.95734454213613}</t>
  </si>
  <si>
    <t>Alcoa Of Australia Limited</t>
  </si>
  <si>
    <t>VAPS</t>
  </si>
  <si>
    <t>{"lat":-38.38572883618352,"lng":144.1835430730789}</t>
  </si>
  <si>
    <t>MTMERCER</t>
  </si>
  <si>
    <t>Mt Mercer Windfarm Pty Ltd</t>
  </si>
  <si>
    <t>VELT1M</t>
  </si>
  <si>
    <t>{"lat":-37.84689682673257,"lng":143.87166589170621}</t>
  </si>
  <si>
    <t>Pyrenees Wind Energy Development Pty Ltd</t>
  </si>
  <si>
    <t>VWBT1A</t>
  </si>
  <si>
    <t>{"lat":-37.35732945814571,"lng":143.59097642847078}</t>
  </si>
  <si>
    <t>CHALLWF</t>
  </si>
  <si>
    <t>Pacific Hydro Challicum Hills Pty Ltd</t>
  </si>
  <si>
    <t>VHOT1</t>
  </si>
  <si>
    <t>{"lat":-37.39427793879378,"lng":143.10366833257595}</t>
  </si>
  <si>
    <t>OAKLAND</t>
  </si>
  <si>
    <t>VTGT3A</t>
  </si>
  <si>
    <t>{"lat":-37.68062866381628,"lng":142.55398480040657}</t>
  </si>
  <si>
    <t>MLWF</t>
  </si>
  <si>
    <t>Mortons Lane Windfarm Pty Limited</t>
  </si>
  <si>
    <t>VTGT4M</t>
  </si>
  <si>
    <t>{"lat":-37.83458066651655,"lng":142.46432011076192}</t>
  </si>
  <si>
    <t>MACARTH</t>
  </si>
  <si>
    <t>VTRT1M</t>
  </si>
  <si>
    <t>{"lat":-38.04395539018891,"lng":142.17973218275935}</t>
  </si>
  <si>
    <t>MORTLK</t>
  </si>
  <si>
    <t>VM0P1O</t>
  </si>
  <si>
    <t>{"lat":-38.06242963051295,"lng":142.66704027865418}</t>
  </si>
  <si>
    <t>VM0P2O</t>
  </si>
  <si>
    <t>CODRGTON</t>
  </si>
  <si>
    <t>Energy Pacific (Vic) Pty Ltd</t>
  </si>
  <si>
    <t>VTGT2C</t>
  </si>
  <si>
    <t>{"lat":-38.28412051440134,"lng":141.95362122626415}</t>
  </si>
  <si>
    <t>YAMBUK</t>
  </si>
  <si>
    <t>VTGT1</t>
  </si>
  <si>
    <t>{"lat":-38.30567379477937,"lng":142.01989512730583}</t>
  </si>
  <si>
    <t>Pacific Hydro Portland Wind Farm Pty Ltd</t>
  </si>
  <si>
    <t>VAPD3W</t>
  </si>
  <si>
    <t>{"lat":-38.36109651575147,"lng":141.38444537025896}</t>
  </si>
  <si>
    <t>{"lat":-38.42267731683158,"lng":141.54818089047964}</t>
  </si>
  <si>
    <t>LIDDELL</t>
  </si>
  <si>
    <t>AGL Macquarie Pty Limited</t>
  </si>
  <si>
    <t>NLDP1</t>
  </si>
  <si>
    <t>Fossil-Black Coal</t>
  </si>
  <si>
    <t>{"lat":-32.369284570656966,"lng":150.97856716223652}</t>
  </si>
  <si>
    <t>NLDP2</t>
  </si>
  <si>
    <t>NLDP3</t>
  </si>
  <si>
    <t>NLDP4</t>
  </si>
  <si>
    <t>BAYSW</t>
  </si>
  <si>
    <t>NBAY1</t>
  </si>
  <si>
    <t>{"lat":-32.393916891089006,"lng":150.95517637363358}</t>
  </si>
  <si>
    <t>NBAY2</t>
  </si>
  <si>
    <t>NBAY3</t>
  </si>
  <si>
    <t>NBAY4</t>
  </si>
  <si>
    <t>HUNTVGT</t>
  </si>
  <si>
    <t>NLD31</t>
  </si>
  <si>
    <t>Fossil-Kerosene</t>
  </si>
  <si>
    <t>{"lat":-32.390837851035,"lng":150.96687176793503}</t>
  </si>
  <si>
    <t>REDBANK1</t>
  </si>
  <si>
    <t>Redbank Project Pty Limited</t>
  </si>
  <si>
    <t>NMRK1</t>
  </si>
  <si>
    <t>Fossil-Coal Tailings</t>
  </si>
  <si>
    <t>{"lat":-32.57865929432933,"lng":151.07213031664833}</t>
  </si>
  <si>
    <t>ERARING</t>
  </si>
  <si>
    <t>NEPS1</t>
  </si>
  <si>
    <t>{"lat":-33.06206858280818,"lng":151.52435222963874}</t>
  </si>
  <si>
    <t>NEPS2</t>
  </si>
  <si>
    <t>NEPS3</t>
  </si>
  <si>
    <t>NEPS4</t>
  </si>
  <si>
    <t>COLONGRA</t>
  </si>
  <si>
    <t>NCLG1D</t>
  </si>
  <si>
    <t>{"lat":-33.20986250540044,"lng":151.54384455347451}</t>
  </si>
  <si>
    <t>NCLG2D</t>
  </si>
  <si>
    <t>NCLG3D</t>
  </si>
  <si>
    <t>NCLG4D</t>
  </si>
  <si>
    <t>VP</t>
  </si>
  <si>
    <t>Delta Electricity</t>
  </si>
  <si>
    <t>NVPP5</t>
  </si>
  <si>
    <t>{"lat":-33.16059786453635,"lng":151.5477430182417}</t>
  </si>
  <si>
    <t>NVPP6</t>
  </si>
  <si>
    <t>MP</t>
  </si>
  <si>
    <t>NMTP1</t>
  </si>
  <si>
    <t>{"lat":-33.3607354680467,"lng":150.0351386885841}</t>
  </si>
  <si>
    <t>NMTP2</t>
  </si>
  <si>
    <t>SITHE</t>
  </si>
  <si>
    <t>Marubeni Australia Power Services Pty Ltd</t>
  </si>
  <si>
    <t>NSYW1</t>
  </si>
  <si>
    <t>{"lat":-33.85030283663356,"lng":150.95127790886642}</t>
  </si>
  <si>
    <t>TALLAWAR</t>
  </si>
  <si>
    <t>NDT13T</t>
  </si>
  <si>
    <t>{"lat":-34.52461260846074,"lng":150.80703471248154}</t>
  </si>
  <si>
    <t>SHOALHAV</t>
  </si>
  <si>
    <t>NSHL</t>
  </si>
  <si>
    <t>{"lat":-34.73398733213311,"lng":150.46786827773872}</t>
  </si>
  <si>
    <t>NSHP1</t>
  </si>
  <si>
    <t>LOAD - FAST</t>
  </si>
  <si>
    <t>{"lat":-34.72167117191709,"lng":150.4795636720402}</t>
  </si>
  <si>
    <t>TARALGA</t>
  </si>
  <si>
    <t>Taralga Wind Farm Nominees No 2 Pty Ltd (ATF Taralga Wind Farm Operating Trust)</t>
  </si>
  <si>
    <t>NMR22T</t>
  </si>
  <si>
    <t>{"lat":-34.42608332673257,"lng":149.85970777406197}</t>
  </si>
  <si>
    <t>GULLRGWF</t>
  </si>
  <si>
    <t>New Gullen Range Wind Farm Pty Ltd</t>
  </si>
  <si>
    <t>NGUR1G</t>
  </si>
  <si>
    <t>{"lat":-34.62314189018892,"lng":149.45816590304463}</t>
  </si>
  <si>
    <t>GUNNING</t>
  </si>
  <si>
    <t>Gunning Wind Energy Developments Pty Ltd</t>
  </si>
  <si>
    <t>NYS12A</t>
  </si>
  <si>
    <t>{"lat":-34.675485571107004,"lng":149.66478453570403}</t>
  </si>
  <si>
    <t>CULLERIN</t>
  </si>
  <si>
    <t>NYS11C</t>
  </si>
  <si>
    <t>{"lat":-34.75246157245714,"lng":149.38019660770146}</t>
  </si>
  <si>
    <t>WOODLWN</t>
  </si>
  <si>
    <t>Woodlawn Wind Pty Ltd</t>
  </si>
  <si>
    <t>NCWF2W</t>
  </si>
  <si>
    <t>{"lat":-35.081918858235724,"lng":149.57122138129222}</t>
  </si>
  <si>
    <t>Infigen Energy Markets Pty Limited</t>
  </si>
  <si>
    <t>NCWF1R</t>
  </si>
  <si>
    <t>{"lat":-35.1250254189918,"lng":149.50104901548337}</t>
  </si>
  <si>
    <t>ROYALLA</t>
  </si>
  <si>
    <t>FRV Royalla Solar Farm Pty Limited</t>
  </si>
  <si>
    <t>ACA11R</t>
  </si>
  <si>
    <t>Solar-Solar</t>
  </si>
  <si>
    <t>Renewable-Photovoltaic Flat panel</t>
  </si>
  <si>
    <t>{"lat":-35.485273105310426,"lng":149.14239025690478}</t>
  </si>
  <si>
    <t>GSP Energy Pty Ltd</t>
  </si>
  <si>
    <t>NBUK</t>
  </si>
  <si>
    <t>{"lat":-35.004942856885584,"lng":148.5810113304339}</t>
  </si>
  <si>
    <t>URANQ</t>
  </si>
  <si>
    <t>Origin Energy Uranquinty Power Pty Ltd</t>
  </si>
  <si>
    <t>NURQ1U</t>
  </si>
  <si>
    <t>{"lat":-35.18044813996389,"lng":147.21654866192839}</t>
  </si>
  <si>
    <t>NURQ2U</t>
  </si>
  <si>
    <t>NURQ3U</t>
  </si>
  <si>
    <t>NURQ4U</t>
  </si>
  <si>
    <t>SNOWY6</t>
  </si>
  <si>
    <t>NBLW8</t>
  </si>
  <si>
    <t>tion: SN</t>
  </si>
  <si>
    <t>{"lat":-35.39598094374427,"lng":148.24574336045828}</t>
  </si>
  <si>
    <t>SNOWY1</t>
  </si>
  <si>
    <t>NLTS8</t>
  </si>
  <si>
    <t>{"lat":-35.61151374752465,"lng":148.29252493766418}</t>
  </si>
  <si>
    <t>TUMUT2</t>
  </si>
  <si>
    <t>TUMUT2-1</t>
  </si>
  <si>
    <t>NUTS21</t>
  </si>
  <si>
    <t>{"lat":-35.88246927227713,"lng":148.3665957682402}</t>
  </si>
  <si>
    <t>TUMUT2-2</t>
  </si>
  <si>
    <t>NUTS22</t>
  </si>
  <si>
    <t>TUMUT2-3</t>
  </si>
  <si>
    <t>NUTS23</t>
  </si>
  <si>
    <t>TUMUT2-4</t>
  </si>
  <si>
    <t>NUTS24</t>
  </si>
  <si>
    <t>SNOWY2</t>
  </si>
  <si>
    <t>NUTS8</t>
  </si>
  <si>
    <t>{"lat":-35.95328719351925,"lng":148.37049423300735}</t>
  </si>
  <si>
    <t>SNOWY3</t>
  </si>
  <si>
    <t>NGUT8</t>
  </si>
  <si>
    <t>{"lat":-36.350483360485946,"lng":148.4133773454461}</t>
  </si>
  <si>
    <t>BOCOROCK</t>
  </si>
  <si>
    <t>Boco Rock Wind Farm Pty Ltd</t>
  </si>
  <si>
    <t>NCMA3B</t>
  </si>
  <si>
    <t>{"lat":-36.57525328442834,"lng":149.12679639783613}</t>
  </si>
  <si>
    <t>NHUM</t>
  </si>
  <si>
    <t>{"lat":-36.10723919621952,"lng":147.03332081787192}</t>
  </si>
  <si>
    <t>NYNGAN</t>
  </si>
  <si>
    <t>NWL8</t>
  </si>
  <si>
    <t>{"lat":-31.562576076507547,"lng":147.0723054655435}</t>
  </si>
  <si>
    <t>BHILLGT</t>
  </si>
  <si>
    <t>Essential Energy</t>
  </si>
  <si>
    <t>NBKG1</t>
  </si>
  <si>
    <t>{"lat":-31.987483603960293,"lng":141.41953155316338}</t>
  </si>
  <si>
    <t>BARRON</t>
  </si>
  <si>
    <t>Stanwell Corporation Limited</t>
  </si>
  <si>
    <t>QBGH1</t>
  </si>
  <si>
    <t>Renewable-Run of River</t>
  </si>
  <si>
    <t>{"lat":-16.850922698469745,"lng":145.64546736076343}</t>
  </si>
  <si>
    <t>QBGH2</t>
  </si>
  <si>
    <t>KAREEYA</t>
  </si>
  <si>
    <t>QKAH1</t>
  </si>
  <si>
    <t>{"lat":-17.76539759450935,"lng":145.57529499495456}</t>
  </si>
  <si>
    <t>QKAH2</t>
  </si>
  <si>
    <t>QKAH3</t>
  </si>
  <si>
    <t>QKAH4</t>
  </si>
  <si>
    <t>QTYP</t>
  </si>
  <si>
    <t>{"lat":-19.200230259675866,"lng":146.6200835525531}</t>
  </si>
  <si>
    <t>QGAR1</t>
  </si>
  <si>
    <t>MSTUART</t>
  </si>
  <si>
    <t>QMSP1</t>
  </si>
  <si>
    <t>{"lat":-19.335708022052103,"lng":146.85009297381546}</t>
  </si>
  <si>
    <t>QMSP2</t>
  </si>
  <si>
    <t>QMSP3M</t>
  </si>
  <si>
    <t>Wilmar Sugar Pty Ltd</t>
  </si>
  <si>
    <t>QINV</t>
  </si>
  <si>
    <t>Renewable/ Biomass / Waste-Bagasse</t>
  </si>
  <si>
    <t>{"lat":-19.514292345184415,"lng":147.10739164844793}</t>
  </si>
  <si>
    <t>MACKAY</t>
  </si>
  <si>
    <t>QMKG</t>
  </si>
  <si>
    <t>{"lat":-21.143104533753274,"lng":149.15798411597342}</t>
  </si>
  <si>
    <t>Ergon Energy Queensland Pty Ltd</t>
  </si>
  <si>
    <t>QBCG</t>
  </si>
  <si>
    <t>{"lat":-23.550913855985495,"lng":145.31409785555493}</t>
  </si>
  <si>
    <t>STANWELL</t>
  </si>
  <si>
    <t>QSTN1</t>
  </si>
  <si>
    <t>{"lat":-23.50780729522942,"lng":150.3197266165867}</t>
  </si>
  <si>
    <t>QSTN2</t>
  </si>
  <si>
    <t>QSTN3</t>
  </si>
  <si>
    <t>QSTN4</t>
  </si>
  <si>
    <t>YARWUN</t>
  </si>
  <si>
    <t>RTA Yarwun Pty Ltd</t>
  </si>
  <si>
    <t>QYAG1R</t>
  </si>
  <si>
    <t>{"lat":-23.83110650089999,"lng":151.1500996119915}</t>
  </si>
  <si>
    <t>G/STONE</t>
  </si>
  <si>
    <t>CS Energy Limited</t>
  </si>
  <si>
    <t>QGLD1</t>
  </si>
  <si>
    <t>{"lat":-23.84958074122402,"lng":151.22027197780037}</t>
  </si>
  <si>
    <t>QGLD2</t>
  </si>
  <si>
    <t>QGLD3</t>
  </si>
  <si>
    <t>QGLD4</t>
  </si>
  <si>
    <t>QGLD5</t>
  </si>
  <si>
    <t>QGLD6</t>
  </si>
  <si>
    <t>CALLIDE</t>
  </si>
  <si>
    <t>CALLNL4</t>
  </si>
  <si>
    <t>QCAA2</t>
  </si>
  <si>
    <t>{"lat":-24.332990029702867,"lng":150.62770533319224}</t>
  </si>
  <si>
    <t>QCAA4</t>
  </si>
  <si>
    <t>QCAB1</t>
  </si>
  <si>
    <t>QCAB2</t>
  </si>
  <si>
    <t>{"lat":-24.342227149864886,"lng":150.61990840365792}</t>
  </si>
  <si>
    <t>CALLIDEC</t>
  </si>
  <si>
    <t>Callide Power Trading Pty Limited</t>
  </si>
  <si>
    <t>QCAC3</t>
  </si>
  <si>
    <t>Combustion-Steam Super Critical</t>
  </si>
  <si>
    <t>QCAC4</t>
  </si>
  <si>
    <t>ROMA</t>
  </si>
  <si>
    <t>QRMA7</t>
  </si>
  <si>
    <t>{"lat":-26.577610229072803,"lng":148.8383100050664}</t>
  </si>
  <si>
    <t>QRMA8</t>
  </si>
  <si>
    <t>QGC Sales Qld Pty Ltd</t>
  </si>
  <si>
    <t>QCND1C</t>
  </si>
  <si>
    <t>{"lat":-26.666902390638963,"lng":150.26904657461364}</t>
  </si>
  <si>
    <t>TARONGN</t>
  </si>
  <si>
    <t>QTNT</t>
  </si>
  <si>
    <t>{"lat":-26.77466879252915,"lng":151.91809717112176}</t>
  </si>
  <si>
    <t>TARONG</t>
  </si>
  <si>
    <t>QTRN1</t>
  </si>
  <si>
    <t>{"lat":-26.783905912691168,"lng":151.91809717112176}</t>
  </si>
  <si>
    <t>QTRN2</t>
  </si>
  <si>
    <t>QTRN3</t>
  </si>
  <si>
    <t>QTRN4</t>
  </si>
  <si>
    <t>KOGANCK</t>
  </si>
  <si>
    <t>QBRA4K</t>
  </si>
  <si>
    <t>{"lat":-26.9163046350134,"lng":150.74855774097415}</t>
  </si>
  <si>
    <t>BRAEMARA</t>
  </si>
  <si>
    <t>Braemar Power Project Pty Ltd</t>
  </si>
  <si>
    <t>QBRA1</t>
  </si>
  <si>
    <t>Fossil-Coal Seam Methane</t>
  </si>
  <si>
    <t>{"lat":-27.11028415841574,"lng":150.90839479642767}</t>
  </si>
  <si>
    <t>QBRA2</t>
  </si>
  <si>
    <t>QBRA3</t>
  </si>
  <si>
    <t>B2PS</t>
  </si>
  <si>
    <t>Newgen Braemar 2 Partnership</t>
  </si>
  <si>
    <t>QBRA5B</t>
  </si>
  <si>
    <t>QBRA6B</t>
  </si>
  <si>
    <t>QBRA7B</t>
  </si>
  <si>
    <t>QBRA8D</t>
  </si>
  <si>
    <t>{"lat":-27.11644223852375,"lng":150.8966994021262}</t>
  </si>
  <si>
    <t>QTKM1</t>
  </si>
  <si>
    <t>{"lat":-27.085651837983697,"lng":150.9434809793321}</t>
  </si>
  <si>
    <t>OAKEY</t>
  </si>
  <si>
    <t>ERM Power Retail Pty Ltd</t>
  </si>
  <si>
    <t>QOKY1</t>
  </si>
  <si>
    <t>{"lat":-27.41818816381628,"lng":151.68029082032507}</t>
  </si>
  <si>
    <t>QOKY2</t>
  </si>
  <si>
    <t>WIVENHOE</t>
  </si>
  <si>
    <t>QWIV1</t>
  </si>
  <si>
    <t>Renewable-Pump Storage</t>
  </si>
  <si>
    <t>{"lat":-27.3720025630062,"lng":152.63151622351182}</t>
  </si>
  <si>
    <t>QWIV2</t>
  </si>
  <si>
    <t>SWANBANK</t>
  </si>
  <si>
    <t>QSWE</t>
  </si>
  <si>
    <t>{"lat":-27.655274247974695,"lng":152.81864253233542}</t>
  </si>
  <si>
    <t>MILLMERN</t>
  </si>
  <si>
    <t>Millmerran Energy Trader Pty Ltd</t>
  </si>
  <si>
    <t>QBCK1</t>
  </si>
  <si>
    <t>{"lat":-27.963178253375233,"lng":151.2826474140749}</t>
  </si>
  <si>
    <t>QBCK2</t>
  </si>
  <si>
    <t>in list</t>
  </si>
  <si>
    <t>{"lat":-34.503694,"lng":139.023813}</t>
  </si>
  <si>
    <t>ARWF</t>
  </si>
  <si>
    <t>ANGAST</t>
  </si>
  <si>
    <t>{"lat":-36.534056,"lng":147.459795}</t>
  </si>
  <si>
    <t>{"lat":-37.261504,"lng":143.078596}</t>
  </si>
  <si>
    <t>{"lat":-41.133624,"lng":146.857710}</t>
  </si>
  <si>
    <t>BARCSF</t>
  </si>
  <si>
    <t>BBDISEL</t>
  </si>
  <si>
    <t>{"lat":-29.010916,"lng":153.433765}</t>
  </si>
  <si>
    <t>BWTR</t>
  </si>
  <si>
    <t>BROKENH</t>
  </si>
  <si>
    <t>{"lat":-31.983448,"lng":141.396905}</t>
  </si>
  <si>
    <t>{"lat":-42.447941,"lng":146.595767}</t>
  </si>
  <si>
    <t>{"lat":-37.946807,"lng":145.121922}</t>
  </si>
  <si>
    <t>{"lat":-28.314399 ,"lng":153.434470}</t>
  </si>
  <si>
    <t>CONDONG</t>
  </si>
  <si>
    <t>CBWF</t>
  </si>
  <si>
    <t>{"lat":-36.470893,"lng":143.362067}</t>
  </si>
  <si>
    <t>{"lat":-29.904566,"lng":150.924300}</t>
  </si>
  <si>
    <t>GEORGTN</t>
  </si>
  <si>
    <t>{"lat":-41.142972,"lng":146.902957}</t>
  </si>
  <si>
    <t>{"lat":-22.953561,"lng":148.540853}</t>
  </si>
  <si>
    <t>{"lat":-21.929159,"lng":148.032597}</t>
  </si>
  <si>
    <t>{"lat":-33.085296,"lng":138.521972}</t>
  </si>
  <si>
    <t>HDWF</t>
  </si>
  <si>
    <t>{"lat":-25.194473,"lng":152.207556}</t>
  </si>
  <si>
    <t>JOUNAMA</t>
  </si>
  <si>
    <t>{"lat":-35.562056,"lng":148.305413}</t>
  </si>
  <si>
    <t>LKBONNY</t>
  </si>
  <si>
    <t>{"lat":-38.225229,"lng":147.168002}</t>
  </si>
  <si>
    <t>{"lat":-35.109689,"lng":138.491017}</t>
  </si>
  <si>
    <t>LUCASS2</t>
  </si>
  <si>
    <t>{"lat":-21.962070,"lng":148.003791}</t>
  </si>
  <si>
    <t>MOREESF</t>
  </si>
  <si>
    <t>{"lat":-29.569529,"lng":149.866873}</t>
  </si>
  <si>
    <t>{"lat":-35.398338,"lng":149.148824}</t>
  </si>
  <si>
    <t>{"lat":-19.557498,"lng":147.330758}</t>
  </si>
  <si>
    <t>PORTLAT</t>
  </si>
  <si>
    <t>PTSTAN</t>
  </si>
  <si>
    <t>{"lat":-35.110162,"lng":138.491060}</t>
  </si>
  <si>
    <t>{"lat":-27.733460,"lng":153.326359}</t>
  </si>
  <si>
    <t>WHILL</t>
  </si>
  <si>
    <t>{"lat":-17.594452,"lng":145.531599}</t>
  </si>
  <si>
    <t>{"lat":-38.607187,"lng": 145.547975}</t>
  </si>
  <si>
    <t>{"lat":-33.967643,"lng": 148.946729}</t>
  </si>
  <si>
    <t>Location</t>
  </si>
  <si>
    <t>Voltage (kV)</t>
  </si>
  <si>
    <t>DUID</t>
  </si>
  <si>
    <t>TNI</t>
  </si>
  <si>
    <t>Darling Downs Solar Farm</t>
  </si>
  <si>
    <t>Ballarat Health Services</t>
  </si>
  <si>
    <t>CALL_A_1</t>
  </si>
  <si>
    <t>CALL_A_2</t>
  </si>
  <si>
    <t>Input</t>
  </si>
  <si>
    <t xml:space="preserve">Kareeya PS Unit 1 </t>
  </si>
  <si>
    <t xml:space="preserve">Kareeya PS Unit 2 </t>
  </si>
  <si>
    <t xml:space="preserve">Kareeya PS Unit 3 </t>
  </si>
  <si>
    <t xml:space="preserve">Kareeya PS Unit 4 </t>
  </si>
  <si>
    <t xml:space="preserve">Kogan Creek PS </t>
  </si>
  <si>
    <t xml:space="preserve">Koombooloomba </t>
  </si>
  <si>
    <t xml:space="preserve">Mt Stuart PS Unit 1 </t>
  </si>
  <si>
    <t xml:space="preserve">Mt Stuart PS Unit 2 </t>
  </si>
  <si>
    <t xml:space="preserve">Mt Stuart PS Unit 3 </t>
  </si>
  <si>
    <t xml:space="preserve">Oakey PS Unit 1 </t>
  </si>
  <si>
    <t xml:space="preserve">Oakey PS Unit 2 </t>
  </si>
  <si>
    <t xml:space="preserve">Stanwell PS Load </t>
  </si>
  <si>
    <t xml:space="preserve">Stanwell PS Unit 1 </t>
  </si>
  <si>
    <t xml:space="preserve">Stanwell PS Unit 2 </t>
  </si>
  <si>
    <t xml:space="preserve">Stanwell PS Unit 3 </t>
  </si>
  <si>
    <t xml:space="preserve">Stanwell PS Unit 4 </t>
  </si>
  <si>
    <t xml:space="preserve">Swanbank E GT </t>
  </si>
  <si>
    <t xml:space="preserve">Tarong North PS </t>
  </si>
  <si>
    <t xml:space="preserve">Tarong PS Unit 1 </t>
  </si>
  <si>
    <t xml:space="preserve">Tarong PS Unit 2 </t>
  </si>
  <si>
    <t xml:space="preserve">Tarong PS Unit 3 </t>
  </si>
  <si>
    <t xml:space="preserve">Tarong PS Unit 4 </t>
  </si>
  <si>
    <t xml:space="preserve">Wivenhoe Generation Unit 1 </t>
  </si>
  <si>
    <t xml:space="preserve">Wivenhoe Generation Unit 2 </t>
  </si>
  <si>
    <t xml:space="preserve">Wivenhoe Pump 1 </t>
  </si>
  <si>
    <t xml:space="preserve">Wivenhoe Pump 2 </t>
  </si>
  <si>
    <t xml:space="preserve">Yabulu PS </t>
  </si>
  <si>
    <t xml:space="preserve">Yarwun PS </t>
  </si>
  <si>
    <t xml:space="preserve">QKYH </t>
  </si>
  <si>
    <t xml:space="preserve">QKAH1 </t>
  </si>
  <si>
    <t xml:space="preserve">QKAH2 </t>
  </si>
  <si>
    <t xml:space="preserve">QKAH3 </t>
  </si>
  <si>
    <t xml:space="preserve">QKAH4 </t>
  </si>
  <si>
    <t xml:space="preserve">QWDN </t>
  </si>
  <si>
    <t xml:space="preserve">QBRA4K </t>
  </si>
  <si>
    <t xml:space="preserve">QKYH5 </t>
  </si>
  <si>
    <t xml:space="preserve">QMLN </t>
  </si>
  <si>
    <t xml:space="preserve">QBCK1 </t>
  </si>
  <si>
    <t xml:space="preserve">QBCK2 </t>
  </si>
  <si>
    <t xml:space="preserve">QMSP </t>
  </si>
  <si>
    <t xml:space="preserve">QMSP1 </t>
  </si>
  <si>
    <t xml:space="preserve">QMSP2 </t>
  </si>
  <si>
    <t xml:space="preserve">QMSP3M </t>
  </si>
  <si>
    <t xml:space="preserve">QOKY </t>
  </si>
  <si>
    <t xml:space="preserve">QOKY1 </t>
  </si>
  <si>
    <t xml:space="preserve">QOKY2 </t>
  </si>
  <si>
    <t xml:space="preserve">QSTX </t>
  </si>
  <si>
    <t xml:space="preserve">QSTN </t>
  </si>
  <si>
    <t xml:space="preserve">QSTN1 </t>
  </si>
  <si>
    <t xml:space="preserve">QSTN2 </t>
  </si>
  <si>
    <t xml:space="preserve">QSTN3 </t>
  </si>
  <si>
    <t xml:space="preserve">QSTN4 </t>
  </si>
  <si>
    <t xml:space="preserve">QLGH </t>
  </si>
  <si>
    <t xml:space="preserve">QSWE </t>
  </si>
  <si>
    <t xml:space="preserve">QTNT </t>
  </si>
  <si>
    <t xml:space="preserve">QTRN </t>
  </si>
  <si>
    <t xml:space="preserve">QTRN1 </t>
  </si>
  <si>
    <t xml:space="preserve">QTRN2 </t>
  </si>
  <si>
    <t xml:space="preserve">QTRN3 </t>
  </si>
  <si>
    <t xml:space="preserve">QTRN4 </t>
  </si>
  <si>
    <t xml:space="preserve">QWIV </t>
  </si>
  <si>
    <t xml:space="preserve">QWIV1 </t>
  </si>
  <si>
    <t xml:space="preserve">QWIV2 </t>
  </si>
  <si>
    <t xml:space="preserve">QWIP </t>
  </si>
  <si>
    <t xml:space="preserve">QWIP1 </t>
  </si>
  <si>
    <t xml:space="preserve">QWIP2 </t>
  </si>
  <si>
    <t xml:space="preserve">QTYP </t>
  </si>
  <si>
    <t xml:space="preserve">QYAG </t>
  </si>
  <si>
    <t xml:space="preserve">QYAG1R </t>
  </si>
  <si>
    <t xml:space="preserve">QBGH </t>
  </si>
  <si>
    <t xml:space="preserve">QBGH1 </t>
  </si>
  <si>
    <t xml:space="preserve">QBGH2 </t>
  </si>
  <si>
    <t xml:space="preserve">Barron Gorge PS Unit 2 </t>
  </si>
  <si>
    <t xml:space="preserve">QBRA </t>
  </si>
  <si>
    <t xml:space="preserve">QBRA1 </t>
  </si>
  <si>
    <t xml:space="preserve">Braemar PS Unit 1 </t>
  </si>
  <si>
    <t xml:space="preserve">QBRA2 </t>
  </si>
  <si>
    <t xml:space="preserve">Braemar PS Unit 2 </t>
  </si>
  <si>
    <t xml:space="preserve">QBRA3 </t>
  </si>
  <si>
    <t xml:space="preserve">Braemar PS Unit 3 </t>
  </si>
  <si>
    <t xml:space="preserve">QBRA5B </t>
  </si>
  <si>
    <t xml:space="preserve">Braemar Stage 2 PS Unit 5 </t>
  </si>
  <si>
    <t xml:space="preserve">QBRA6B </t>
  </si>
  <si>
    <t xml:space="preserve">Braemar Stage 2 PS Unit 6 </t>
  </si>
  <si>
    <t xml:space="preserve">QBRA7B </t>
  </si>
  <si>
    <t xml:space="preserve">Braemar Stage 2 PS Unit 7 </t>
  </si>
  <si>
    <t xml:space="preserve">QCAX </t>
  </si>
  <si>
    <t xml:space="preserve">Callide PS Load </t>
  </si>
  <si>
    <t xml:space="preserve">QCAA </t>
  </si>
  <si>
    <t xml:space="preserve">QCAA4 </t>
  </si>
  <si>
    <t xml:space="preserve">Callide A PS Unit 4 </t>
  </si>
  <si>
    <t xml:space="preserve">QCAA2 </t>
  </si>
  <si>
    <t xml:space="preserve">Callide A PS Unit 4 Load </t>
  </si>
  <si>
    <t xml:space="preserve">QCAB </t>
  </si>
  <si>
    <t xml:space="preserve">QCAB1 </t>
  </si>
  <si>
    <t xml:space="preserve">Callide B PS Unit 1 </t>
  </si>
  <si>
    <t xml:space="preserve">QCAB2 </t>
  </si>
  <si>
    <t xml:space="preserve">Callide B PS Unit 2 </t>
  </si>
  <si>
    <t xml:space="preserve">QCAC </t>
  </si>
  <si>
    <t xml:space="preserve">QCAC3 </t>
  </si>
  <si>
    <t xml:space="preserve">Callide C PS Unit 3 </t>
  </si>
  <si>
    <t xml:space="preserve">QCAC4 </t>
  </si>
  <si>
    <t xml:space="preserve">Callide C PS Unit 4 </t>
  </si>
  <si>
    <t xml:space="preserve">QCND </t>
  </si>
  <si>
    <t xml:space="preserve">QCND1C </t>
  </si>
  <si>
    <t xml:space="preserve">QBRA8D </t>
  </si>
  <si>
    <t xml:space="preserve">Darling Downs PS </t>
  </si>
  <si>
    <t xml:space="preserve">QGLL </t>
  </si>
  <si>
    <t xml:space="preserve">QGLD3 </t>
  </si>
  <si>
    <t xml:space="preserve">Gladstone PS (132 kV) Unit 3 </t>
  </si>
  <si>
    <t xml:space="preserve">QGLD4 </t>
  </si>
  <si>
    <t xml:space="preserve">Gladstone PS (132 kV) Unit 4 </t>
  </si>
  <si>
    <t xml:space="preserve">Gladstone PS (132kV) Load </t>
  </si>
  <si>
    <t xml:space="preserve">QGLH </t>
  </si>
  <si>
    <t xml:space="preserve">QGLD1 </t>
  </si>
  <si>
    <t xml:space="preserve">Gladstone PS (275 kV) Unit 1 </t>
  </si>
  <si>
    <t xml:space="preserve">QGLD2 </t>
  </si>
  <si>
    <t xml:space="preserve">Gladstone PS (275 kV) Unit 2 </t>
  </si>
  <si>
    <t xml:space="preserve">QGLD5 </t>
  </si>
  <si>
    <t xml:space="preserve">Gladstone PS (275 kV) Unit 5 </t>
  </si>
  <si>
    <t xml:space="preserve">QGLD6 </t>
  </si>
  <si>
    <t xml:space="preserve">Gladstone PS (275 kV) Unit 6 </t>
  </si>
  <si>
    <t>Connection Point ID</t>
  </si>
  <si>
    <t>FY20 MLF</t>
  </si>
  <si>
    <t>FY19 MLF</t>
  </si>
  <si>
    <t xml:space="preserve">QBCG </t>
  </si>
  <si>
    <t xml:space="preserve">QLGH3B </t>
  </si>
  <si>
    <t xml:space="preserve">Browns Plains Landfill Gas PS </t>
  </si>
  <si>
    <t xml:space="preserve">QTKM </t>
  </si>
  <si>
    <t xml:space="preserve">QTKM1 </t>
  </si>
  <si>
    <t xml:space="preserve">Daandine PS </t>
  </si>
  <si>
    <t xml:space="preserve">QLIL </t>
  </si>
  <si>
    <t xml:space="preserve">QLIL2 </t>
  </si>
  <si>
    <t xml:space="preserve">German Creek Generator </t>
  </si>
  <si>
    <t xml:space="preserve">QTBC </t>
  </si>
  <si>
    <t xml:space="preserve">QGNG1I </t>
  </si>
  <si>
    <t xml:space="preserve">QMKG </t>
  </si>
  <si>
    <t xml:space="preserve">Mackay GT </t>
  </si>
  <si>
    <t xml:space="preserve">QMRL </t>
  </si>
  <si>
    <t xml:space="preserve">QMRL1M </t>
  </si>
  <si>
    <t xml:space="preserve">QMRN </t>
  </si>
  <si>
    <t xml:space="preserve">QMRN1P </t>
  </si>
  <si>
    <t xml:space="preserve">Moranbah North PS </t>
  </si>
  <si>
    <t xml:space="preserve">QLIL1 </t>
  </si>
  <si>
    <t xml:space="preserve">QBMH </t>
  </si>
  <si>
    <t xml:space="preserve">QBMH2 </t>
  </si>
  <si>
    <t xml:space="preserve">Rochedale Renewable Energy Plant </t>
  </si>
  <si>
    <t xml:space="preserve">QLGH2 </t>
  </si>
  <si>
    <t xml:space="preserve">Rocky Point Gen (Loganlea 110kV) </t>
  </si>
  <si>
    <t xml:space="preserve">QSPN </t>
  </si>
  <si>
    <t xml:space="preserve">QSPN2 </t>
  </si>
  <si>
    <t xml:space="preserve">Roghan Road Generator </t>
  </si>
  <si>
    <t xml:space="preserve">QRMA </t>
  </si>
  <si>
    <t xml:space="preserve">QRMA7 </t>
  </si>
  <si>
    <t xml:space="preserve">QRMA8 </t>
  </si>
  <si>
    <t xml:space="preserve">QCBW </t>
  </si>
  <si>
    <t xml:space="preserve">QCBD1S </t>
  </si>
  <si>
    <t xml:space="preserve">Southbank Institute Of Technology </t>
  </si>
  <si>
    <t xml:space="preserve">QPWD </t>
  </si>
  <si>
    <t xml:space="preserve">QABM </t>
  </si>
  <si>
    <t xml:space="preserve">QABM1T </t>
  </si>
  <si>
    <t xml:space="preserve">Ti Tree BioReactor </t>
  </si>
  <si>
    <t xml:space="preserve">QBKS </t>
  </si>
  <si>
    <t xml:space="preserve">QSBK1 </t>
  </si>
  <si>
    <t xml:space="preserve">Whitwood Rd Renewable Energy Plant </t>
  </si>
  <si>
    <t xml:space="preserve">QTUL </t>
  </si>
  <si>
    <t xml:space="preserve">QABR </t>
  </si>
  <si>
    <t xml:space="preserve">QABR1 </t>
  </si>
  <si>
    <t xml:space="preserve">Wivenhoe Small Hydro </t>
  </si>
  <si>
    <t xml:space="preserve">QYST </t>
  </si>
  <si>
    <t xml:space="preserve">QGAR1 </t>
  </si>
  <si>
    <t xml:space="preserve">Yabulu Steam Turbine (Garbutt 66kV) </t>
  </si>
  <si>
    <t xml:space="preserve">NBAY </t>
  </si>
  <si>
    <t xml:space="preserve">NBAY1 </t>
  </si>
  <si>
    <t xml:space="preserve">Bayswater PS Unit 1 </t>
  </si>
  <si>
    <t xml:space="preserve">NBAY2 </t>
  </si>
  <si>
    <t xml:space="preserve">Bayswater PS Unit 2 </t>
  </si>
  <si>
    <t xml:space="preserve">NBYW </t>
  </si>
  <si>
    <t xml:space="preserve">NBAY3 </t>
  </si>
  <si>
    <t xml:space="preserve">Bayswater PS Unit 3 </t>
  </si>
  <si>
    <t xml:space="preserve">NBAY4 </t>
  </si>
  <si>
    <t xml:space="preserve">Bayswater PS Unit 4 </t>
  </si>
  <si>
    <t xml:space="preserve">NBLW </t>
  </si>
  <si>
    <t xml:space="preserve">NBLW8 </t>
  </si>
  <si>
    <t xml:space="preserve">Blowering </t>
  </si>
  <si>
    <t xml:space="preserve">Bodangora Wind Farm </t>
  </si>
  <si>
    <t xml:space="preserve">NBKG </t>
  </si>
  <si>
    <t xml:space="preserve">NBKG1 </t>
  </si>
  <si>
    <t xml:space="preserve">Broken Hill GT 1 </t>
  </si>
  <si>
    <t xml:space="preserve">NBUK </t>
  </si>
  <si>
    <t xml:space="preserve">Burrinjuck </t>
  </si>
  <si>
    <t xml:space="preserve">NCWF </t>
  </si>
  <si>
    <t xml:space="preserve">NCWF1R </t>
  </si>
  <si>
    <t xml:space="preserve">Capital Wind Farm </t>
  </si>
  <si>
    <t xml:space="preserve">NCLG </t>
  </si>
  <si>
    <t xml:space="preserve">NCLG1D </t>
  </si>
  <si>
    <t xml:space="preserve">Colongra PS Unit 1 </t>
  </si>
  <si>
    <t xml:space="preserve">NCLG2D </t>
  </si>
  <si>
    <t xml:space="preserve">Colongra PS Unit 2 </t>
  </si>
  <si>
    <t xml:space="preserve">NCLG3D </t>
  </si>
  <si>
    <t xml:space="preserve">Colongra PS Unit 3 </t>
  </si>
  <si>
    <t xml:space="preserve">NCLG4D </t>
  </si>
  <si>
    <t xml:space="preserve">Colongra PS Unit 4 </t>
  </si>
  <si>
    <t xml:space="preserve">NEP3 </t>
  </si>
  <si>
    <t xml:space="preserve">NEPS1 </t>
  </si>
  <si>
    <t xml:space="preserve">Eraring 330 PS Unit 1 </t>
  </si>
  <si>
    <t xml:space="preserve">NEPS2 </t>
  </si>
  <si>
    <t xml:space="preserve">Eraring 330 PS Unit 2 </t>
  </si>
  <si>
    <t xml:space="preserve">NEPS </t>
  </si>
  <si>
    <t xml:space="preserve">NEPS3 </t>
  </si>
  <si>
    <t xml:space="preserve">Eraring 500 PS Unit 3 </t>
  </si>
  <si>
    <t xml:space="preserve">NEPS4 </t>
  </si>
  <si>
    <t xml:space="preserve">Eraring 500 PS Unit 4 </t>
  </si>
  <si>
    <t xml:space="preserve">NEPSL </t>
  </si>
  <si>
    <t xml:space="preserve">Eraring PS Load </t>
  </si>
  <si>
    <t xml:space="preserve">NGUR </t>
  </si>
  <si>
    <t xml:space="preserve">NGUR1G </t>
  </si>
  <si>
    <t xml:space="preserve">Gullen Range Wind Farm </t>
  </si>
  <si>
    <t xml:space="preserve">NGUT </t>
  </si>
  <si>
    <t xml:space="preserve">NGUT8 </t>
  </si>
  <si>
    <t xml:space="preserve">Guthega </t>
  </si>
  <si>
    <t xml:space="preserve">NMY1 </t>
  </si>
  <si>
    <t xml:space="preserve">NMY11 </t>
  </si>
  <si>
    <t xml:space="preserve">Guthega Auxiliary Supply </t>
  </si>
  <si>
    <t xml:space="preserve">NHUM </t>
  </si>
  <si>
    <t xml:space="preserve">NSHL </t>
  </si>
  <si>
    <t xml:space="preserve">NSHP1 </t>
  </si>
  <si>
    <t xml:space="preserve">NLDP </t>
  </si>
  <si>
    <t xml:space="preserve">NLDPL </t>
  </si>
  <si>
    <t xml:space="preserve">Liddell 330 PS Load </t>
  </si>
  <si>
    <t xml:space="preserve">NLDP1 </t>
  </si>
  <si>
    <t xml:space="preserve">Liddell 330 PS Unit 1 </t>
  </si>
  <si>
    <t xml:space="preserve">NLDP2 </t>
  </si>
  <si>
    <t xml:space="preserve">Liddell 330 PS Unit 2 </t>
  </si>
  <si>
    <t xml:space="preserve">NLDP3 </t>
  </si>
  <si>
    <t xml:space="preserve">Liddell 330 PS Unit 3 </t>
  </si>
  <si>
    <t xml:space="preserve">NLDP4 </t>
  </si>
  <si>
    <t xml:space="preserve">Liddell 330 PS Unit 4 </t>
  </si>
  <si>
    <t xml:space="preserve">NLTS </t>
  </si>
  <si>
    <t xml:space="preserve">NLTS8 </t>
  </si>
  <si>
    <t xml:space="preserve">NTU2 </t>
  </si>
  <si>
    <t xml:space="preserve">NTU2L3 </t>
  </si>
  <si>
    <t xml:space="preserve">Lower Tumut Pipeline Auxiliary </t>
  </si>
  <si>
    <t xml:space="preserve">NLTS3 </t>
  </si>
  <si>
    <t xml:space="preserve">NTU2L1 </t>
  </si>
  <si>
    <t xml:space="preserve">Lower Tumut T2 Auxiliary </t>
  </si>
  <si>
    <t xml:space="preserve">NTU2L2 </t>
  </si>
  <si>
    <t xml:space="preserve">Lower Tumut T4 Auxiliary </t>
  </si>
  <si>
    <t xml:space="preserve">NMTP </t>
  </si>
  <si>
    <t xml:space="preserve">NMPPL </t>
  </si>
  <si>
    <t xml:space="preserve">Mt Piper PS Load </t>
  </si>
  <si>
    <t xml:space="preserve">NMTP1 </t>
  </si>
  <si>
    <t xml:space="preserve">Mt Piper PS Unit 1 </t>
  </si>
  <si>
    <t xml:space="preserve">NMTP2 </t>
  </si>
  <si>
    <t xml:space="preserve">Mt Piper PS Unit 2 </t>
  </si>
  <si>
    <t xml:space="preserve">NMUR </t>
  </si>
  <si>
    <t xml:space="preserve">NUTS </t>
  </si>
  <si>
    <t xml:space="preserve">NUTS8 </t>
  </si>
  <si>
    <t xml:space="preserve">Upper Tumut </t>
  </si>
  <si>
    <t xml:space="preserve">NURQ </t>
  </si>
  <si>
    <t xml:space="preserve">NURQ1U </t>
  </si>
  <si>
    <t xml:space="preserve">Uranquinty PS Unit 11 </t>
  </si>
  <si>
    <t xml:space="preserve">NURQ2U </t>
  </si>
  <si>
    <t xml:space="preserve">Uranquinty PS Unit 12 </t>
  </si>
  <si>
    <t xml:space="preserve">NURQ3U </t>
  </si>
  <si>
    <t xml:space="preserve">Uranquinty PS Unit 13 </t>
  </si>
  <si>
    <t xml:space="preserve">NURQ4U </t>
  </si>
  <si>
    <t xml:space="preserve">Uranquinty PS Unit 14 </t>
  </si>
  <si>
    <t xml:space="preserve">NVPP </t>
  </si>
  <si>
    <t xml:space="preserve">NVPPL </t>
  </si>
  <si>
    <t xml:space="preserve">Vales Point 330 PS Load </t>
  </si>
  <si>
    <t xml:space="preserve">NVPP5 </t>
  </si>
  <si>
    <t xml:space="preserve">Vales Point 330 PS Unit 5 </t>
  </si>
  <si>
    <t xml:space="preserve">NVPP6 </t>
  </si>
  <si>
    <t xml:space="preserve">Vales Point 330 PS Unit 6 </t>
  </si>
  <si>
    <t xml:space="preserve">NCWF2W </t>
  </si>
  <si>
    <t xml:space="preserve">Woodlawn Wind Farm </t>
  </si>
  <si>
    <t xml:space="preserve">NLP1 </t>
  </si>
  <si>
    <t xml:space="preserve">NNEW </t>
  </si>
  <si>
    <t xml:space="preserve">NNEW2 </t>
  </si>
  <si>
    <t xml:space="preserve">Awaba Renewable Energy Facility </t>
  </si>
  <si>
    <t xml:space="preserve">NLS2 </t>
  </si>
  <si>
    <t xml:space="preserve">NLS21B </t>
  </si>
  <si>
    <t xml:space="preserve">Broadwater PS </t>
  </si>
  <si>
    <t xml:space="preserve">NCMA </t>
  </si>
  <si>
    <t xml:space="preserve">NCMA1 </t>
  </si>
  <si>
    <t xml:space="preserve">Brown Mountain </t>
  </si>
  <si>
    <t xml:space="preserve">NWL8 </t>
  </si>
  <si>
    <t xml:space="preserve">NWL81B </t>
  </si>
  <si>
    <t xml:space="preserve">Burrendong Hydro PS </t>
  </si>
  <si>
    <t xml:space="preserve">NING </t>
  </si>
  <si>
    <t xml:space="preserve">NING1C </t>
  </si>
  <si>
    <t xml:space="preserve">Campbelltown WSLC </t>
  </si>
  <si>
    <t xml:space="preserve">NTNR </t>
  </si>
  <si>
    <t xml:space="preserve">NTNR1C </t>
  </si>
  <si>
    <t xml:space="preserve">Condong PS </t>
  </si>
  <si>
    <t xml:space="preserve">NNVL </t>
  </si>
  <si>
    <t xml:space="preserve">NNVL1C </t>
  </si>
  <si>
    <t xml:space="preserve">Copeton Hydro PS </t>
  </si>
  <si>
    <t xml:space="preserve">NYS1 </t>
  </si>
  <si>
    <t xml:space="preserve">NYS11C </t>
  </si>
  <si>
    <t xml:space="preserve">Cullerin Range Wind Farm </t>
  </si>
  <si>
    <t xml:space="preserve">NSW2 </t>
  </si>
  <si>
    <t xml:space="preserve">NSW21 </t>
  </si>
  <si>
    <t xml:space="preserve">Eastern Creek </t>
  </si>
  <si>
    <t xml:space="preserve">NEP35B </t>
  </si>
  <si>
    <t xml:space="preserve">Eraring 330 BS UN (GT) </t>
  </si>
  <si>
    <t xml:space="preserve">NMRK </t>
  </si>
  <si>
    <t xml:space="preserve">NMRK2G </t>
  </si>
  <si>
    <t xml:space="preserve">Glenbawn Hydro PS </t>
  </si>
  <si>
    <t xml:space="preserve">NGLN </t>
  </si>
  <si>
    <t xml:space="preserve">NGLN1 </t>
  </si>
  <si>
    <t xml:space="preserve">Glenn Innes (Pindari PS) </t>
  </si>
  <si>
    <t xml:space="preserve">NMRK3T </t>
  </si>
  <si>
    <t xml:space="preserve">Glennies Creek PS </t>
  </si>
  <si>
    <t xml:space="preserve">NVYD </t>
  </si>
  <si>
    <t xml:space="preserve">NVYD1 </t>
  </si>
  <si>
    <t xml:space="preserve">Grange Avenue </t>
  </si>
  <si>
    <t xml:space="preserve">NYS12A </t>
  </si>
  <si>
    <t xml:space="preserve">Gunning Wind Farm </t>
  </si>
  <si>
    <t xml:space="preserve">NCMA2 </t>
  </si>
  <si>
    <t xml:space="preserve">Jindabyne Generator </t>
  </si>
  <si>
    <t xml:space="preserve">NTU21J </t>
  </si>
  <si>
    <t xml:space="preserve">Jounama PS </t>
  </si>
  <si>
    <t xml:space="preserve">NKPT </t>
  </si>
  <si>
    <t xml:space="preserve">Keepit </t>
  </si>
  <si>
    <t xml:space="preserve">NGF3 </t>
  </si>
  <si>
    <t xml:space="preserve">NGF31K </t>
  </si>
  <si>
    <t xml:space="preserve">Kincumber Landfill </t>
  </si>
  <si>
    <t xml:space="preserve">NLD3 </t>
  </si>
  <si>
    <t xml:space="preserve">NLD31 </t>
  </si>
  <si>
    <t xml:space="preserve">Liddell 33 – Hunter Valley GTs </t>
  </si>
  <si>
    <t xml:space="preserve">NLP11 </t>
  </si>
  <si>
    <t xml:space="preserve">Liverpool 132 (Jacks Gully) </t>
  </si>
  <si>
    <t xml:space="preserve">NSYS </t>
  </si>
  <si>
    <t xml:space="preserve">NSYS2G </t>
  </si>
  <si>
    <t xml:space="preserve">Lucas Heights II Power Plant </t>
  </si>
  <si>
    <t xml:space="preserve">NSYS1 </t>
  </si>
  <si>
    <t xml:space="preserve">Lucas Heights Stage 2 Power Station </t>
  </si>
  <si>
    <t xml:space="preserve">NSE2 </t>
  </si>
  <si>
    <t xml:space="preserve">NSE21R </t>
  </si>
  <si>
    <t xml:space="preserve">Nine Willoughby </t>
  </si>
  <si>
    <t xml:space="preserve">NWL82N </t>
  </si>
  <si>
    <t xml:space="preserve">Nyngan Solar Farm </t>
  </si>
  <si>
    <t xml:space="preserve">NSYW1 </t>
  </si>
  <si>
    <t xml:space="preserve">NPHT </t>
  </si>
  <si>
    <t xml:space="preserve">NPHT1E </t>
  </si>
  <si>
    <t xml:space="preserve">St George Leagues Club </t>
  </si>
  <si>
    <t xml:space="preserve">NTWA </t>
  </si>
  <si>
    <t xml:space="preserve">NDT13T </t>
  </si>
  <si>
    <t xml:space="preserve">Tallawarra PS </t>
  </si>
  <si>
    <t xml:space="preserve">NMR2 </t>
  </si>
  <si>
    <t xml:space="preserve">NMR22T </t>
  </si>
  <si>
    <t xml:space="preserve">Taralga Wind Farm </t>
  </si>
  <si>
    <t xml:space="preserve">NNEW1 </t>
  </si>
  <si>
    <t xml:space="preserve">NFNY </t>
  </si>
  <si>
    <t xml:space="preserve">NFNY1D </t>
  </si>
  <si>
    <t xml:space="preserve">The Drop Power Station </t>
  </si>
  <si>
    <t xml:space="preserve">NDT1 </t>
  </si>
  <si>
    <t xml:space="preserve">NDT12 </t>
  </si>
  <si>
    <t xml:space="preserve">West Nowra </t>
  </si>
  <si>
    <t xml:space="preserve">NDT14E </t>
  </si>
  <si>
    <t xml:space="preserve">Wests Illawara Leagues Club </t>
  </si>
  <si>
    <t xml:space="preserve">NNB2 </t>
  </si>
  <si>
    <t xml:space="preserve">NNB21W </t>
  </si>
  <si>
    <t xml:space="preserve">Wilga Park A </t>
  </si>
  <si>
    <t xml:space="preserve">NNB22W </t>
  </si>
  <si>
    <t xml:space="preserve">Wilga Park B </t>
  </si>
  <si>
    <t xml:space="preserve">NMR21W </t>
  </si>
  <si>
    <t xml:space="preserve">Woodlawn Bioreactor </t>
  </si>
  <si>
    <t xml:space="preserve">NGF32W </t>
  </si>
  <si>
    <t xml:space="preserve">NCW8 </t>
  </si>
  <si>
    <t xml:space="preserve">NCW81A </t>
  </si>
  <si>
    <t xml:space="preserve">Wyangala A PS </t>
  </si>
  <si>
    <t xml:space="preserve">NCW82B </t>
  </si>
  <si>
    <t xml:space="preserve">Wyangala B PS </t>
  </si>
  <si>
    <t xml:space="preserve">AQB2 </t>
  </si>
  <si>
    <t xml:space="preserve">AQB21C </t>
  </si>
  <si>
    <t xml:space="preserve">Capital East Solar Farm </t>
  </si>
  <si>
    <t xml:space="preserve">ACA11R </t>
  </si>
  <si>
    <t xml:space="preserve">Royalla Solar Farm </t>
  </si>
  <si>
    <t xml:space="preserve">VDPS </t>
  </si>
  <si>
    <t xml:space="preserve">VDPS2 </t>
  </si>
  <si>
    <t xml:space="preserve">Banimboola </t>
  </si>
  <si>
    <t xml:space="preserve">VTBL </t>
  </si>
  <si>
    <t xml:space="preserve">VLYP13 </t>
  </si>
  <si>
    <t xml:space="preserve">Basslink (Loy Yang Power Station Switchyard) Tasmania to Victoria </t>
  </si>
  <si>
    <t xml:space="preserve">Dartmouth PS </t>
  </si>
  <si>
    <t xml:space="preserve">VEPS </t>
  </si>
  <si>
    <t xml:space="preserve">VEPS1 </t>
  </si>
  <si>
    <t xml:space="preserve">Eildon PS Unit 1 </t>
  </si>
  <si>
    <t xml:space="preserve">VEPS2 </t>
  </si>
  <si>
    <t xml:space="preserve">Eildon PS Unit 2 </t>
  </si>
  <si>
    <t xml:space="preserve">VJLG </t>
  </si>
  <si>
    <t xml:space="preserve">VJLGA1 </t>
  </si>
  <si>
    <t xml:space="preserve">Jeeralang A PS Unit 1 </t>
  </si>
  <si>
    <t xml:space="preserve">VJLGA2 </t>
  </si>
  <si>
    <t xml:space="preserve">Jeeralang A PS Unit 2 </t>
  </si>
  <si>
    <t xml:space="preserve">VJLGA3 </t>
  </si>
  <si>
    <t xml:space="preserve">Jeeralang A PS Unit 3 </t>
  </si>
  <si>
    <t xml:space="preserve">VJLGA4 </t>
  </si>
  <si>
    <t xml:space="preserve">Jeeralang A PS Unit 4 </t>
  </si>
  <si>
    <t xml:space="preserve">VJLGB1 </t>
  </si>
  <si>
    <t xml:space="preserve">Jeeralang B PS Unit 1 </t>
  </si>
  <si>
    <t xml:space="preserve">VJLGB2 </t>
  </si>
  <si>
    <t xml:space="preserve">Jeeralang B PS Unit 2 </t>
  </si>
  <si>
    <t xml:space="preserve">VJLGB3 </t>
  </si>
  <si>
    <t xml:space="preserve">Jeeralang B PS Unit 3 </t>
  </si>
  <si>
    <t xml:space="preserve">NGJP </t>
  </si>
  <si>
    <t xml:space="preserve">Jindabyne pump at Guthega </t>
  </si>
  <si>
    <t xml:space="preserve">VAT2 </t>
  </si>
  <si>
    <t xml:space="preserve">VAT21L </t>
  </si>
  <si>
    <t xml:space="preserve">Laverton PS (LNGS1) </t>
  </si>
  <si>
    <t xml:space="preserve">VAT22L </t>
  </si>
  <si>
    <t xml:space="preserve">Laverton PS (LNGS2) </t>
  </si>
  <si>
    <t xml:space="preserve">VLYP </t>
  </si>
  <si>
    <t xml:space="preserve">VLYPL </t>
  </si>
  <si>
    <t xml:space="preserve">Loy Yang A PS Load </t>
  </si>
  <si>
    <t xml:space="preserve">VLYP1 </t>
  </si>
  <si>
    <t xml:space="preserve">Loy Yang A PS Unit 1 </t>
  </si>
  <si>
    <t xml:space="preserve">VLYP2 </t>
  </si>
  <si>
    <t xml:space="preserve">Loy Yang A PS Unit 2 </t>
  </si>
  <si>
    <t xml:space="preserve">VLYP3 </t>
  </si>
  <si>
    <t xml:space="preserve">Loy Yang A PS Unit 3 </t>
  </si>
  <si>
    <t xml:space="preserve">VLYP4 </t>
  </si>
  <si>
    <t xml:space="preserve">Loy Yang A PS Unit 4 </t>
  </si>
  <si>
    <t xml:space="preserve">VLYP5 </t>
  </si>
  <si>
    <t xml:space="preserve">Loy Yang B PS Unit 1 </t>
  </si>
  <si>
    <t xml:space="preserve">VLYP6 </t>
  </si>
  <si>
    <t xml:space="preserve">Loy Yang B PS Unit 2 </t>
  </si>
  <si>
    <t xml:space="preserve">VTRT </t>
  </si>
  <si>
    <t xml:space="preserve">VTRT1M </t>
  </si>
  <si>
    <t xml:space="preserve">MacArthur Wind Farm </t>
  </si>
  <si>
    <t xml:space="preserve">VT14 </t>
  </si>
  <si>
    <t xml:space="preserve">VMKP1 </t>
  </si>
  <si>
    <t xml:space="preserve">McKay Creek / Bogong PS </t>
  </si>
  <si>
    <t xml:space="preserve">VM0P </t>
  </si>
  <si>
    <t xml:space="preserve">VM0P1O </t>
  </si>
  <si>
    <t xml:space="preserve">Mortlake Unit 1 </t>
  </si>
  <si>
    <t xml:space="preserve">VM0P2O </t>
  </si>
  <si>
    <t xml:space="preserve">Mortlake Unit 2 </t>
  </si>
  <si>
    <t xml:space="preserve">VELT </t>
  </si>
  <si>
    <t xml:space="preserve">VELT1M </t>
  </si>
  <si>
    <t xml:space="preserve">Mt Mercer Windfarm </t>
  </si>
  <si>
    <t xml:space="preserve">NMUR8 </t>
  </si>
  <si>
    <t xml:space="preserve">Murray </t>
  </si>
  <si>
    <t xml:space="preserve">VNPS </t>
  </si>
  <si>
    <t xml:space="preserve">Newport PS </t>
  </si>
  <si>
    <t xml:space="preserve">VTGT </t>
  </si>
  <si>
    <t xml:space="preserve">VLYP07 </t>
  </si>
  <si>
    <t xml:space="preserve">Valley Power Unit 1 </t>
  </si>
  <si>
    <t xml:space="preserve">VLYP08 </t>
  </si>
  <si>
    <t xml:space="preserve">Valley Power Unit 2 </t>
  </si>
  <si>
    <t xml:space="preserve">VLYP09 </t>
  </si>
  <si>
    <t xml:space="preserve">Valley Power Unit 3 </t>
  </si>
  <si>
    <t xml:space="preserve">VLYP010 </t>
  </si>
  <si>
    <t xml:space="preserve">Valley Power Unit 4 </t>
  </si>
  <si>
    <t xml:space="preserve">VLYP011 </t>
  </si>
  <si>
    <t xml:space="preserve">Valley Power Unit 5 </t>
  </si>
  <si>
    <t xml:space="preserve">VLYP012 </t>
  </si>
  <si>
    <t xml:space="preserve">Valley Power Unit 6 </t>
  </si>
  <si>
    <t xml:space="preserve">VWBT </t>
  </si>
  <si>
    <t xml:space="preserve">VWBT1A </t>
  </si>
  <si>
    <t xml:space="preserve">Waubra Wind Farm </t>
  </si>
  <si>
    <t xml:space="preserve">VWKP </t>
  </si>
  <si>
    <t xml:space="preserve">VWKP1 </t>
  </si>
  <si>
    <t xml:space="preserve">West Kiewa PS Unit 1 </t>
  </si>
  <si>
    <t xml:space="preserve">VWKP2 </t>
  </si>
  <si>
    <t xml:space="preserve">West Kiewa PS Unit 2 </t>
  </si>
  <si>
    <t xml:space="preserve">VYP2 </t>
  </si>
  <si>
    <t xml:space="preserve">VYP2L </t>
  </si>
  <si>
    <t xml:space="preserve">VYP3 </t>
  </si>
  <si>
    <t xml:space="preserve">VYP21 </t>
  </si>
  <si>
    <t xml:space="preserve">Yallourn W PS 220 Unit 1 </t>
  </si>
  <si>
    <t xml:space="preserve">VYP22 </t>
  </si>
  <si>
    <t xml:space="preserve">Yallourn W PS 220 Unit 2 </t>
  </si>
  <si>
    <t xml:space="preserve">VYP23 </t>
  </si>
  <si>
    <t xml:space="preserve">Yallourn W PS 220 Unit 3 </t>
  </si>
  <si>
    <t xml:space="preserve">VYP24 </t>
  </si>
  <si>
    <t xml:space="preserve">Yallourn W PS 220 Unit 4 </t>
  </si>
  <si>
    <t xml:space="preserve">VBAT </t>
  </si>
  <si>
    <t xml:space="preserve">Yallourn W PS 220 Load </t>
  </si>
  <si>
    <t xml:space="preserve">VBDL </t>
  </si>
  <si>
    <t xml:space="preserve">VMWT2 </t>
  </si>
  <si>
    <t xml:space="preserve">VMWT3 </t>
  </si>
  <si>
    <t xml:space="preserve">Bairnsdale Power Station Generator Unit 2 </t>
  </si>
  <si>
    <t xml:space="preserve">VMWT </t>
  </si>
  <si>
    <t xml:space="preserve">VMWT9B </t>
  </si>
  <si>
    <t xml:space="preserve">VBAT1H </t>
  </si>
  <si>
    <t xml:space="preserve">VBL6 </t>
  </si>
  <si>
    <t xml:space="preserve">VBL61 </t>
  </si>
  <si>
    <t xml:space="preserve">Brooklyn Landfill &amp; Recycling Facility </t>
  </si>
  <si>
    <t xml:space="preserve">VSV2 </t>
  </si>
  <si>
    <t xml:space="preserve">VSV21B </t>
  </si>
  <si>
    <t xml:space="preserve">VTGT2C </t>
  </si>
  <si>
    <t xml:space="preserve">Codrington Wind Farm </t>
  </si>
  <si>
    <t xml:space="preserve">VGT6 </t>
  </si>
  <si>
    <t xml:space="preserve">VGT61C </t>
  </si>
  <si>
    <t xml:space="preserve">Corio LFG PS </t>
  </si>
  <si>
    <t xml:space="preserve">VSMT </t>
  </si>
  <si>
    <t xml:space="preserve">VMWT8G </t>
  </si>
  <si>
    <t xml:space="preserve">Glenmaggie Hydro PS </t>
  </si>
  <si>
    <t xml:space="preserve">VER2 </t>
  </si>
  <si>
    <t xml:space="preserve">VER21H </t>
  </si>
  <si>
    <t xml:space="preserve">Hallam Mini Hydro </t>
  </si>
  <si>
    <t xml:space="preserve">VER22L </t>
  </si>
  <si>
    <t xml:space="preserve">Hallam Road Renewable Energy Facility </t>
  </si>
  <si>
    <t xml:space="preserve">VBAT2L </t>
  </si>
  <si>
    <t xml:space="preserve">VHUM </t>
  </si>
  <si>
    <t xml:space="preserve">Hume (Victorian Share) </t>
  </si>
  <si>
    <t xml:space="preserve">VMWT6 </t>
  </si>
  <si>
    <t xml:space="preserve">Longford </t>
  </si>
  <si>
    <t xml:space="preserve">VTGT4M </t>
  </si>
  <si>
    <t xml:space="preserve">Mortons Lane Wind Farm </t>
  </si>
  <si>
    <t xml:space="preserve">VTGT3A </t>
  </si>
  <si>
    <t xml:space="preserve">Oaklands Hill Wind Farm </t>
  </si>
  <si>
    <t xml:space="preserve">VSHT </t>
  </si>
  <si>
    <t xml:space="preserve">VSHT2S </t>
  </si>
  <si>
    <t xml:space="preserve">Shepparton Waste Gas </t>
  </si>
  <si>
    <t xml:space="preserve">VSOM </t>
  </si>
  <si>
    <t xml:space="preserve">VTTS1 </t>
  </si>
  <si>
    <t xml:space="preserve">Somerton Power Station </t>
  </si>
  <si>
    <t xml:space="preserve">VSV22S </t>
  </si>
  <si>
    <t xml:space="preserve">Springvale Power Plant </t>
  </si>
  <si>
    <t xml:space="preserve">VSHT1 </t>
  </si>
  <si>
    <t xml:space="preserve">Tatura </t>
  </si>
  <si>
    <t xml:space="preserve">VMWT5 </t>
  </si>
  <si>
    <t xml:space="preserve">Toora Wind Farm </t>
  </si>
  <si>
    <t xml:space="preserve">VMWT1T </t>
  </si>
  <si>
    <t xml:space="preserve">Traralgon NSS </t>
  </si>
  <si>
    <t xml:space="preserve">VW061W </t>
  </si>
  <si>
    <t xml:space="preserve">VSMT1W </t>
  </si>
  <si>
    <t xml:space="preserve">Wollert Renewable Energy Facility </t>
  </si>
  <si>
    <t xml:space="preserve">VMWT7 </t>
  </si>
  <si>
    <t xml:space="preserve">Wonthaggi Wind Farm </t>
  </si>
  <si>
    <t xml:space="preserve">VTGT1 </t>
  </si>
  <si>
    <t xml:space="preserve">VSHT3Y </t>
  </si>
  <si>
    <t xml:space="preserve">SCRK </t>
  </si>
  <si>
    <t xml:space="preserve">Cathedral Rocks Wind Farm </t>
  </si>
  <si>
    <t xml:space="preserve">SCGW </t>
  </si>
  <si>
    <t xml:space="preserve">SCGW1P </t>
  </si>
  <si>
    <t xml:space="preserve">Clements Gap Wind Farm </t>
  </si>
  <si>
    <t xml:space="preserve">SDPS </t>
  </si>
  <si>
    <t xml:space="preserve">SDCA1 </t>
  </si>
  <si>
    <t xml:space="preserve">Dry Creek PS Unit 1 </t>
  </si>
  <si>
    <t xml:space="preserve">SDCA2 </t>
  </si>
  <si>
    <t xml:space="preserve">Dry Creek PS Unit 2 </t>
  </si>
  <si>
    <t xml:space="preserve">SDCA3 </t>
  </si>
  <si>
    <t xml:space="preserve">Dry Creek PS Unit 3 </t>
  </si>
  <si>
    <t xml:space="preserve">SHPS </t>
  </si>
  <si>
    <t xml:space="preserve">SHPS1 </t>
  </si>
  <si>
    <t xml:space="preserve">Hallett PS </t>
  </si>
  <si>
    <t xml:space="preserve">SHPS2W </t>
  </si>
  <si>
    <t xml:space="preserve">SMOK </t>
  </si>
  <si>
    <t xml:space="preserve">SMOK1H </t>
  </si>
  <si>
    <t xml:space="preserve">SPEW </t>
  </si>
  <si>
    <t xml:space="preserve">SPEW1 </t>
  </si>
  <si>
    <t xml:space="preserve">Ladbroke Grove PS Unit 1 </t>
  </si>
  <si>
    <t xml:space="preserve">SPEW2 </t>
  </si>
  <si>
    <t xml:space="preserve">Ladbroke Grove PS Unit 2 </t>
  </si>
  <si>
    <t xml:space="preserve">SMAY </t>
  </si>
  <si>
    <t xml:space="preserve">SMAY1 </t>
  </si>
  <si>
    <t xml:space="preserve">Lake Bonney Wind Farm </t>
  </si>
  <si>
    <t xml:space="preserve">SMAY2 </t>
  </si>
  <si>
    <t xml:space="preserve">Lake Bonney Wind Farm Stage 2 </t>
  </si>
  <si>
    <t xml:space="preserve">SMAY3W </t>
  </si>
  <si>
    <t xml:space="preserve">Lake Bonney Wind Farm Stage 3 </t>
  </si>
  <si>
    <t xml:space="preserve">SMPS </t>
  </si>
  <si>
    <t xml:space="preserve">Mintaro PS </t>
  </si>
  <si>
    <t xml:space="preserve">SMTM </t>
  </si>
  <si>
    <t xml:space="preserve">SMTM1 </t>
  </si>
  <si>
    <t xml:space="preserve">Mt Millar Wind Farm </t>
  </si>
  <si>
    <t xml:space="preserve">SBEL </t>
  </si>
  <si>
    <t xml:space="preserve">SBEL1A </t>
  </si>
  <si>
    <t xml:space="preserve">North Brown Hill Wind Farm </t>
  </si>
  <si>
    <t xml:space="preserve">SOCP </t>
  </si>
  <si>
    <t xml:space="preserve">SNBN1 </t>
  </si>
  <si>
    <t xml:space="preserve">O.C.P.L. Unit 1 </t>
  </si>
  <si>
    <t xml:space="preserve">SPPT </t>
  </si>
  <si>
    <t xml:space="preserve">Pelican Point PS </t>
  </si>
  <si>
    <t xml:space="preserve">SPL3 </t>
  </si>
  <si>
    <t xml:space="preserve">SPL31P </t>
  </si>
  <si>
    <t xml:space="preserve">Port Lincoln 3 </t>
  </si>
  <si>
    <t xml:space="preserve">SPTL </t>
  </si>
  <si>
    <t xml:space="preserve">SPLN1 </t>
  </si>
  <si>
    <t xml:space="preserve">Port Lincoln PS </t>
  </si>
  <si>
    <t xml:space="preserve">SQPS </t>
  </si>
  <si>
    <t xml:space="preserve">SQPS1 </t>
  </si>
  <si>
    <t xml:space="preserve">Quarantine PS Unit 1 </t>
  </si>
  <si>
    <t xml:space="preserve">SQPS2 </t>
  </si>
  <si>
    <t xml:space="preserve">Quarantine PS Unit 2 </t>
  </si>
  <si>
    <t xml:space="preserve">SQPS3 </t>
  </si>
  <si>
    <t xml:space="preserve">Quarantine PS Unit 3 </t>
  </si>
  <si>
    <t xml:space="preserve">SQPS4 </t>
  </si>
  <si>
    <t xml:space="preserve">Quarantine PS Unit 4 </t>
  </si>
  <si>
    <t xml:space="preserve">SQPS5Q </t>
  </si>
  <si>
    <t xml:space="preserve">Quarantine PS Unit 5 </t>
  </si>
  <si>
    <t xml:space="preserve">SBLW </t>
  </si>
  <si>
    <t xml:space="preserve">SBLWS1 </t>
  </si>
  <si>
    <t xml:space="preserve">SBLWS2 </t>
  </si>
  <si>
    <t xml:space="preserve">SNWF </t>
  </si>
  <si>
    <t xml:space="preserve">SNWF1T </t>
  </si>
  <si>
    <t xml:space="preserve">Snowtown Wind Farm </t>
  </si>
  <si>
    <t xml:space="preserve">SSPS </t>
  </si>
  <si>
    <t xml:space="preserve">SSGA1 </t>
  </si>
  <si>
    <t xml:space="preserve">Snuggery PS Units 1 to 3 </t>
  </si>
  <si>
    <t xml:space="preserve">SBEL2P </t>
  </si>
  <si>
    <t xml:space="preserve">STPS </t>
  </si>
  <si>
    <t xml:space="preserve">STSA1 </t>
  </si>
  <si>
    <t xml:space="preserve">Torrens Island PS A Unit 1 </t>
  </si>
  <si>
    <t xml:space="preserve">STSA2 </t>
  </si>
  <si>
    <t xml:space="preserve">Torrens Island PS A Unit 2 </t>
  </si>
  <si>
    <t xml:space="preserve">STSA3 </t>
  </si>
  <si>
    <t xml:space="preserve">Torrens Island PS A Unit 3 </t>
  </si>
  <si>
    <t xml:space="preserve">STSA4 </t>
  </si>
  <si>
    <t xml:space="preserve">Torrens Island PS A Unit 4 </t>
  </si>
  <si>
    <t xml:space="preserve">STSB1 </t>
  </si>
  <si>
    <t xml:space="preserve">Torrens Island PS B Unit 1 </t>
  </si>
  <si>
    <t xml:space="preserve">STSB2 </t>
  </si>
  <si>
    <t xml:space="preserve">Torrens Island PS B Unit 2 </t>
  </si>
  <si>
    <t xml:space="preserve">STSB3 </t>
  </si>
  <si>
    <t xml:space="preserve">Torrens Island PS B Unit 3 </t>
  </si>
  <si>
    <t xml:space="preserve">STSB4 </t>
  </si>
  <si>
    <t xml:space="preserve">Torrens Island PS B Unit 4 </t>
  </si>
  <si>
    <t xml:space="preserve">STSY </t>
  </si>
  <si>
    <t xml:space="preserve">STSYL </t>
  </si>
  <si>
    <t xml:space="preserve">Torrens Island PS Load </t>
  </si>
  <si>
    <t xml:space="preserve">SWLE </t>
  </si>
  <si>
    <t xml:space="preserve">SWLE1R </t>
  </si>
  <si>
    <t xml:space="preserve">Waterloo Wind Farm </t>
  </si>
  <si>
    <t xml:space="preserve">SSYP </t>
  </si>
  <si>
    <t xml:space="preserve">SSYP1 </t>
  </si>
  <si>
    <t xml:space="preserve">Wattle Point Wind Farm </t>
  </si>
  <si>
    <t xml:space="preserve">SANG </t>
  </si>
  <si>
    <t xml:space="preserve">SDRN1 </t>
  </si>
  <si>
    <t xml:space="preserve">Angaston Power Station </t>
  </si>
  <si>
    <t xml:space="preserve">SPGW </t>
  </si>
  <si>
    <t xml:space="preserve">SPGW1B </t>
  </si>
  <si>
    <t xml:space="preserve">SMVE </t>
  </si>
  <si>
    <t xml:space="preserve">SMVE1 </t>
  </si>
  <si>
    <t xml:space="preserve">Cummins Lonsdale PS </t>
  </si>
  <si>
    <t xml:space="preserve">SMVE3P </t>
  </si>
  <si>
    <t xml:space="preserve">SMVE2 </t>
  </si>
  <si>
    <t xml:space="preserve">Starfish Hill Wind Farm </t>
  </si>
  <si>
    <t xml:space="preserve">SKET </t>
  </si>
  <si>
    <t xml:space="preserve">SKET1E </t>
  </si>
  <si>
    <t xml:space="preserve">Tatiara Meat Co </t>
  </si>
  <si>
    <t xml:space="preserve">SKLB </t>
  </si>
  <si>
    <t xml:space="preserve">SKLB1W </t>
  </si>
  <si>
    <t xml:space="preserve">Wingfield 1 LFG PS </t>
  </si>
  <si>
    <t xml:space="preserve">SNBN </t>
  </si>
  <si>
    <t xml:space="preserve">SNBN2W </t>
  </si>
  <si>
    <t xml:space="preserve">Wingfield 2 LFG PS </t>
  </si>
  <si>
    <t xml:space="preserve">TGT1 </t>
  </si>
  <si>
    <t xml:space="preserve">TGT11 </t>
  </si>
  <si>
    <t xml:space="preserve">Basslink (George Town) </t>
  </si>
  <si>
    <t xml:space="preserve">TFA1 </t>
  </si>
  <si>
    <t xml:space="preserve">TFA11 </t>
  </si>
  <si>
    <t xml:space="preserve">Bastyan </t>
  </si>
  <si>
    <t xml:space="preserve">TBB1 </t>
  </si>
  <si>
    <t xml:space="preserve">TBB11 </t>
  </si>
  <si>
    <t xml:space="preserve">TBB12 </t>
  </si>
  <si>
    <t xml:space="preserve">TBB13 </t>
  </si>
  <si>
    <t xml:space="preserve">TST1 </t>
  </si>
  <si>
    <t xml:space="preserve">TST11 </t>
  </si>
  <si>
    <t xml:space="preserve">Bluff Point and Studland Bay Wind Farms </t>
  </si>
  <si>
    <t xml:space="preserve">TBG1 </t>
  </si>
  <si>
    <t xml:space="preserve">TBG11 </t>
  </si>
  <si>
    <t xml:space="preserve">Butlers Gorge </t>
  </si>
  <si>
    <t xml:space="preserve">TLI1 </t>
  </si>
  <si>
    <t xml:space="preserve">TLI11 </t>
  </si>
  <si>
    <t xml:space="preserve">Catagunya </t>
  </si>
  <si>
    <t xml:space="preserve">TCE1 </t>
  </si>
  <si>
    <t xml:space="preserve">TCE11 </t>
  </si>
  <si>
    <t xml:space="preserve">Cethana </t>
  </si>
  <si>
    <t xml:space="preserve">TCL1 </t>
  </si>
  <si>
    <t xml:space="preserve">TCL11 </t>
  </si>
  <si>
    <t xml:space="preserve">Cluny </t>
  </si>
  <si>
    <t xml:space="preserve">TDG1 </t>
  </si>
  <si>
    <t xml:space="preserve">TDG11 </t>
  </si>
  <si>
    <t xml:space="preserve">Devils gate </t>
  </si>
  <si>
    <t xml:space="preserve">TFI1 </t>
  </si>
  <si>
    <t xml:space="preserve">TFI11 </t>
  </si>
  <si>
    <t xml:space="preserve">Fisher </t>
  </si>
  <si>
    <t xml:space="preserve">TGO1 </t>
  </si>
  <si>
    <t xml:space="preserve">TGO11 </t>
  </si>
  <si>
    <t xml:space="preserve">Gordon </t>
  </si>
  <si>
    <t xml:space="preserve">TJB1 </t>
  </si>
  <si>
    <t xml:space="preserve">TJB11 </t>
  </si>
  <si>
    <t xml:space="preserve">John Butters </t>
  </si>
  <si>
    <t xml:space="preserve">TLE1 </t>
  </si>
  <si>
    <t xml:space="preserve">TLE11 </t>
  </si>
  <si>
    <t xml:space="preserve">Lake Echo </t>
  </si>
  <si>
    <t xml:space="preserve">TSH1 </t>
  </si>
  <si>
    <t xml:space="preserve">TSH11 </t>
  </si>
  <si>
    <t xml:space="preserve">Lemonthyme </t>
  </si>
  <si>
    <t xml:space="preserve">Liapootah </t>
  </si>
  <si>
    <t xml:space="preserve">TMA1 </t>
  </si>
  <si>
    <t xml:space="preserve">TMA11 </t>
  </si>
  <si>
    <t xml:space="preserve">Mackintosh </t>
  </si>
  <si>
    <t xml:space="preserve">TMB1 </t>
  </si>
  <si>
    <t xml:space="preserve">TMB11 </t>
  </si>
  <si>
    <t xml:space="preserve">Meadowbank </t>
  </si>
  <si>
    <t xml:space="preserve">TDE1 </t>
  </si>
  <si>
    <t xml:space="preserve">TDE11M </t>
  </si>
  <si>
    <t xml:space="preserve">Musselroe </t>
  </si>
  <si>
    <t xml:space="preserve">TPA1 </t>
  </si>
  <si>
    <t xml:space="preserve">TPA11 </t>
  </si>
  <si>
    <t xml:space="preserve">Paloona </t>
  </si>
  <si>
    <t xml:space="preserve">TPM1 </t>
  </si>
  <si>
    <t xml:space="preserve">TPM11 </t>
  </si>
  <si>
    <t xml:space="preserve">Poatina </t>
  </si>
  <si>
    <t xml:space="preserve">TPM2 </t>
  </si>
  <si>
    <t xml:space="preserve">TPM21 </t>
  </si>
  <si>
    <t xml:space="preserve">TRCA </t>
  </si>
  <si>
    <t xml:space="preserve">TRCA1 </t>
  </si>
  <si>
    <t xml:space="preserve">Reece No.1 </t>
  </si>
  <si>
    <t xml:space="preserve">TRCB </t>
  </si>
  <si>
    <t xml:space="preserve">TRCB1 </t>
  </si>
  <si>
    <t xml:space="preserve">Reece No.2 </t>
  </si>
  <si>
    <t xml:space="preserve">TCL12 </t>
  </si>
  <si>
    <t xml:space="preserve">Repulse </t>
  </si>
  <si>
    <t xml:space="preserve">TFI12 </t>
  </si>
  <si>
    <t xml:space="preserve">Rowallan </t>
  </si>
  <si>
    <t xml:space="preserve">TTV1 </t>
  </si>
  <si>
    <t xml:space="preserve">TTV11A </t>
  </si>
  <si>
    <t xml:space="preserve">Tamar Valley CCGT </t>
  </si>
  <si>
    <t xml:space="preserve">TBB14A </t>
  </si>
  <si>
    <t xml:space="preserve">Tamar Valley OCGT </t>
  </si>
  <si>
    <t xml:space="preserve">TTA1 </t>
  </si>
  <si>
    <t xml:space="preserve">TTA11 </t>
  </si>
  <si>
    <t xml:space="preserve">Tarraleah </t>
  </si>
  <si>
    <t xml:space="preserve">TTR1 </t>
  </si>
  <si>
    <t xml:space="preserve">TTR11 </t>
  </si>
  <si>
    <t xml:space="preserve">Trevallyn </t>
  </si>
  <si>
    <t xml:space="preserve">TTI1 </t>
  </si>
  <si>
    <t xml:space="preserve">TTI11 </t>
  </si>
  <si>
    <t xml:space="preserve">Tribute </t>
  </si>
  <si>
    <t xml:space="preserve">TTU1 </t>
  </si>
  <si>
    <t xml:space="preserve">TTU11 </t>
  </si>
  <si>
    <t xml:space="preserve">Tungatinah </t>
  </si>
  <si>
    <t xml:space="preserve">Wayatinah </t>
  </si>
  <si>
    <t xml:space="preserve">Wilmot </t>
  </si>
  <si>
    <t xml:space="preserve">TAV2 </t>
  </si>
  <si>
    <t xml:space="preserve">TAV21M </t>
  </si>
  <si>
    <t xml:space="preserve">Midlands PS </t>
  </si>
  <si>
    <t xml:space="preserve">TVN2 </t>
  </si>
  <si>
    <t xml:space="preserve">TMY21 </t>
  </si>
  <si>
    <t xml:space="preserve">REMOUNT </t>
  </si>
  <si>
    <t xml:space="preserve">Remount </t>
  </si>
  <si>
    <t>Included In List</t>
  </si>
  <si>
    <t xml:space="preserve">Isis CSM </t>
  </si>
  <si>
    <t>Barcaldine Solar at Lilyvale (132)</t>
  </si>
  <si>
    <t>132</t>
  </si>
  <si>
    <t>QLLV1B</t>
  </si>
  <si>
    <t>QLLV</t>
  </si>
  <si>
    <t>Barron Gorge Power Station (PS) Unit 1</t>
  </si>
  <si>
    <t>QBGH</t>
  </si>
  <si>
    <t>Barron Gorge PS Unit 2</t>
  </si>
  <si>
    <t>Braemar PS Unit 1</t>
  </si>
  <si>
    <t>QBRA</t>
  </si>
  <si>
    <t>Braemar PS Unit 2</t>
  </si>
  <si>
    <t>Braemar PS Unit 3</t>
  </si>
  <si>
    <t>Braemar Stage 2 PS Unit 5</t>
  </si>
  <si>
    <t>Braemar Stage 2 PS Unit 6</t>
  </si>
  <si>
    <t>Braemar Stage 2 PS Unit 7</t>
  </si>
  <si>
    <t>CALLNL1</t>
  </si>
  <si>
    <t>QCAX</t>
  </si>
  <si>
    <t>Callide A PS Unit 4</t>
  </si>
  <si>
    <t>QCAA</t>
  </si>
  <si>
    <t>Callide A PS Unit 4 Load</t>
  </si>
  <si>
    <t>Callide B PS Unit 1</t>
  </si>
  <si>
    <t>QCAB</t>
  </si>
  <si>
    <t>Callide B PS Unit 2</t>
  </si>
  <si>
    <t>Callide C PS Unit 3</t>
  </si>
  <si>
    <t>QCAC</t>
  </si>
  <si>
    <t>Callide C PS Unit 4</t>
  </si>
  <si>
    <t>Clare Solar Farm</t>
  </si>
  <si>
    <t>CLARESF1</t>
  </si>
  <si>
    <t>QCLA1C</t>
  </si>
  <si>
    <t>QCLA</t>
  </si>
  <si>
    <t>Collinsville Solar Farm</t>
  </si>
  <si>
    <t>33</t>
  </si>
  <si>
    <t>CSPVPS1</t>
  </si>
  <si>
    <t>QCOS1C</t>
  </si>
  <si>
    <t>QCOS</t>
  </si>
  <si>
    <t>Columboola – Condamine PS</t>
  </si>
  <si>
    <t>QCND</t>
  </si>
  <si>
    <t>Darling Downs PS</t>
  </si>
  <si>
    <t>DDSF1</t>
  </si>
  <si>
    <t>QBRS1D</t>
  </si>
  <si>
    <t>QBRS</t>
  </si>
  <si>
    <t>DAYDSF1</t>
  </si>
  <si>
    <t>QCCK1D</t>
  </si>
  <si>
    <t>QCCK</t>
  </si>
  <si>
    <t>Gladstone PS (132 kV) Unit 3</t>
  </si>
  <si>
    <t>QGLL</t>
  </si>
  <si>
    <t>Gladstone PS (132 kV) Unit 4</t>
  </si>
  <si>
    <t>Gladstone PS (132kV) Load</t>
  </si>
  <si>
    <t>GLADNL1</t>
  </si>
  <si>
    <t>Gladstone PS (275 kV) Unit 1</t>
  </si>
  <si>
    <t>QGLH</t>
  </si>
  <si>
    <t>Gladstone PS (275 kV) Unit 2</t>
  </si>
  <si>
    <t>Gladstone PS (275 kV) Unit 5</t>
  </si>
  <si>
    <t>Gladstone PS (275 kV) Unit 6</t>
  </si>
  <si>
    <t>Hamilton Solar Farm</t>
  </si>
  <si>
    <t>HAMISF1</t>
  </si>
  <si>
    <t>QSLD1H</t>
  </si>
  <si>
    <t>QSLD</t>
  </si>
  <si>
    <t>Hayman Solar Farm</t>
  </si>
  <si>
    <t>HAYMSF1</t>
  </si>
  <si>
    <t>QCCK2H</t>
  </si>
  <si>
    <t>Hughenden Solar Farm</t>
  </si>
  <si>
    <t>HUGSF1</t>
  </si>
  <si>
    <t>QROG2H</t>
  </si>
  <si>
    <t>QROG</t>
  </si>
  <si>
    <t>Kareeya PS Unit 1</t>
  </si>
  <si>
    <t>QKYH</t>
  </si>
  <si>
    <t>Kareeya PS Unit 2</t>
  </si>
  <si>
    <t>Kareeya PS Unit 3</t>
  </si>
  <si>
    <t>Kareeya PS Unit 4</t>
  </si>
  <si>
    <t>Kidston Solar Farm</t>
  </si>
  <si>
    <t>KSP1</t>
  </si>
  <si>
    <t>QROG1K</t>
  </si>
  <si>
    <t>Kogan Creek PS</t>
  </si>
  <si>
    <t>QWDN</t>
  </si>
  <si>
    <t>Koombooloomba</t>
  </si>
  <si>
    <t>QKYH5</t>
  </si>
  <si>
    <t>Lilyvale Solar Farm</t>
  </si>
  <si>
    <t>LILYSF1</t>
  </si>
  <si>
    <t>QBDR1L</t>
  </si>
  <si>
    <t>QBDR</t>
  </si>
  <si>
    <t>Millmerran PS Unit 1</t>
  </si>
  <si>
    <t>330</t>
  </si>
  <si>
    <t>QMLN</t>
  </si>
  <si>
    <t>Millmerran PS Unit 2</t>
  </si>
  <si>
    <t>Mount Emerald Wind farm</t>
  </si>
  <si>
    <t>MEWF1</t>
  </si>
  <si>
    <t>QWKM1M</t>
  </si>
  <si>
    <t>QWKM</t>
  </si>
  <si>
    <t>Mt Stuart PS Unit 1</t>
  </si>
  <si>
    <t>QMSP</t>
  </si>
  <si>
    <t>Mt Stuart PS Unit 2</t>
  </si>
  <si>
    <t>Mt Stuart PS Unit 3</t>
  </si>
  <si>
    <t>Oakey PS Unit 1</t>
  </si>
  <si>
    <t>110</t>
  </si>
  <si>
    <t>QOKY</t>
  </si>
  <si>
    <t>Oakey PS Unit 2</t>
  </si>
  <si>
    <t>Ross River Solar Farm</t>
  </si>
  <si>
    <t>RRSF1</t>
  </si>
  <si>
    <t>QROG3R</t>
  </si>
  <si>
    <t>Stanwell PS Load</t>
  </si>
  <si>
    <t>STANNL1</t>
  </si>
  <si>
    <t>QSTX</t>
  </si>
  <si>
    <t>Stanwell PS Unit 1</t>
  </si>
  <si>
    <t>QSTN</t>
  </si>
  <si>
    <t>Stanwell PS Unit 2</t>
  </si>
  <si>
    <t>Stanwell PS Unit 3</t>
  </si>
  <si>
    <t>Stanwell PS Unit 4</t>
  </si>
  <si>
    <t>Stapylton</t>
  </si>
  <si>
    <t>STAPYLTON1</t>
  </si>
  <si>
    <t>QLGH4S</t>
  </si>
  <si>
    <t>QLGH</t>
  </si>
  <si>
    <t>Sun Metals Solar Farm</t>
  </si>
  <si>
    <t>SMCSF1</t>
  </si>
  <si>
    <t>QTZS1S</t>
  </si>
  <si>
    <t>QTZS</t>
  </si>
  <si>
    <t>Swanbank E GT</t>
  </si>
  <si>
    <t>Tarong North PS</t>
  </si>
  <si>
    <t>Tarong PS Unit 1</t>
  </si>
  <si>
    <t>QTRN</t>
  </si>
  <si>
    <t>Tarong PS Unit 2</t>
  </si>
  <si>
    <t>Tarong PS Unit 3</t>
  </si>
  <si>
    <t>Tarong PS Unit 4</t>
  </si>
  <si>
    <t>Whitsunday Solar Farm</t>
  </si>
  <si>
    <t>WHITSF1</t>
  </si>
  <si>
    <t>QSLS1W</t>
  </si>
  <si>
    <t>QSLS</t>
  </si>
  <si>
    <t>Wivenhoe Generation Unit 1</t>
  </si>
  <si>
    <t>QWIV</t>
  </si>
  <si>
    <t>Wivenhoe Generation Unit 2</t>
  </si>
  <si>
    <t>Wivenhoe Pump 1</t>
  </si>
  <si>
    <t>QWIP1</t>
  </si>
  <si>
    <t>QWIP</t>
  </si>
  <si>
    <t>Wivenhoe Pump 2</t>
  </si>
  <si>
    <t>QWIP2</t>
  </si>
  <si>
    <t>Yabulu PS</t>
  </si>
  <si>
    <t>QYAG</t>
  </si>
  <si>
    <t>Baking Board Solar Farm (Chinchilla Solar Farm)</t>
  </si>
  <si>
    <t>BAKING1</t>
  </si>
  <si>
    <t>QCHS1C</t>
  </si>
  <si>
    <t>QCHS</t>
  </si>
  <si>
    <t>Barcaldine PS – Lilyvale</t>
  </si>
  <si>
    <t>Browns Plains Landfill Gas PS</t>
  </si>
  <si>
    <t>QLGH3B</t>
  </si>
  <si>
    <t>Childers Solar Farm</t>
  </si>
  <si>
    <t>CHILDSF1</t>
  </si>
  <si>
    <t>QTBS1C</t>
  </si>
  <si>
    <t>QTBS</t>
  </si>
  <si>
    <t>QTKM</t>
  </si>
  <si>
    <t>Emerald Solar Farm</t>
  </si>
  <si>
    <t>66</t>
  </si>
  <si>
    <t>EMERASF1</t>
  </si>
  <si>
    <t>QLIS1E</t>
  </si>
  <si>
    <t>QLIS</t>
  </si>
  <si>
    <t>German Creek Generator</t>
  </si>
  <si>
    <t>QLIL2</t>
  </si>
  <si>
    <t>QLIL</t>
  </si>
  <si>
    <t>Grosvenor PS At Moranbah 66 No 2</t>
  </si>
  <si>
    <t>GROSV2</t>
  </si>
  <si>
    <t>QMRV1G</t>
  </si>
  <si>
    <t>QMRV</t>
  </si>
  <si>
    <t>Grosvenor PS At Moranbah 66 No 1</t>
  </si>
  <si>
    <t>GROSV1</t>
  </si>
  <si>
    <t>QMRN2G</t>
  </si>
  <si>
    <t>QINV1I</t>
  </si>
  <si>
    <t>Isis CSM</t>
  </si>
  <si>
    <t>QGNG1I</t>
  </si>
  <si>
    <t>QTBC</t>
  </si>
  <si>
    <t>Longreach Solar Farm</t>
  </si>
  <si>
    <t>LRSF1</t>
  </si>
  <si>
    <t>QLLV2L</t>
  </si>
  <si>
    <t>Mackay GT</t>
  </si>
  <si>
    <t>Moranbah Generation</t>
  </si>
  <si>
    <t>11</t>
  </si>
  <si>
    <t>QMRL1M</t>
  </si>
  <si>
    <t>QMRL</t>
  </si>
  <si>
    <t>Moranbah North PS</t>
  </si>
  <si>
    <t>QMRN1P</t>
  </si>
  <si>
    <t>QMRN</t>
  </si>
  <si>
    <t>Oakey 1 Solar Farm</t>
  </si>
  <si>
    <t>OAKEY1SF</t>
  </si>
  <si>
    <t>QTKS1O</t>
  </si>
  <si>
    <t>QTKS</t>
  </si>
  <si>
    <t>Oaky Creek Generator</t>
  </si>
  <si>
    <t>OAKYCREK</t>
  </si>
  <si>
    <t>QLIL1</t>
  </si>
  <si>
    <t>Oaky Creek 2</t>
  </si>
  <si>
    <t>OAKY2</t>
  </si>
  <si>
    <t>QLIL3O</t>
  </si>
  <si>
    <t>RACOMIL1</t>
  </si>
  <si>
    <t>QMKA1R</t>
  </si>
  <si>
    <t>QPIV</t>
  </si>
  <si>
    <t>Rochedale Renewable Energy Plant</t>
  </si>
  <si>
    <t>QBMH2</t>
  </si>
  <si>
    <t>QBMH</t>
  </si>
  <si>
    <t>Rocky Point Gen (Loganlea 110kV)</t>
  </si>
  <si>
    <t>QLGH2</t>
  </si>
  <si>
    <t>Roghan Road Generator</t>
  </si>
  <si>
    <t>QSPN2</t>
  </si>
  <si>
    <t>QSPN</t>
  </si>
  <si>
    <t>Roma PS Unit 7 – Columboola</t>
  </si>
  <si>
    <t>QRMA</t>
  </si>
  <si>
    <t>Roma PS Unit 8 – Columboola</t>
  </si>
  <si>
    <t>Southbank Institute Of Technology</t>
  </si>
  <si>
    <t>QCBD1S</t>
  </si>
  <si>
    <t>QCBW</t>
  </si>
  <si>
    <t>Sunshine Coast Solar Farm</t>
  </si>
  <si>
    <t>VALDORA1</t>
  </si>
  <si>
    <t>QPWD1S</t>
  </si>
  <si>
    <t>QPWD</t>
  </si>
  <si>
    <t>Susan River Solar Farm</t>
  </si>
  <si>
    <t>SRSF1</t>
  </si>
  <si>
    <t>QTBS2S</t>
  </si>
  <si>
    <t>Ti Tree BioReactor</t>
  </si>
  <si>
    <t>QABM1T</t>
  </si>
  <si>
    <t>QABM</t>
  </si>
  <si>
    <t>Whitwood Rd Renewable Energy Plant</t>
  </si>
  <si>
    <t>QSBK1</t>
  </si>
  <si>
    <t>QBKS</t>
  </si>
  <si>
    <t>QTUL</t>
  </si>
  <si>
    <t>Wivenhoe Small Hydro</t>
  </si>
  <si>
    <t>WIVENSH</t>
  </si>
  <si>
    <t>QABR1</t>
  </si>
  <si>
    <t>QABR</t>
  </si>
  <si>
    <t>Yabulu Steam Turbine (Garbutt 66kV)</t>
  </si>
  <si>
    <t>QYST</t>
  </si>
  <si>
    <t>Bayswater PS Unit 1</t>
  </si>
  <si>
    <t>NBAY</t>
  </si>
  <si>
    <t>Bayswater PS Unit 2</t>
  </si>
  <si>
    <t>Bayswater PS Unit 3</t>
  </si>
  <si>
    <t>500</t>
  </si>
  <si>
    <t>NBYW</t>
  </si>
  <si>
    <t>Bayswater PS Unit 4</t>
  </si>
  <si>
    <t>Blowering</t>
  </si>
  <si>
    <t>NBLW</t>
  </si>
  <si>
    <t>Bodangora Wind Farm</t>
  </si>
  <si>
    <t>BODWF1</t>
  </si>
  <si>
    <t>NBOD1B</t>
  </si>
  <si>
    <t>NBOD</t>
  </si>
  <si>
    <t>Broken Hill GT 1</t>
  </si>
  <si>
    <t>22</t>
  </si>
  <si>
    <t>NBKG</t>
  </si>
  <si>
    <t>Broken Hill Solar Farm</t>
  </si>
  <si>
    <t>NBK11B</t>
  </si>
  <si>
    <t>NBK1</t>
  </si>
  <si>
    <t>NCWF</t>
  </si>
  <si>
    <t>Colleambally Solar Farm</t>
  </si>
  <si>
    <t>COLEASF1</t>
  </si>
  <si>
    <t>NCLS1C</t>
  </si>
  <si>
    <t>NCLS</t>
  </si>
  <si>
    <t>Colongra PS Unit 1</t>
  </si>
  <si>
    <t>NCLG</t>
  </si>
  <si>
    <t>Colongra PS Unit 2</t>
  </si>
  <si>
    <t>Colongra PS Unit 3</t>
  </si>
  <si>
    <t>Colongra PS Unit 4</t>
  </si>
  <si>
    <t>Crookwell 2 Wind Farm</t>
  </si>
  <si>
    <t>CROOKWF2</t>
  </si>
  <si>
    <t>NCKW1C</t>
  </si>
  <si>
    <t>NCKW</t>
  </si>
  <si>
    <t>Eraring 330 PS Unit 1</t>
  </si>
  <si>
    <t>NEP3</t>
  </si>
  <si>
    <t>Eraring 330 PS Unit 2</t>
  </si>
  <si>
    <t>Eraring 500 PS Unit 3</t>
  </si>
  <si>
    <t>NEPS</t>
  </si>
  <si>
    <t>Eraring 500 PS Unit 4</t>
  </si>
  <si>
    <t>Eraring PS Load</t>
  </si>
  <si>
    <t>ERNL1</t>
  </si>
  <si>
    <t>NEPSL</t>
  </si>
  <si>
    <t>Griffith Solar Farm</t>
  </si>
  <si>
    <t>GRIFSF1</t>
  </si>
  <si>
    <t>NGG11G</t>
  </si>
  <si>
    <t>NGG1</t>
  </si>
  <si>
    <t>Gullen Range Solar Farm</t>
  </si>
  <si>
    <t>GULLRSF1</t>
  </si>
  <si>
    <t>NGUR2G</t>
  </si>
  <si>
    <t>NGUR</t>
  </si>
  <si>
    <t>Guthega</t>
  </si>
  <si>
    <t>NGUT</t>
  </si>
  <si>
    <t>Guthega Auxiliary Supply</t>
  </si>
  <si>
    <t>GUTHNL1</t>
  </si>
  <si>
    <t>NMY11</t>
  </si>
  <si>
    <t>NMY1</t>
  </si>
  <si>
    <t>Hume (New South Wales Share)</t>
  </si>
  <si>
    <t>Kangaroo Valley – Bendeela (Shoalhaven) Generation – Dual MLF</t>
  </si>
  <si>
    <t>NSHN</t>
  </si>
  <si>
    <t>Kangaroo Valley (Shoalhaven) Pumps – Dual MLF</t>
  </si>
  <si>
    <t>Liddell 330 PS Load</t>
  </si>
  <si>
    <t>LIDDNL1</t>
  </si>
  <si>
    <t>NLDPL</t>
  </si>
  <si>
    <t>NLDP</t>
  </si>
  <si>
    <t>Liddell 330 PS Unit 1</t>
  </si>
  <si>
    <t>Liddell 330 PS Unit 2</t>
  </si>
  <si>
    <t>Liddell 330 PS Unit 3</t>
  </si>
  <si>
    <t>Liddell 330 PS Unit 4</t>
  </si>
  <si>
    <t>Lower Tumut Generation – Dual MLF</t>
  </si>
  <si>
    <t>NLTS</t>
  </si>
  <si>
    <t>Lower Tumut Pipeline Auxiliary</t>
  </si>
  <si>
    <t>TUMT3NL3</t>
  </si>
  <si>
    <t>NTU2L3</t>
  </si>
  <si>
    <t>NTU2</t>
  </si>
  <si>
    <t>Lower Tumut Pumps – Dual MLF</t>
  </si>
  <si>
    <t>SNOWYP</t>
  </si>
  <si>
    <t>NLTS3</t>
  </si>
  <si>
    <t>Lower Tumut T2 Auxiliary</t>
  </si>
  <si>
    <t>TUMT3NL1</t>
  </si>
  <si>
    <t>NTU2L1</t>
  </si>
  <si>
    <t>Lower Tumut T4 Auxiliary</t>
  </si>
  <si>
    <t>TUMT3NL2</t>
  </si>
  <si>
    <t>NTU2L2</t>
  </si>
  <si>
    <t>Mt Piper PS Load</t>
  </si>
  <si>
    <t>MPNL1</t>
  </si>
  <si>
    <t>NMPPL</t>
  </si>
  <si>
    <t>NMTP</t>
  </si>
  <si>
    <t>Mt Piper PS Unit 1</t>
  </si>
  <si>
    <t>Mt Piper PS Unit 2</t>
  </si>
  <si>
    <t>NMUR</t>
  </si>
  <si>
    <t>Parkes Solar Farm</t>
  </si>
  <si>
    <t>PARSF1</t>
  </si>
  <si>
    <t>NPG11P</t>
  </si>
  <si>
    <t>NPG1</t>
  </si>
  <si>
    <t>Sapphire Wind Farm</t>
  </si>
  <si>
    <t>SAPHWF1</t>
  </si>
  <si>
    <t>NSAP1S</t>
  </si>
  <si>
    <t>NSAP</t>
  </si>
  <si>
    <t>Silverton Wind Farm</t>
  </si>
  <si>
    <t>220</t>
  </si>
  <si>
    <t>STWF1</t>
  </si>
  <si>
    <t>NBKW1S</t>
  </si>
  <si>
    <t>NBKW</t>
  </si>
  <si>
    <t>Upper Tumut</t>
  </si>
  <si>
    <t>NUTS</t>
  </si>
  <si>
    <t>Uranquinty PS Unit 11</t>
  </si>
  <si>
    <t>NURQ</t>
  </si>
  <si>
    <t>Uranquinty PS Unit 12</t>
  </si>
  <si>
    <t>Uranquinty PS Unit 13</t>
  </si>
  <si>
    <t>Uranquinty PS Unit 14</t>
  </si>
  <si>
    <t>Vales Point 330 PS Load</t>
  </si>
  <si>
    <t>VPNL1</t>
  </si>
  <si>
    <t>NVPPL</t>
  </si>
  <si>
    <t>NVPP</t>
  </si>
  <si>
    <t>Vales Point 330 PS Unit 5</t>
  </si>
  <si>
    <t>Vales Point 330 PS Unit 6</t>
  </si>
  <si>
    <t>White Rock Wind Farm</t>
  </si>
  <si>
    <t>WRWF1</t>
  </si>
  <si>
    <t>NWRK1W</t>
  </si>
  <si>
    <t>NWRK</t>
  </si>
  <si>
    <t>White Rock Solar Farm</t>
  </si>
  <si>
    <t>WRSF1</t>
  </si>
  <si>
    <t>NWRK2W</t>
  </si>
  <si>
    <t>AGL Sita Landfill 1</t>
  </si>
  <si>
    <t>NLP13K</t>
  </si>
  <si>
    <t>NLP1</t>
  </si>
  <si>
    <t>Appin Power Station</t>
  </si>
  <si>
    <t>APPIN</t>
  </si>
  <si>
    <t>NAPP1A</t>
  </si>
  <si>
    <t>NAPP</t>
  </si>
  <si>
    <t>Awaba Renewable Energy Facility</t>
  </si>
  <si>
    <t>NNEW2</t>
  </si>
  <si>
    <t>NNEW</t>
  </si>
  <si>
    <t>NBCO</t>
  </si>
  <si>
    <t>Broadwater PS</t>
  </si>
  <si>
    <t>NLS21B</t>
  </si>
  <si>
    <t>NLS2</t>
  </si>
  <si>
    <t>NCMA1</t>
  </si>
  <si>
    <t>NCMA</t>
  </si>
  <si>
    <t>Burrendong Hydro PS</t>
  </si>
  <si>
    <t>NWL81B</t>
  </si>
  <si>
    <t>Campbelltown WSLC</t>
  </si>
  <si>
    <t>NING1C</t>
  </si>
  <si>
    <t>NING</t>
  </si>
  <si>
    <t>Condong PS</t>
  </si>
  <si>
    <t>NTNR1C</t>
  </si>
  <si>
    <t>NTNR</t>
  </si>
  <si>
    <t>Copeton Hydro PS</t>
  </si>
  <si>
    <t>NNVL1C</t>
  </si>
  <si>
    <t>NNVL</t>
  </si>
  <si>
    <t>NYS1</t>
  </si>
  <si>
    <t>Eastern Creek</t>
  </si>
  <si>
    <t>NSW21</t>
  </si>
  <si>
    <t>NSW2</t>
  </si>
  <si>
    <t>Eraring 330 BS UN (GT)</t>
  </si>
  <si>
    <t>NEP35B</t>
  </si>
  <si>
    <t>Glenbawn Hydro PS</t>
  </si>
  <si>
    <t>NMRK2G</t>
  </si>
  <si>
    <t>NMRK</t>
  </si>
  <si>
    <t>Glenn Innes (Pindari PS)</t>
  </si>
  <si>
    <t>NGLN1</t>
  </si>
  <si>
    <t>NGLN</t>
  </si>
  <si>
    <t>Glennies Creek PS</t>
  </si>
  <si>
    <t>GLENNCRK</t>
  </si>
  <si>
    <t>NMRK3T</t>
  </si>
  <si>
    <t>Grange Avenue</t>
  </si>
  <si>
    <t>NVYD1</t>
  </si>
  <si>
    <t>NVYD</t>
  </si>
  <si>
    <t>Jindabyne Generator</t>
  </si>
  <si>
    <t>NCMA2</t>
  </si>
  <si>
    <t>Jounama PS</t>
  </si>
  <si>
    <t>NTU21J</t>
  </si>
  <si>
    <t>Keepit</t>
  </si>
  <si>
    <t>NKPT</t>
  </si>
  <si>
    <t>Kincumber Landfill</t>
  </si>
  <si>
    <t>NGF31K</t>
  </si>
  <si>
    <t>NGF3</t>
  </si>
  <si>
    <t>Liddell 33 – Hunter Valley GTs</t>
  </si>
  <si>
    <t>NLD3</t>
  </si>
  <si>
    <t>Liverpool 132 (Jacks Gully)</t>
  </si>
  <si>
    <t>NLP11</t>
  </si>
  <si>
    <t>Lucas Heights II Power Plant</t>
  </si>
  <si>
    <t>NSYS2G</t>
  </si>
  <si>
    <t>NSYS</t>
  </si>
  <si>
    <t>Lucas Heights Stage 2 Power Station</t>
  </si>
  <si>
    <t>NSYS1</t>
  </si>
  <si>
    <t>Manildra Solar Farm</t>
  </si>
  <si>
    <t>MANSLR1</t>
  </si>
  <si>
    <t>NMLS1M</t>
  </si>
  <si>
    <t>NMLS</t>
  </si>
  <si>
    <t>NMR41M</t>
  </si>
  <si>
    <t>NMR4</t>
  </si>
  <si>
    <t>Narromine Solar Farm</t>
  </si>
  <si>
    <t>NASF1</t>
  </si>
  <si>
    <t>NWLS1N</t>
  </si>
  <si>
    <t>NWLS</t>
  </si>
  <si>
    <t>Nine Willoughby</t>
  </si>
  <si>
    <t>NSE21R</t>
  </si>
  <si>
    <t>NSE2</t>
  </si>
  <si>
    <t>Nyngan Solar Farm</t>
  </si>
  <si>
    <t>NWL82N</t>
  </si>
  <si>
    <t>Sithe (Holroyd Generation)</t>
  </si>
  <si>
    <t>NHD2</t>
  </si>
  <si>
    <t>1</t>
  </si>
  <si>
    <t>South Keswick Solar Farm</t>
  </si>
  <si>
    <t>SKSF1</t>
  </si>
  <si>
    <t>NWLS2S</t>
  </si>
  <si>
    <t>St George Leagues Club</t>
  </si>
  <si>
    <t>NPHT1E</t>
  </si>
  <si>
    <t>NPHT</t>
  </si>
  <si>
    <t>Tahmoor PS</t>
  </si>
  <si>
    <t>TAHMOOR1</t>
  </si>
  <si>
    <t>NLP12T</t>
  </si>
  <si>
    <t>Tallawarra PS</t>
  </si>
  <si>
    <t>NTWA</t>
  </si>
  <si>
    <t>NMR2</t>
  </si>
  <si>
    <t>Teralba Power Station</t>
  </si>
  <si>
    <t>NNEW1</t>
  </si>
  <si>
    <t>The Drop Power Station</t>
  </si>
  <si>
    <t>NFNY1D</t>
  </si>
  <si>
    <t>NFNY</t>
  </si>
  <si>
    <t>Tower Power Plant</t>
  </si>
  <si>
    <t>TOWER</t>
  </si>
  <si>
    <t>NLP11T</t>
  </si>
  <si>
    <t>West Nowra</t>
  </si>
  <si>
    <t>NDT12</t>
  </si>
  <si>
    <t>NDT1</t>
  </si>
  <si>
    <t>Wests Illawara Leagues Club</t>
  </si>
  <si>
    <t>NDT14E</t>
  </si>
  <si>
    <t>Wilga Park A</t>
  </si>
  <si>
    <t>NNB21W</t>
  </si>
  <si>
    <t>NNB2</t>
  </si>
  <si>
    <t>Wilga Park B</t>
  </si>
  <si>
    <t>NNB22W</t>
  </si>
  <si>
    <t>Woodlawn Bioreactor</t>
  </si>
  <si>
    <t>NMR21W</t>
  </si>
  <si>
    <t>Woy Woy Landfill</t>
  </si>
  <si>
    <t>NGF32W</t>
  </si>
  <si>
    <t>Wyangala A PS</t>
  </si>
  <si>
    <t>NCW81A</t>
  </si>
  <si>
    <t>NCW8</t>
  </si>
  <si>
    <t>Wyangala B PS</t>
  </si>
  <si>
    <t>NCW82B</t>
  </si>
  <si>
    <t>AQB21C</t>
  </si>
  <si>
    <t>AQB2</t>
  </si>
  <si>
    <t>Mugga Lane Solar Farm</t>
  </si>
  <si>
    <t>ACA12M</t>
  </si>
  <si>
    <t>AMS1</t>
  </si>
  <si>
    <t>ARS1</t>
  </si>
  <si>
    <t>VART1A</t>
  </si>
  <si>
    <t>VART</t>
  </si>
  <si>
    <t>Ballarat BESS - Generation</t>
  </si>
  <si>
    <t>BALBG1</t>
  </si>
  <si>
    <t>VBA21B</t>
  </si>
  <si>
    <t>VBA2</t>
  </si>
  <si>
    <t>Ballarat BESS - Load</t>
  </si>
  <si>
    <t>BALBL1</t>
  </si>
  <si>
    <t>VBA22B</t>
  </si>
  <si>
    <t>Banimboola</t>
  </si>
  <si>
    <t>VDPS2</t>
  </si>
  <si>
    <t>Bannerton Solar Farm</t>
  </si>
  <si>
    <t>BANN1</t>
  </si>
  <si>
    <t>VWES1B</t>
  </si>
  <si>
    <t>VWES</t>
  </si>
  <si>
    <t>Basslink (Loy Yang Power Station Switchyard) Tasmania to Victoria</t>
  </si>
  <si>
    <t>BLNKVIC</t>
  </si>
  <si>
    <t>VLYP13</t>
  </si>
  <si>
    <t>VTBL</t>
  </si>
  <si>
    <t>VBE61C</t>
  </si>
  <si>
    <t>VBE6</t>
  </si>
  <si>
    <t>Crowlands Wind Farm</t>
  </si>
  <si>
    <t>CROWLWF1</t>
  </si>
  <si>
    <t>VCWL1C</t>
  </si>
  <si>
    <t>VCWL</t>
  </si>
  <si>
    <t>Dartmouth PS</t>
  </si>
  <si>
    <t>Eildon PS Unit 1</t>
  </si>
  <si>
    <t>VEPS</t>
  </si>
  <si>
    <t>Eildon PS Unit 2</t>
  </si>
  <si>
    <t>Gannawarra BESS (Generation)</t>
  </si>
  <si>
    <t>GANNBG1</t>
  </si>
  <si>
    <t>VKGB1G</t>
  </si>
  <si>
    <t>VKGB</t>
  </si>
  <si>
    <t>Gannawarra BESS (Load)</t>
  </si>
  <si>
    <t>GANNBL1</t>
  </si>
  <si>
    <t>VKGB2G</t>
  </si>
  <si>
    <t>VKGL</t>
  </si>
  <si>
    <t>Jeeralang A PS Unit 1</t>
  </si>
  <si>
    <t>VJLG</t>
  </si>
  <si>
    <t>Jeeralang A PS Unit 2</t>
  </si>
  <si>
    <t>Jeeralang A PS Unit 3</t>
  </si>
  <si>
    <t>Jeeralang A PS Unit 4</t>
  </si>
  <si>
    <t>Jeeralang B PS Unit 1</t>
  </si>
  <si>
    <t>Jeeralang B PS Unit 2</t>
  </si>
  <si>
    <t>Jeeralang B PS Unit 3</t>
  </si>
  <si>
    <t>Jindabyne pump at Guthega</t>
  </si>
  <si>
    <t>SNOWYGJP</t>
  </si>
  <si>
    <t>NGJP</t>
  </si>
  <si>
    <t>Kiata Wind Farm</t>
  </si>
  <si>
    <t>KIATAWF1</t>
  </si>
  <si>
    <t>VHOG1K</t>
  </si>
  <si>
    <t>VHOG</t>
  </si>
  <si>
    <t>Laverton PS (LNGS1)</t>
  </si>
  <si>
    <t>VAT21L</t>
  </si>
  <si>
    <t>VAT2</t>
  </si>
  <si>
    <t>Laverton PS (LNGS2)</t>
  </si>
  <si>
    <t>VAT22L</t>
  </si>
  <si>
    <t>Loy Yang A PS Load</t>
  </si>
  <si>
    <t>LYNL1</t>
  </si>
  <si>
    <t>VLYPL</t>
  </si>
  <si>
    <t>VLYP</t>
  </si>
  <si>
    <t>Loy Yang A PS Unit 1</t>
  </si>
  <si>
    <t>Loy Yang A PS Unit 2</t>
  </si>
  <si>
    <t>Loy Yang A PS Unit 3</t>
  </si>
  <si>
    <t>Loy Yang A PS Unit 4</t>
  </si>
  <si>
    <t>Loy Yang B PS Unit 1</t>
  </si>
  <si>
    <t>Loy Yang B PS Unit 2</t>
  </si>
  <si>
    <t>MacArthur Wind Farm</t>
  </si>
  <si>
    <t>VTRT</t>
  </si>
  <si>
    <t>McKay Creek / Bogong PS</t>
  </si>
  <si>
    <t>VT14</t>
  </si>
  <si>
    <t>Mortlake Unit 1</t>
  </si>
  <si>
    <t>VM0P</t>
  </si>
  <si>
    <t>Mortlake Unit 2</t>
  </si>
  <si>
    <t>Mt Mercer Windfarm</t>
  </si>
  <si>
    <t>VELT</t>
  </si>
  <si>
    <t>Murray</t>
  </si>
  <si>
    <t>Murra Warra Wind Farm</t>
  </si>
  <si>
    <t>MUWAWF1</t>
  </si>
  <si>
    <t>VMRT1M</t>
  </si>
  <si>
    <t>VMRT</t>
  </si>
  <si>
    <t>Newport PS</t>
  </si>
  <si>
    <t>Salt Creek Wind Farm</t>
  </si>
  <si>
    <t>SALTCRK1</t>
  </si>
  <si>
    <t>VTG61S</t>
  </si>
  <si>
    <t>VTG6</t>
  </si>
  <si>
    <t>Timboon West Wind Farm</t>
  </si>
  <si>
    <t>TIMWEST</t>
  </si>
  <si>
    <t>VTGT5T</t>
  </si>
  <si>
    <t>VTGT</t>
  </si>
  <si>
    <t>Valley Power Unit 1</t>
  </si>
  <si>
    <t>VLYP07</t>
  </si>
  <si>
    <t>Valley Power Unit 2</t>
  </si>
  <si>
    <t>VLYP08</t>
  </si>
  <si>
    <t>Valley Power Unit 3</t>
  </si>
  <si>
    <t>VLYP09</t>
  </si>
  <si>
    <t>Valley Power Unit 4</t>
  </si>
  <si>
    <t>VLYP010</t>
  </si>
  <si>
    <t>Valley Power Unit 5</t>
  </si>
  <si>
    <t>VLYP011</t>
  </si>
  <si>
    <t>Valley Power Unit 6</t>
  </si>
  <si>
    <t>VLYP012</t>
  </si>
  <si>
    <t>VWBT</t>
  </si>
  <si>
    <t>Wemen Solar Farm</t>
  </si>
  <si>
    <t>WEMENSF1</t>
  </si>
  <si>
    <t>VWES2W</t>
  </si>
  <si>
    <t>West Kiewa PS Unit 1</t>
  </si>
  <si>
    <t>VWKP</t>
  </si>
  <si>
    <t>West Kiewa PS Unit 2</t>
  </si>
  <si>
    <t>Yallourn W PS 220 Load</t>
  </si>
  <si>
    <t>YWNL1</t>
  </si>
  <si>
    <t>VYP2L</t>
  </si>
  <si>
    <t>VYP2</t>
  </si>
  <si>
    <t>Yallourn W PS 220 Unit 1</t>
  </si>
  <si>
    <t>VYP3</t>
  </si>
  <si>
    <t>Yallourn W PS 220 Unit 2</t>
  </si>
  <si>
    <t>Yallourn W PS 220 Unit 3</t>
  </si>
  <si>
    <t>Yallourn W PS 220 Unit 4</t>
  </si>
  <si>
    <t>Yaloak South Wind Farm</t>
  </si>
  <si>
    <t>YSWF1</t>
  </si>
  <si>
    <t>VBAT4Y</t>
  </si>
  <si>
    <t>VBAT</t>
  </si>
  <si>
    <t>VBDL</t>
  </si>
  <si>
    <t>Bairnsdale Power Station Generator Unit 2</t>
  </si>
  <si>
    <t>VMWT</t>
  </si>
  <si>
    <t>VBAT1H</t>
  </si>
  <si>
    <t>roadmeadows Power Plant</t>
  </si>
  <si>
    <t>VTTS2B</t>
  </si>
  <si>
    <t>VTTS</t>
  </si>
  <si>
    <t>Brooklyn Landfill &amp; Recycling Facility</t>
  </si>
  <si>
    <t>VBL61</t>
  </si>
  <si>
    <t>VBL6</t>
  </si>
  <si>
    <t>VHOT</t>
  </si>
  <si>
    <t>Chepstowe Wind Farm</t>
  </si>
  <si>
    <t>CHPSTWF1</t>
  </si>
  <si>
    <t>VBAT3C</t>
  </si>
  <si>
    <t>Clayton Landfill Gas Power Station</t>
  </si>
  <si>
    <t>VSV21B</t>
  </si>
  <si>
    <t>VSV2</t>
  </si>
  <si>
    <t>VMBT</t>
  </si>
  <si>
    <t>Corio LFG PS</t>
  </si>
  <si>
    <t>VGT61C</t>
  </si>
  <si>
    <t>VGT6</t>
  </si>
  <si>
    <t>Eildon Hydro PS</t>
  </si>
  <si>
    <t>VTT22E</t>
  </si>
  <si>
    <t>VSMT</t>
  </si>
  <si>
    <t>Gannawarra Solar Farm</t>
  </si>
  <si>
    <t>GANNSF1</t>
  </si>
  <si>
    <t>VKGS1G</t>
  </si>
  <si>
    <t>VKGS</t>
  </si>
  <si>
    <t>Glenmaggie Hydro PS</t>
  </si>
  <si>
    <t>VMWT8G</t>
  </si>
  <si>
    <t>Hallam Mini Hydro</t>
  </si>
  <si>
    <t>VER21H</t>
  </si>
  <si>
    <t>VER2</t>
  </si>
  <si>
    <t>HALAMRD1</t>
  </si>
  <si>
    <t>VER22L</t>
  </si>
  <si>
    <t>Hepburn Community Wind Farm</t>
  </si>
  <si>
    <t>VBAT2L</t>
  </si>
  <si>
    <t>Hume (Victorian Share)</t>
  </si>
  <si>
    <t>HUMEV</t>
  </si>
  <si>
    <t>VHUM</t>
  </si>
  <si>
    <t>Karadoc Solar Farm</t>
  </si>
  <si>
    <t>KARSF1</t>
  </si>
  <si>
    <t>VRCS1K</t>
  </si>
  <si>
    <t>VRCS</t>
  </si>
  <si>
    <t>Longford</t>
  </si>
  <si>
    <t>VMWT6</t>
  </si>
  <si>
    <t>Maroona Wind Farm</t>
  </si>
  <si>
    <t>MAROOWF1</t>
  </si>
  <si>
    <t>VBAT5M</t>
  </si>
  <si>
    <t>Mt Gellibrand Windfarm</t>
  </si>
  <si>
    <t>MTGELWF1</t>
  </si>
  <si>
    <t>VGTW1M</t>
  </si>
  <si>
    <t>VGTW</t>
  </si>
  <si>
    <t>Rubicon Mountain Streams Station</t>
  </si>
  <si>
    <t>Shepparton Waste Gas</t>
  </si>
  <si>
    <t>VSHT2S</t>
  </si>
  <si>
    <t>VSHT</t>
  </si>
  <si>
    <t>VSOM</t>
  </si>
  <si>
    <t>Springvale Power Plant</t>
  </si>
  <si>
    <t>VSV22S</t>
  </si>
  <si>
    <t>Tatura</t>
  </si>
  <si>
    <t>VSHT1</t>
  </si>
  <si>
    <t>Traralgon NSS</t>
  </si>
  <si>
    <t>VMWT1T</t>
  </si>
  <si>
    <t>William Hovell Hydro PS</t>
  </si>
  <si>
    <t>VW061W</t>
  </si>
  <si>
    <t>VGNT</t>
  </si>
  <si>
    <t>VSMT1W</t>
  </si>
  <si>
    <t>VMWT7</t>
  </si>
  <si>
    <t>Yambuk Wind Farm</t>
  </si>
  <si>
    <t>Yarrawonga Hydro PS</t>
  </si>
  <si>
    <t>YWNGAHYD</t>
  </si>
  <si>
    <t>VSHT3Y</t>
  </si>
  <si>
    <t>Yawong Wind Farm</t>
  </si>
  <si>
    <t>YAWWF1</t>
  </si>
  <si>
    <t>VBE62Y</t>
  </si>
  <si>
    <t>Bungala One Solar Farm</t>
  </si>
  <si>
    <t>BNGSF1</t>
  </si>
  <si>
    <t>SBEM1B</t>
  </si>
  <si>
    <t>SBEM</t>
  </si>
  <si>
    <t>Bungala Two Solar Farm</t>
  </si>
  <si>
    <t>BNGSF2</t>
  </si>
  <si>
    <t>SBEM2B</t>
  </si>
  <si>
    <t>SCGW</t>
  </si>
  <si>
    <t>Dry Creek PS Unit 1</t>
  </si>
  <si>
    <t>SDPS</t>
  </si>
  <si>
    <t>Dry Creek PS Unit 2</t>
  </si>
  <si>
    <t>Dry Creek PS Unit 3</t>
  </si>
  <si>
    <t>Dalrymple North BESS (Generation)</t>
  </si>
  <si>
    <t>DALNTH01</t>
  </si>
  <si>
    <t>SDAN1D</t>
  </si>
  <si>
    <t>SDAN</t>
  </si>
  <si>
    <t>Dalrymple North BESS (Load)</t>
  </si>
  <si>
    <t>DALNTHL1</t>
  </si>
  <si>
    <t>SDAN2D</t>
  </si>
  <si>
    <t>SHPS</t>
  </si>
  <si>
    <t>SMOK</t>
  </si>
  <si>
    <t>Hornsdale Wind Farm Stage 1</t>
  </si>
  <si>
    <t>SHDW1H</t>
  </si>
  <si>
    <t>SHDW</t>
  </si>
  <si>
    <t>Hornsdale Wind Farm Stage 2</t>
  </si>
  <si>
    <t>HDWF2</t>
  </si>
  <si>
    <t>SHDW2H</t>
  </si>
  <si>
    <t>Hornsdale Wind Farm Stage 3</t>
  </si>
  <si>
    <t>HDWF3</t>
  </si>
  <si>
    <t>SHDW3H</t>
  </si>
  <si>
    <t>Hornsdale Battery (Generation)</t>
  </si>
  <si>
    <t>HPRG1</t>
  </si>
  <si>
    <t>SMTL1H</t>
  </si>
  <si>
    <t>SMTL</t>
  </si>
  <si>
    <t>Hornsdale Battery (Load)</t>
  </si>
  <si>
    <t>HPRL1</t>
  </si>
  <si>
    <t>SMTL2H</t>
  </si>
  <si>
    <t>Ladbroke Grove PS Unit 1</t>
  </si>
  <si>
    <t>SPEW</t>
  </si>
  <si>
    <t>Ladbroke Grove PS Unit 2</t>
  </si>
  <si>
    <t>SMAY</t>
  </si>
  <si>
    <t>Lake Bonney Wind Farm Stage 2</t>
  </si>
  <si>
    <t>SMAY2</t>
  </si>
  <si>
    <t>Lake Bonney Wind Farm Stage 3</t>
  </si>
  <si>
    <t>SMAY3W</t>
  </si>
  <si>
    <t>Lincoln Gap Wind Farm</t>
  </si>
  <si>
    <t>LGAPWF1</t>
  </si>
  <si>
    <t>SLGW1L</t>
  </si>
  <si>
    <t>SLGW</t>
  </si>
  <si>
    <t>SMTM</t>
  </si>
  <si>
    <t>SBEL</t>
  </si>
  <si>
    <t>O.C.P.L. Unit 1</t>
  </si>
  <si>
    <t>SOCP</t>
  </si>
  <si>
    <t>Pelican Point PS</t>
  </si>
  <si>
    <t>Port Lincoln 3</t>
  </si>
  <si>
    <t>SPL3</t>
  </si>
  <si>
    <t>SPTL</t>
  </si>
  <si>
    <t>Quarantine PS Unit 1</t>
  </si>
  <si>
    <t>SQPS</t>
  </si>
  <si>
    <t>Quarantine PS Unit 2</t>
  </si>
  <si>
    <t>Quarantine PS Unit 3</t>
  </si>
  <si>
    <t>Quarantine PS Unit 4</t>
  </si>
  <si>
    <t>Quarantine PS Unit 5</t>
  </si>
  <si>
    <t>Snowtown Wind Farm Stage 2 – North</t>
  </si>
  <si>
    <t>SBLW</t>
  </si>
  <si>
    <t>Snowtown Wind Farm Stage 2 – South</t>
  </si>
  <si>
    <t>Snowtown Wind Farm</t>
  </si>
  <si>
    <t>SNWF</t>
  </si>
  <si>
    <t>Snuggery PS Units 1 to 3</t>
  </si>
  <si>
    <t>SSPS</t>
  </si>
  <si>
    <t>Tailem Bend Solar Farm</t>
  </si>
  <si>
    <t>TBSF1</t>
  </si>
  <si>
    <t>STBS1T</t>
  </si>
  <si>
    <t>STBS</t>
  </si>
  <si>
    <t>Torrens Island PS A Unit 1</t>
  </si>
  <si>
    <t>STPS</t>
  </si>
  <si>
    <t>Torrens Island PS A Unit 2</t>
  </si>
  <si>
    <t>Torrens Island PS A Unit 3</t>
  </si>
  <si>
    <t>Torrens Island PS A Unit 4</t>
  </si>
  <si>
    <t>Torrens Island PS B Unit 1</t>
  </si>
  <si>
    <t>Torrens Island PS B Unit 2</t>
  </si>
  <si>
    <t>Torrens Island PS B Unit 3</t>
  </si>
  <si>
    <t>Torrens Island PS B Unit 4</t>
  </si>
  <si>
    <t>Torrens Island PS Load</t>
  </si>
  <si>
    <t>TORNL1</t>
  </si>
  <si>
    <t>STSYL</t>
  </si>
  <si>
    <t>STSY</t>
  </si>
  <si>
    <t>SWLE1R</t>
  </si>
  <si>
    <t>SSYP</t>
  </si>
  <si>
    <t>Willogoleche Wind Farm</t>
  </si>
  <si>
    <t>WGWF1</t>
  </si>
  <si>
    <t>SWGL1W</t>
  </si>
  <si>
    <t>SWGL</t>
  </si>
  <si>
    <t>SANG</t>
  </si>
  <si>
    <t>Bolivar WWT Plant</t>
  </si>
  <si>
    <t>SPGW1B</t>
  </si>
  <si>
    <t>SPGW</t>
  </si>
  <si>
    <t>SCND</t>
  </si>
  <si>
    <t>Cummins Lonsdale PS</t>
  </si>
  <si>
    <t>SMVE1</t>
  </si>
  <si>
    <t>SMVE</t>
  </si>
  <si>
    <t>Morphett Vale East 66 (Generation)</t>
  </si>
  <si>
    <t>SATGS1</t>
  </si>
  <si>
    <t>SMVG1L</t>
  </si>
  <si>
    <t>SMVG</t>
  </si>
  <si>
    <t>Para 66 (Generation)</t>
  </si>
  <si>
    <t>SATGN1</t>
  </si>
  <si>
    <t>SPAG1E</t>
  </si>
  <si>
    <t>SPAG</t>
  </si>
  <si>
    <t>Pt Stanvac PS</t>
  </si>
  <si>
    <t>SMVE3P</t>
  </si>
  <si>
    <t>Tatiara Meat Co</t>
  </si>
  <si>
    <t>SKET1E</t>
  </si>
  <si>
    <t>SKET</t>
  </si>
  <si>
    <t>Wingfield 1 LFG PS</t>
  </si>
  <si>
    <t>WINGF1_1</t>
  </si>
  <si>
    <t>SKLB1W</t>
  </si>
  <si>
    <t>SKLB</t>
  </si>
  <si>
    <t>Wingfield 2 LFG PS</t>
  </si>
  <si>
    <t>WINGF2_1</t>
  </si>
  <si>
    <t>SNBN2W</t>
  </si>
  <si>
    <t>SNBN</t>
  </si>
  <si>
    <t>Basslink (George Town)</t>
  </si>
  <si>
    <t>BLNKTAS</t>
  </si>
  <si>
    <t>TGT11</t>
  </si>
  <si>
    <t>TGT1</t>
  </si>
  <si>
    <t>Bastyan</t>
  </si>
  <si>
    <t>TFA1</t>
  </si>
  <si>
    <t>Bell Bay Generator No.3</t>
  </si>
  <si>
    <t>TBB1</t>
  </si>
  <si>
    <t>Bluff Point and Studland Bay Wind Farms</t>
  </si>
  <si>
    <t>TST1</t>
  </si>
  <si>
    <t>Butlers Gorge</t>
  </si>
  <si>
    <t>TBG1</t>
  </si>
  <si>
    <t>Catagunya</t>
  </si>
  <si>
    <t>TLI1</t>
  </si>
  <si>
    <t>Cethana</t>
  </si>
  <si>
    <t>TCE1</t>
  </si>
  <si>
    <t>Cluny</t>
  </si>
  <si>
    <t>TCL1</t>
  </si>
  <si>
    <t>Devils gate</t>
  </si>
  <si>
    <t>TDG1</t>
  </si>
  <si>
    <t>Fisher</t>
  </si>
  <si>
    <t>TFI1</t>
  </si>
  <si>
    <t>Gordon</t>
  </si>
  <si>
    <t>TGO1</t>
  </si>
  <si>
    <t>John Butters</t>
  </si>
  <si>
    <t>TJB1</t>
  </si>
  <si>
    <t>Lake Echo</t>
  </si>
  <si>
    <t>TLE1</t>
  </si>
  <si>
    <t>Lemonthyme</t>
  </si>
  <si>
    <t>TSH1</t>
  </si>
  <si>
    <t>Liapootah</t>
  </si>
  <si>
    <t>Mackintosh</t>
  </si>
  <si>
    <t>TMA1</t>
  </si>
  <si>
    <t>Meadowbank</t>
  </si>
  <si>
    <t>TMB1</t>
  </si>
  <si>
    <t>Musselroe</t>
  </si>
  <si>
    <t>TDE1</t>
  </si>
  <si>
    <t>Paloona</t>
  </si>
  <si>
    <t>TPA1</t>
  </si>
  <si>
    <t>Poatina</t>
  </si>
  <si>
    <t>TPM11</t>
  </si>
  <si>
    <t>TPM1</t>
  </si>
  <si>
    <t>TPM2</t>
  </si>
  <si>
    <t>Reece No.1</t>
  </si>
  <si>
    <t>TRCA</t>
  </si>
  <si>
    <t>Reece No.2</t>
  </si>
  <si>
    <t>TRCB</t>
  </si>
  <si>
    <t>Repulse</t>
  </si>
  <si>
    <t>Rowallan</t>
  </si>
  <si>
    <t>TTV1</t>
  </si>
  <si>
    <t>Tarraleah</t>
  </si>
  <si>
    <t>TTA1</t>
  </si>
  <si>
    <t>Trevallyn</t>
  </si>
  <si>
    <t>TTR1</t>
  </si>
  <si>
    <t>Tribute</t>
  </si>
  <si>
    <t>TTI1</t>
  </si>
  <si>
    <t>Tungatinah</t>
  </si>
  <si>
    <t>TTU1</t>
  </si>
  <si>
    <t>Wayatinah</t>
  </si>
  <si>
    <t>Wilmot</t>
  </si>
  <si>
    <t>Midlands PS</t>
  </si>
  <si>
    <t>TAV21M</t>
  </si>
  <si>
    <t>TAV2</t>
  </si>
  <si>
    <t>Remount</t>
  </si>
  <si>
    <t>TMY21</t>
  </si>
  <si>
    <t>TVN2</t>
  </si>
  <si>
    <t>ANGAST2</t>
  </si>
  <si>
    <t>mlf_19</t>
  </si>
  <si>
    <t>mlf_20</t>
  </si>
  <si>
    <t>Included In DB Less</t>
  </si>
  <si>
    <t>Need To Find</t>
  </si>
  <si>
    <t>Manual Exclude</t>
  </si>
  <si>
    <t>Daydream Solar Farm</t>
  </si>
  <si>
    <t>Participant</t>
  </si>
  <si>
    <t>Station Name</t>
  </si>
  <si>
    <t>Region</t>
  </si>
  <si>
    <t>Dispatch Type</t>
  </si>
  <si>
    <t>Category</t>
  </si>
  <si>
    <t>Classification</t>
  </si>
  <si>
    <t>Fuel Source - Primary</t>
  </si>
  <si>
    <t>Fuel Source - Descriptor</t>
  </si>
  <si>
    <t>Technology Type - Primary</t>
  </si>
  <si>
    <t>Technology Type - Descriptor</t>
  </si>
  <si>
    <t>Physical Unit No.</t>
  </si>
  <si>
    <t>Unit Size (MW)</t>
  </si>
  <si>
    <t>Aggregation</t>
  </si>
  <si>
    <t>Reg Cap (MW)</t>
  </si>
  <si>
    <t>Max Cap (MW)</t>
  </si>
  <si>
    <t>Max ROC/Min</t>
  </si>
  <si>
    <t>VIC1</t>
  </si>
  <si>
    <t>Fossil</t>
  </si>
  <si>
    <t>47</t>
  </si>
  <si>
    <t>Y</t>
  </si>
  <si>
    <t>4</t>
  </si>
  <si>
    <t>2</t>
  </si>
  <si>
    <t>TAS1</t>
  </si>
  <si>
    <t>35</t>
  </si>
  <si>
    <t>49</t>
  </si>
  <si>
    <t>10</t>
  </si>
  <si>
    <t>3</t>
  </si>
  <si>
    <t>58</t>
  </si>
  <si>
    <t>1-3</t>
  </si>
  <si>
    <t>2.05</t>
  </si>
  <si>
    <t>N</t>
  </si>
  <si>
    <t>6.15</t>
  </si>
  <si>
    <t>6</t>
  </si>
  <si>
    <t>0</t>
  </si>
  <si>
    <t>140.6</t>
  </si>
  <si>
    <t>208.6</t>
  </si>
  <si>
    <t>208</t>
  </si>
  <si>
    <t>9</t>
  </si>
  <si>
    <t>68</t>
  </si>
  <si>
    <t>Agl Kemps Creek</t>
  </si>
  <si>
    <t>NSW1</t>
  </si>
  <si>
    <t>Renewable/ Biomass / Waste</t>
  </si>
  <si>
    <t>Landfill Methane / Landfill Gas</t>
  </si>
  <si>
    <t>1-2</t>
  </si>
  <si>
    <t>0.5</t>
  </si>
  <si>
    <t>5.3</t>
  </si>
  <si>
    <t>12.85</t>
  </si>
  <si>
    <t>13</t>
  </si>
  <si>
    <t/>
  </si>
  <si>
    <t>2.25</t>
  </si>
  <si>
    <t>Bogong / Mackay Power Station</t>
  </si>
  <si>
    <t>26.7</t>
  </si>
  <si>
    <t>74</t>
  </si>
  <si>
    <t>308.2</t>
  </si>
  <si>
    <t>300</t>
  </si>
  <si>
    <t>60</t>
  </si>
  <si>
    <t>Photovoltaic Flat panel</t>
  </si>
  <si>
    <t>1-80</t>
  </si>
  <si>
    <t>0.672</t>
  </si>
  <si>
    <t>53.76</t>
  </si>
  <si>
    <t>53</t>
  </si>
  <si>
    <t>20</t>
  </si>
  <si>
    <t>19</t>
  </si>
  <si>
    <t>14.5</t>
  </si>
  <si>
    <t>29</t>
  </si>
  <si>
    <t>22.5</t>
  </si>
  <si>
    <t>23</t>
  </si>
  <si>
    <t>150</t>
  </si>
  <si>
    <t>185</t>
  </si>
  <si>
    <t>1b</t>
  </si>
  <si>
    <t>7.5</t>
  </si>
  <si>
    <t>2b</t>
  </si>
  <si>
    <t>5.5</t>
  </si>
  <si>
    <t>QLD1</t>
  </si>
  <si>
    <t>25</t>
  </si>
  <si>
    <t>1.064</t>
  </si>
  <si>
    <t>1-140</t>
  </si>
  <si>
    <t>420</t>
  </si>
  <si>
    <t>90</t>
  </si>
  <si>
    <t>1-8</t>
  </si>
  <si>
    <t>1.57</t>
  </si>
  <si>
    <t>12.56</t>
  </si>
  <si>
    <t>1-154</t>
  </si>
  <si>
    <t>0.663</t>
  </si>
  <si>
    <t>102.141</t>
  </si>
  <si>
    <t>102</t>
  </si>
  <si>
    <t>1-32</t>
  </si>
  <si>
    <t>2.1</t>
  </si>
  <si>
    <t>67</t>
  </si>
  <si>
    <t>63</t>
  </si>
  <si>
    <t>30</t>
  </si>
  <si>
    <t>6.7</t>
  </si>
  <si>
    <t>LRPS1</t>
  </si>
  <si>
    <t>RFPS1</t>
  </si>
  <si>
    <t>RPS1-2</t>
  </si>
  <si>
    <t>RYPS1</t>
  </si>
  <si>
    <t>1-4</t>
  </si>
  <si>
    <t>42.5</t>
  </si>
  <si>
    <t>170</t>
  </si>
  <si>
    <t>160</t>
  </si>
  <si>
    <t>174</t>
  </si>
  <si>
    <t>17</t>
  </si>
  <si>
    <t>82</t>
  </si>
  <si>
    <t>84</t>
  </si>
  <si>
    <t>15.5</t>
  </si>
  <si>
    <t>31</t>
  </si>
  <si>
    <t>34</t>
  </si>
  <si>
    <t>15</t>
  </si>
  <si>
    <t>Yarrawonga Hydro Power Station</t>
  </si>
  <si>
    <t>4.725</t>
  </si>
  <si>
    <t>560</t>
  </si>
  <si>
    <t>590</t>
  </si>
  <si>
    <t>118</t>
  </si>
  <si>
    <t>530</t>
  </si>
  <si>
    <t>535</t>
  </si>
  <si>
    <t>108</t>
  </si>
  <si>
    <t>580</t>
  </si>
  <si>
    <t>116</t>
  </si>
  <si>
    <t>660</t>
  </si>
  <si>
    <t>700</t>
  </si>
  <si>
    <t>140</t>
  </si>
  <si>
    <t>Hunter Valley Gas Turbine</t>
  </si>
  <si>
    <t>50</t>
  </si>
  <si>
    <t>550</t>
  </si>
  <si>
    <t>AGL PARF NSW Pty Ltd</t>
  </si>
  <si>
    <t>1-58</t>
  </si>
  <si>
    <t>3.43</t>
  </si>
  <si>
    <t>198.94</t>
  </si>
  <si>
    <t>198</t>
  </si>
  <si>
    <t>SA1</t>
  </si>
  <si>
    <t>1-45</t>
  </si>
  <si>
    <t>94.5</t>
  </si>
  <si>
    <t>95</t>
  </si>
  <si>
    <t>1-34</t>
  </si>
  <si>
    <t>71.4</t>
  </si>
  <si>
    <t>71</t>
  </si>
  <si>
    <t>1-63</t>
  </si>
  <si>
    <t>132.3</t>
  </si>
  <si>
    <t>1-25</t>
  </si>
  <si>
    <t>52.5</t>
  </si>
  <si>
    <t>Torrens Island Power Station</t>
  </si>
  <si>
    <t>Natural Gas / Fuel Oil</t>
  </si>
  <si>
    <t>120</t>
  </si>
  <si>
    <t>200</t>
  </si>
  <si>
    <t>210</t>
  </si>
  <si>
    <t>1-55</t>
  </si>
  <si>
    <t>1.65</t>
  </si>
  <si>
    <t>90.75</t>
  </si>
  <si>
    <t>91</t>
  </si>
  <si>
    <t>Alcoa Portland Aluminium Pty Ltd</t>
  </si>
  <si>
    <t>Portland</t>
  </si>
  <si>
    <t>Load</t>
  </si>
  <si>
    <t>450</t>
  </si>
  <si>
    <t>509</t>
  </si>
  <si>
    <t>1-52</t>
  </si>
  <si>
    <t>106.6</t>
  </si>
  <si>
    <t>106</t>
  </si>
  <si>
    <t>600</t>
  </si>
  <si>
    <t>Bannerton Solar Park</t>
  </si>
  <si>
    <t>Photovoltaic Tracking Flat panel</t>
  </si>
  <si>
    <t>1-40</t>
  </si>
  <si>
    <t>3.4</t>
  </si>
  <si>
    <t>6.8</t>
  </si>
  <si>
    <t>Ararat Wind Farm Pty Ltd</t>
  </si>
  <si>
    <t>1-31</t>
  </si>
  <si>
    <t>3.23</t>
  </si>
  <si>
    <t>241.59</t>
  </si>
  <si>
    <t>241</t>
  </si>
  <si>
    <t>32</t>
  </si>
  <si>
    <t>2.57</t>
  </si>
  <si>
    <t>33-75</t>
  </si>
  <si>
    <t>Arrow Energy Trading Pty Ltd</t>
  </si>
  <si>
    <t>1-11</t>
  </si>
  <si>
    <t>Arrow Southern Generation Pty Ltd And Arrow Braemar 2 Pty Ltd</t>
  </si>
  <si>
    <t>5</t>
  </si>
  <si>
    <t>173</t>
  </si>
  <si>
    <t>7</t>
  </si>
  <si>
    <t>Basslink Pty Ltd</t>
  </si>
  <si>
    <t>Basslink HVDC Link</t>
  </si>
  <si>
    <t>480</t>
  </si>
  <si>
    <t>478</t>
  </si>
  <si>
    <t>594</t>
  </si>
  <si>
    <t>1.7</t>
  </si>
  <si>
    <t>113.18</t>
  </si>
  <si>
    <t>113</t>
  </si>
  <si>
    <t>201</t>
  </si>
  <si>
    <t>59-67</t>
  </si>
  <si>
    <t>1.62</t>
  </si>
  <si>
    <t>Bodangora Wind Farm Pty Limited</t>
  </si>
  <si>
    <t>1-33</t>
  </si>
  <si>
    <t>Braemar Power Station</t>
  </si>
  <si>
    <t>168</t>
  </si>
  <si>
    <t>43</t>
  </si>
  <si>
    <t xml:space="preserve">Braemar Power Project Pty Ltd </t>
  </si>
  <si>
    <t>Collinsville Solar PV Power Station</t>
  </si>
  <si>
    <t>1-17</t>
  </si>
  <si>
    <t>CSPVPS</t>
  </si>
  <si>
    <t>Callide C Nett Off</t>
  </si>
  <si>
    <t>1-23</t>
  </si>
  <si>
    <t>46</t>
  </si>
  <si>
    <t>Cape Byron Management Pty Ltd</t>
  </si>
  <si>
    <t>Broadwater Power Station</t>
  </si>
  <si>
    <t>38</t>
  </si>
  <si>
    <t>8</t>
  </si>
  <si>
    <t>Condong Power Station</t>
  </si>
  <si>
    <t>Cathedral Rocks</t>
  </si>
  <si>
    <t xml:space="preserve">Childers Solar Pty Ltd as the Trustee for the Childers Solar Trust </t>
  </si>
  <si>
    <t>1-37</t>
  </si>
  <si>
    <t>Clare Solar Farm Pty Ltd</t>
  </si>
  <si>
    <t>1-69</t>
  </si>
  <si>
    <t>1.598</t>
  </si>
  <si>
    <t>110.262</t>
  </si>
  <si>
    <t>100</t>
  </si>
  <si>
    <t>12</t>
  </si>
  <si>
    <t>Coleambally Solar Pty Ltd</t>
  </si>
  <si>
    <t>Coleambally Solar Farm</t>
  </si>
  <si>
    <t>1-90</t>
  </si>
  <si>
    <t>Coonooer Bridge Wind Farm Pty Ltd</t>
  </si>
  <si>
    <t>19.8</t>
  </si>
  <si>
    <t xml:space="preserve">Crookwell Development Pty Ltd </t>
  </si>
  <si>
    <t>1-28</t>
  </si>
  <si>
    <t>Callide Power Station</t>
  </si>
  <si>
    <t>350</t>
  </si>
  <si>
    <t>385</t>
  </si>
  <si>
    <t>77</t>
  </si>
  <si>
    <t>280</t>
  </si>
  <si>
    <t>285</t>
  </si>
  <si>
    <t>57</t>
  </si>
  <si>
    <t>744</t>
  </si>
  <si>
    <t>781</t>
  </si>
  <si>
    <t>157</t>
  </si>
  <si>
    <t>240</t>
  </si>
  <si>
    <t>245</t>
  </si>
  <si>
    <t>Pump Storage</t>
  </si>
  <si>
    <t>250</t>
  </si>
  <si>
    <t>312</t>
  </si>
  <si>
    <t>Cullerin Range Wind Farm Pty Ltd</t>
  </si>
  <si>
    <t>1-15</t>
  </si>
  <si>
    <t xml:space="preserve">Darling Downs Solar Farm Pty Ltd </t>
  </si>
  <si>
    <t xml:space="preserve">Darling Downs Solar Farm, Units 1-44 </t>
  </si>
  <si>
    <t xml:space="preserve">Solar </t>
  </si>
  <si>
    <t>1-44</t>
  </si>
  <si>
    <t xml:space="preserve">Daydream Solar Farm Pty Ltd ATF the Daydream Solar Farm Trust </t>
  </si>
  <si>
    <t>1-29</t>
  </si>
  <si>
    <t>2.75</t>
  </si>
  <si>
    <t>30-61</t>
  </si>
  <si>
    <t>DAYDSF2</t>
  </si>
  <si>
    <t>680</t>
  </si>
  <si>
    <t>Diamond Energy Pty Ltd</t>
  </si>
  <si>
    <t>Baking Board Solar Farm</t>
  </si>
  <si>
    <t>1-7</t>
  </si>
  <si>
    <t>1-12</t>
  </si>
  <si>
    <t>Sewerage / Waste Water</t>
  </si>
  <si>
    <t>1.1</t>
  </si>
  <si>
    <t>Valdora Solar Farm</t>
  </si>
  <si>
    <t>Dubbo Solar Hub Pty Ltd</t>
  </si>
  <si>
    <t>1-6</t>
  </si>
  <si>
    <t>51</t>
  </si>
  <si>
    <t>65</t>
  </si>
  <si>
    <t>76</t>
  </si>
  <si>
    <t>510</t>
  </si>
  <si>
    <t>EDL (OCI) Pty Limited</t>
  </si>
  <si>
    <t>Glennies Creek Power Station</t>
  </si>
  <si>
    <t>Waste Coal Mine Gas</t>
  </si>
  <si>
    <t>1.065</t>
  </si>
  <si>
    <t>12.78</t>
  </si>
  <si>
    <t>1-5</t>
  </si>
  <si>
    <t>Oaky Creek Power Station</t>
  </si>
  <si>
    <t>1-14</t>
  </si>
  <si>
    <t>1.037</t>
  </si>
  <si>
    <t>15-16</t>
  </si>
  <si>
    <t>EDL (TT) Pty Limited</t>
  </si>
  <si>
    <t>Tahmoor Waste Coal Mine Gas Power Station</t>
  </si>
  <si>
    <t>1.006</t>
  </si>
  <si>
    <t>7.042</t>
  </si>
  <si>
    <t>1-2,4</t>
  </si>
  <si>
    <t>EDL CSM (QLD) Pty Ltd</t>
  </si>
  <si>
    <t>1-16</t>
  </si>
  <si>
    <t>1.979</t>
  </si>
  <si>
    <t>44.976</t>
  </si>
  <si>
    <t>45</t>
  </si>
  <si>
    <t>17-20</t>
  </si>
  <si>
    <t>3.328</t>
  </si>
  <si>
    <t>EDL Group Operations Pty Ltd</t>
  </si>
  <si>
    <t>Berwick Power Plant</t>
  </si>
  <si>
    <t>1.44</t>
  </si>
  <si>
    <t>7.2</t>
  </si>
  <si>
    <t>EDL LFG (NSW) Pty Ltd</t>
  </si>
  <si>
    <t>Eastern Creek LFG PS Units 1-4</t>
  </si>
  <si>
    <t>1.264</t>
  </si>
  <si>
    <t>5.056</t>
  </si>
  <si>
    <t>Grange Avenue Landfill Gas Power Station</t>
  </si>
  <si>
    <t>1.15</t>
  </si>
  <si>
    <t>2.3</t>
  </si>
  <si>
    <t>Lucas Heights 2 Power Station</t>
  </si>
  <si>
    <t>12-15</t>
  </si>
  <si>
    <t>4.6</t>
  </si>
  <si>
    <t>12.65</t>
  </si>
  <si>
    <t>EDL LFG (Qld) Pty Ltd</t>
  </si>
  <si>
    <t>EDL LFG (SA) Pty Ltd</t>
  </si>
  <si>
    <t>Wingfield 1 Landfill Gas Power Station</t>
  </si>
  <si>
    <t>1.03</t>
  </si>
  <si>
    <t>4.12</t>
  </si>
  <si>
    <t>Wingfield 2 Landfill Gas Power Station</t>
  </si>
  <si>
    <t>EDL LFG (Vic) Pty Ltd</t>
  </si>
  <si>
    <t>Brooklyn LFG U1-3</t>
  </si>
  <si>
    <t>2.83</t>
  </si>
  <si>
    <t>0.65</t>
  </si>
  <si>
    <t>1.05</t>
  </si>
  <si>
    <t>4.2</t>
  </si>
  <si>
    <t>EDL Projects (Australia) Pty Ltd</t>
  </si>
  <si>
    <t>3.041</t>
  </si>
  <si>
    <t>21.287</t>
  </si>
  <si>
    <t>21</t>
  </si>
  <si>
    <t>Grosvenor 2</t>
  </si>
  <si>
    <t>15.205</t>
  </si>
  <si>
    <t>Moranbah North Waste Coal Mine Gas Power Station</t>
  </si>
  <si>
    <t>1-21</t>
  </si>
  <si>
    <t>3.02</t>
  </si>
  <si>
    <t>63.42</t>
  </si>
  <si>
    <t>1.3</t>
  </si>
  <si>
    <t>18.2</t>
  </si>
  <si>
    <t>18</t>
  </si>
  <si>
    <t>1-20</t>
  </si>
  <si>
    <t>1.5</t>
  </si>
  <si>
    <t>Ballarat Battery Energy Storage System</t>
  </si>
  <si>
    <t>Battery storage</t>
  </si>
  <si>
    <t>Grid</t>
  </si>
  <si>
    <t>Storage</t>
  </si>
  <si>
    <t>Battery</t>
  </si>
  <si>
    <t>1.764</t>
  </si>
  <si>
    <t>Gannawarra Energy Storage System</t>
  </si>
  <si>
    <t>1-50</t>
  </si>
  <si>
    <t>0,6175</t>
  </si>
  <si>
    <t>0.77</t>
  </si>
  <si>
    <t>440</t>
  </si>
  <si>
    <t>Natural Gas / Diesel</t>
  </si>
  <si>
    <t>GT 1-2,GT 1-4</t>
  </si>
  <si>
    <t>14</t>
  </si>
  <si>
    <t>205.6</t>
  </si>
  <si>
    <t>44</t>
  </si>
  <si>
    <t>GT 2-1</t>
  </si>
  <si>
    <t>GT 2-2</t>
  </si>
  <si>
    <t>GT 2-3</t>
  </si>
  <si>
    <t>GT 2-4</t>
  </si>
  <si>
    <t>23.4</t>
  </si>
  <si>
    <t>GT 3-1</t>
  </si>
  <si>
    <t>GT 3-2</t>
  </si>
  <si>
    <t>15.3</t>
  </si>
  <si>
    <t>GT 3-3</t>
  </si>
  <si>
    <t>GT 3-4</t>
  </si>
  <si>
    <t>15.7</t>
  </si>
  <si>
    <t>GT 4-1</t>
  </si>
  <si>
    <t>15.1</t>
  </si>
  <si>
    <t>GT 4-2</t>
  </si>
  <si>
    <t>14.6</t>
  </si>
  <si>
    <t>Yallourn 'W' Power Station</t>
  </si>
  <si>
    <t>360</t>
  </si>
  <si>
    <t>395</t>
  </si>
  <si>
    <t>79</t>
  </si>
  <si>
    <t>380</t>
  </si>
  <si>
    <t>405</t>
  </si>
  <si>
    <t>81</t>
  </si>
  <si>
    <t>EnerNOC Pty Ltd</t>
  </si>
  <si>
    <t>Nine Network Willoughby Plant</t>
  </si>
  <si>
    <t>1.06</t>
  </si>
  <si>
    <t>3.2</t>
  </si>
  <si>
    <t>Tataria Bordertown Plant</t>
  </si>
  <si>
    <t>0.715</t>
  </si>
  <si>
    <t>0.275</t>
  </si>
  <si>
    <t>37</t>
  </si>
  <si>
    <t xml:space="preserve">Ergon Energy Queensland Pty Ltd </t>
  </si>
  <si>
    <t>1-74</t>
  </si>
  <si>
    <t>Mount Emerald Wind Farm</t>
  </si>
  <si>
    <t xml:space="preserve"> 1-37</t>
  </si>
  <si>
    <t xml:space="preserve"> 38-53</t>
  </si>
  <si>
    <t>141</t>
  </si>
  <si>
    <t>Gannawarra Solar Farm Pty Ltd</t>
  </si>
  <si>
    <t>1-22</t>
  </si>
  <si>
    <t>Genex (Solar) Pty Ltd</t>
  </si>
  <si>
    <t>Kidston Solar Project</t>
  </si>
  <si>
    <t>Greentricity Pty Ltd</t>
  </si>
  <si>
    <t>Dalrymple North Battery Energy Storage System</t>
  </si>
  <si>
    <t>Griffith Solar Farm Pty Ltd</t>
  </si>
  <si>
    <t>2.27</t>
  </si>
  <si>
    <t>27.2</t>
  </si>
  <si>
    <t>27</t>
  </si>
  <si>
    <t>Burrinjuck Hydro Power Station</t>
  </si>
  <si>
    <t>3-4</t>
  </si>
  <si>
    <t>5.7</t>
  </si>
  <si>
    <t>28</t>
  </si>
  <si>
    <t>15.4</t>
  </si>
  <si>
    <t>Hume (NSW) Hydro Power Station</t>
  </si>
  <si>
    <t>70</t>
  </si>
  <si>
    <t>Hume (Vic) Hydro Power Station</t>
  </si>
  <si>
    <t>Keepit Hydro Power Station</t>
  </si>
  <si>
    <t>46.5</t>
  </si>
  <si>
    <t>Hamilton Solar Farm Pty Ltd</t>
  </si>
  <si>
    <t>2.5</t>
  </si>
  <si>
    <t xml:space="preserve">Hayman Solar Farm Pty Ltd ATF the Hayman Solar Farm Trust </t>
  </si>
  <si>
    <t>Hornsdale Power Reserve Pty Ltd</t>
  </si>
  <si>
    <t>Hornsdale Power Reserve</t>
  </si>
  <si>
    <t>Battery and Inverter</t>
  </si>
  <si>
    <t>1-197</t>
  </si>
  <si>
    <t>0.52</t>
  </si>
  <si>
    <t>102.44</t>
  </si>
  <si>
    <t>0.406</t>
  </si>
  <si>
    <t>79.982</t>
  </si>
  <si>
    <t>80</t>
  </si>
  <si>
    <t>Hughenden Solar Pty Limited As Trustee For Hughenden Solar Trust</t>
  </si>
  <si>
    <t>1-18</t>
  </si>
  <si>
    <t>1.165</t>
  </si>
  <si>
    <t>20.97</t>
  </si>
  <si>
    <t>HWF1 Pty Ltd</t>
  </si>
  <si>
    <t>102.4</t>
  </si>
  <si>
    <t>HWF2 Pty Ltd</t>
  </si>
  <si>
    <t>Hornsdale Wind Farm 2</t>
  </si>
  <si>
    <t>HWF3 Pty Ltd</t>
  </si>
  <si>
    <t>Hornsdale Wind Farm 3</t>
  </si>
  <si>
    <t>1-35</t>
  </si>
  <si>
    <t>112</t>
  </si>
  <si>
    <t>109</t>
  </si>
  <si>
    <t>Hydro Power Pty Limited</t>
  </si>
  <si>
    <t>Brown Mountain Hydro Power Station</t>
  </si>
  <si>
    <t>8.2</t>
  </si>
  <si>
    <t>2-3</t>
  </si>
  <si>
    <t>0.75</t>
  </si>
  <si>
    <t>4-5</t>
  </si>
  <si>
    <t>79.9</t>
  </si>
  <si>
    <t>88</t>
  </si>
  <si>
    <t>40</t>
  </si>
  <si>
    <t>14.4</t>
  </si>
  <si>
    <t>C 1-2</t>
  </si>
  <si>
    <t>24</t>
  </si>
  <si>
    <t>170.1</t>
  </si>
  <si>
    <t>183</t>
  </si>
  <si>
    <t>L 1-3</t>
  </si>
  <si>
    <t>27.9</t>
  </si>
  <si>
    <t>W 1-3</t>
  </si>
  <si>
    <t>12.8</t>
  </si>
  <si>
    <t>85</t>
  </si>
  <si>
    <t>43.2</t>
  </si>
  <si>
    <t>144</t>
  </si>
  <si>
    <t>432</t>
  </si>
  <si>
    <t>180</t>
  </si>
  <si>
    <t>32.4</t>
  </si>
  <si>
    <t>Lemonthyme / Wilmot Power Station</t>
  </si>
  <si>
    <t>L 1</t>
  </si>
  <si>
    <t>81.6</t>
  </si>
  <si>
    <t>86</t>
  </si>
  <si>
    <t>W 1</t>
  </si>
  <si>
    <t>30.6</t>
  </si>
  <si>
    <t>89</t>
  </si>
  <si>
    <t>1 - 56</t>
  </si>
  <si>
    <t>124</t>
  </si>
  <si>
    <t>3-6</t>
  </si>
  <si>
    <t>248</t>
  </si>
  <si>
    <t>115.6</t>
  </si>
  <si>
    <t>119</t>
  </si>
  <si>
    <t>10.5</t>
  </si>
  <si>
    <t>94</t>
  </si>
  <si>
    <t>93</t>
  </si>
  <si>
    <t>103</t>
  </si>
  <si>
    <t>26.5</t>
  </si>
  <si>
    <t>82.8</t>
  </si>
  <si>
    <t>92</t>
  </si>
  <si>
    <t>1, 2 &amp; 5,3 &amp; 4</t>
  </si>
  <si>
    <t>125</t>
  </si>
  <si>
    <t>142</t>
  </si>
  <si>
    <t>75</t>
  </si>
  <si>
    <t>WBP 1-37</t>
  </si>
  <si>
    <t>1.75</t>
  </si>
  <si>
    <t>WSB 1-25</t>
  </si>
  <si>
    <t>Infigen Energy Holdings Pty Limited</t>
  </si>
  <si>
    <t>0.013</t>
  </si>
  <si>
    <t>0.205</t>
  </si>
  <si>
    <t>0.011</t>
  </si>
  <si>
    <t>0.168</t>
  </si>
  <si>
    <t>1-67</t>
  </si>
  <si>
    <t>Iraak Sun Farm Pty Ltd</t>
  </si>
  <si>
    <t>1-38</t>
  </si>
  <si>
    <t>2.368</t>
  </si>
  <si>
    <t>Kiata Wind Farm Pty Ltd</t>
  </si>
  <si>
    <t>1-9</t>
  </si>
  <si>
    <t>3.45</t>
  </si>
  <si>
    <t>31.05</t>
  </si>
  <si>
    <t>1-53</t>
  </si>
  <si>
    <t>159</t>
  </si>
  <si>
    <t>1-13</t>
  </si>
  <si>
    <t>39</t>
  </si>
  <si>
    <t>Lake Bonney Wind Farm Stage 1</t>
  </si>
  <si>
    <t>1-46</t>
  </si>
  <si>
    <t>80.5</t>
  </si>
  <si>
    <t>Landfill Operations Pty Ltd</t>
  </si>
  <si>
    <t>Melbourne Regional Landfill</t>
  </si>
  <si>
    <t>Lincoln Gap Wind Farm (Operations) Pty Ltd</t>
  </si>
  <si>
    <t>1-59</t>
  </si>
  <si>
    <t>LMS Energy Pty Ltd</t>
  </si>
  <si>
    <t>Eastern Creek 2 Gas Utilisation Facility</t>
  </si>
  <si>
    <t>1.123</t>
  </si>
  <si>
    <t>8.984</t>
  </si>
  <si>
    <t>Stapylton Renewable Energy Facility</t>
  </si>
  <si>
    <t>1.07</t>
  </si>
  <si>
    <t>0.765</t>
  </si>
  <si>
    <t>2.2</t>
  </si>
  <si>
    <t>Mackay Sugar Limited</t>
  </si>
  <si>
    <t>Racecourse Mill Power Station</t>
  </si>
  <si>
    <t>3.5</t>
  </si>
  <si>
    <t>48.5</t>
  </si>
  <si>
    <t>48</t>
  </si>
  <si>
    <t>Manildra Prop Pty Ltd as The Trustee for the Manildra Asset Trust</t>
  </si>
  <si>
    <t>Manildra solar Farm</t>
  </si>
  <si>
    <t>1-10</t>
  </si>
  <si>
    <t>11-20</t>
  </si>
  <si>
    <t>426</t>
  </si>
  <si>
    <t>435</t>
  </si>
  <si>
    <t>Moree Solar Farm Pty Ltd</t>
  </si>
  <si>
    <t>1-56</t>
  </si>
  <si>
    <t>1.019</t>
  </si>
  <si>
    <t>57.064</t>
  </si>
  <si>
    <t>56</t>
  </si>
  <si>
    <t>19.5</t>
  </si>
  <si>
    <t>Mt Gellibrand Wind Farm Pty Ltd</t>
  </si>
  <si>
    <t>Mt Gellibrand Wind Farm</t>
  </si>
  <si>
    <t xml:space="preserve"> 1-14</t>
  </si>
  <si>
    <t>400/200</t>
  </si>
  <si>
    <t xml:space="preserve"> 19-26</t>
  </si>
  <si>
    <t xml:space="preserve"> 15-18</t>
  </si>
  <si>
    <t xml:space="preserve"> 27-35</t>
  </si>
  <si>
    <t xml:space="preserve"> 38-40</t>
  </si>
  <si>
    <t xml:space="preserve"> 42-47</t>
  </si>
  <si>
    <t>1 &amp; 2</t>
  </si>
  <si>
    <t>4.1</t>
  </si>
  <si>
    <t>1-64</t>
  </si>
  <si>
    <t>131.2</t>
  </si>
  <si>
    <t>131</t>
  </si>
  <si>
    <t>Mugga Lane Solar Park Pty Ltd</t>
  </si>
  <si>
    <t>Solar Thermal</t>
  </si>
  <si>
    <t>165.5</t>
  </si>
  <si>
    <t>165</t>
  </si>
  <si>
    <t>18-73</t>
  </si>
  <si>
    <t>NovaPower Pty Ltd</t>
  </si>
  <si>
    <t>Traralgon Network Support Station</t>
  </si>
  <si>
    <t>643</t>
  </si>
  <si>
    <t>663</t>
  </si>
  <si>
    <t>121</t>
  </si>
  <si>
    <t>720</t>
  </si>
  <si>
    <t>750</t>
  </si>
  <si>
    <t>41.5</t>
  </si>
  <si>
    <t>Mortlake Power Station</t>
  </si>
  <si>
    <t>283</t>
  </si>
  <si>
    <t>292</t>
  </si>
  <si>
    <t>152</t>
  </si>
  <si>
    <t>139</t>
  </si>
  <si>
    <t>204</t>
  </si>
  <si>
    <t>41</t>
  </si>
  <si>
    <t>62</t>
  </si>
  <si>
    <t>128</t>
  </si>
  <si>
    <t>26</t>
  </si>
  <si>
    <t>4.4</t>
  </si>
  <si>
    <t>42</t>
  </si>
  <si>
    <t>Shoalhaven Power Station (Bendeela And Kangaroo Valley Power Station And Pumps)</t>
  </si>
  <si>
    <t>Uranquinty Power Station</t>
  </si>
  <si>
    <t>166</t>
  </si>
  <si>
    <t>1-27</t>
  </si>
  <si>
    <t xml:space="preserve">Pacific Hydro Crowlands Pty Ltd </t>
  </si>
  <si>
    <t>1-39</t>
  </si>
  <si>
    <t>Pacific Hydro Investments Pty Ltd</t>
  </si>
  <si>
    <t>4.5</t>
  </si>
  <si>
    <t>3.8</t>
  </si>
  <si>
    <t>William Hovell Power Station</t>
  </si>
  <si>
    <t>148</t>
  </si>
  <si>
    <t>Pacific Hydro Yaloak South Pty Ltd</t>
  </si>
  <si>
    <t>28.7</t>
  </si>
  <si>
    <t>172</t>
  </si>
  <si>
    <t>Parkes Solar Farm Pty Ltd</t>
  </si>
  <si>
    <t>2.295</t>
  </si>
  <si>
    <t>50.49</t>
  </si>
  <si>
    <t>1000</t>
  </si>
  <si>
    <t>158</t>
  </si>
  <si>
    <t>Pioneer Sugar Mills Pty Ltd</t>
  </si>
  <si>
    <t>Pioneer Sugar Mill</t>
  </si>
  <si>
    <t>30.86</t>
  </si>
  <si>
    <t>67.78</t>
  </si>
  <si>
    <t>36.92</t>
  </si>
  <si>
    <t>Progressive Green Pty Ltd</t>
  </si>
  <si>
    <t>South East Water - Halllam Hydro Plant</t>
  </si>
  <si>
    <t>0.25</t>
  </si>
  <si>
    <t>1-128</t>
  </si>
  <si>
    <t>192</t>
  </si>
  <si>
    <t>143</t>
  </si>
  <si>
    <t>Renewable Power Australia Limited</t>
  </si>
  <si>
    <t xml:space="preserve">Ross River Operations Pty Ltd as the Trustee for the Ross River Operations Trust </t>
  </si>
  <si>
    <t xml:space="preserve">Ross River Solar Farm, Units 1-64 </t>
  </si>
  <si>
    <t>Royalla Solar Farm Pty Limited</t>
  </si>
  <si>
    <t>154</t>
  </si>
  <si>
    <t>36</t>
  </si>
  <si>
    <t>SA Power Networks</t>
  </si>
  <si>
    <t>Temporary Generation North</t>
  </si>
  <si>
    <t>30.8</t>
  </si>
  <si>
    <t>Temporary Generation South</t>
  </si>
  <si>
    <t>123.2</t>
  </si>
  <si>
    <t>123</t>
  </si>
  <si>
    <t>Salt Creek Wind Farm Pty Ltd</t>
  </si>
  <si>
    <t>Santos NSW (Narrabri Power) Pty Ltd</t>
  </si>
  <si>
    <t>Wilga Park Power Station</t>
  </si>
  <si>
    <t>5 - 6</t>
  </si>
  <si>
    <t>Secure Energy Pty Ltd</t>
  </si>
  <si>
    <t>Snowtown Wind Farm Units 1 And 47</t>
  </si>
  <si>
    <t>1-47</t>
  </si>
  <si>
    <t>99</t>
  </si>
  <si>
    <t>1-42</t>
  </si>
  <si>
    <t>126</t>
  </si>
  <si>
    <t>1-48</t>
  </si>
  <si>
    <t>1.667</t>
  </si>
  <si>
    <t>181</t>
  </si>
  <si>
    <t xml:space="preserve">Jindabyne Pump At Guthega  </t>
  </si>
  <si>
    <t>Jindabyne Small Hydro Power Station</t>
  </si>
  <si>
    <t>156</t>
  </si>
  <si>
    <t>1.125</t>
  </si>
  <si>
    <t>Murray Power Station</t>
  </si>
  <si>
    <t>1502</t>
  </si>
  <si>
    <t>1575</t>
  </si>
  <si>
    <t>11-14</t>
  </si>
  <si>
    <t>138</t>
  </si>
  <si>
    <t>Pt Stanvac Power Station</t>
  </si>
  <si>
    <t>1-36</t>
  </si>
  <si>
    <t>1.6</t>
  </si>
  <si>
    <t>57.6</t>
  </si>
  <si>
    <t>1500</t>
  </si>
  <si>
    <t>1800</t>
  </si>
  <si>
    <t>Tumut 3 Pumps</t>
  </si>
  <si>
    <t>4-6</t>
  </si>
  <si>
    <t>Tumut Power Station</t>
  </si>
  <si>
    <t>616</t>
  </si>
  <si>
    <t>665</t>
  </si>
  <si>
    <t>320</t>
  </si>
  <si>
    <t>5-8</t>
  </si>
  <si>
    <t>72</t>
  </si>
  <si>
    <t>2-6</t>
  </si>
  <si>
    <t>5-6</t>
  </si>
  <si>
    <t>6-6</t>
  </si>
  <si>
    <t>South Australian Water Corporation</t>
  </si>
  <si>
    <t>1-1</t>
  </si>
  <si>
    <t>2.7</t>
  </si>
  <si>
    <t>9.9</t>
  </si>
  <si>
    <t>2.4</t>
  </si>
  <si>
    <t>Appin Power Plant</t>
  </si>
  <si>
    <t>1-54</t>
  </si>
  <si>
    <t>55.6</t>
  </si>
  <si>
    <t>55</t>
  </si>
  <si>
    <t>38.8</t>
  </si>
  <si>
    <t>50.3</t>
  </si>
  <si>
    <t>16</t>
  </si>
  <si>
    <t>365</t>
  </si>
  <si>
    <t>Swanbank B Power Station &amp; Swanbank E Gas Turbine</t>
  </si>
  <si>
    <t>443</t>
  </si>
  <si>
    <t>96</t>
  </si>
  <si>
    <t>41.2</t>
  </si>
  <si>
    <t>4.7</t>
  </si>
  <si>
    <t>34.5</t>
  </si>
  <si>
    <t>Sun Metals Corporation Pty Ltd</t>
  </si>
  <si>
    <t xml:space="preserve">Market </t>
  </si>
  <si>
    <t>1-72</t>
  </si>
  <si>
    <t>73-76</t>
  </si>
  <si>
    <t>Susan River Solar Pty Ltd as Trustee for Susan River Solar Trust</t>
  </si>
  <si>
    <t>1-49</t>
  </si>
  <si>
    <t>52</t>
  </si>
  <si>
    <t>105</t>
  </si>
  <si>
    <t>PL3</t>
  </si>
  <si>
    <t>23.5</t>
  </si>
  <si>
    <t>69</t>
  </si>
  <si>
    <t>1.8</t>
  </si>
  <si>
    <t>106.8</t>
  </si>
  <si>
    <t>22-42</t>
  </si>
  <si>
    <t>43-51</t>
  </si>
  <si>
    <t>Tasmanian Irrigation Pty Ltd</t>
  </si>
  <si>
    <t>6.078</t>
  </si>
  <si>
    <t>Telstra Energy (Generation) Pty Ltd</t>
  </si>
  <si>
    <t>Emerald Solar Park</t>
  </si>
  <si>
    <t>1-61</t>
  </si>
  <si>
    <t>The Trustee For The SWF1 Operations Trust</t>
  </si>
  <si>
    <t>1-75</t>
  </si>
  <si>
    <t>3.6</t>
  </si>
  <si>
    <t>270</t>
  </si>
  <si>
    <t>225</t>
  </si>
  <si>
    <t>Vena Energy Services (Australia) Pty Ltd</t>
  </si>
  <si>
    <t>Tailem Bend Solar Project 1, Units 1-54</t>
  </si>
  <si>
    <t>1.795</t>
  </si>
  <si>
    <t>Veolia Environmental Services (Australia) Pty Ltd</t>
  </si>
  <si>
    <t>Visy Power Generation Pty Ltd</t>
  </si>
  <si>
    <t>36.3</t>
  </si>
  <si>
    <t>170.9</t>
  </si>
  <si>
    <t>130.8</t>
  </si>
  <si>
    <t>130</t>
  </si>
  <si>
    <t>38-43</t>
  </si>
  <si>
    <t>3.3</t>
  </si>
  <si>
    <t xml:space="preserve">Wemen Asset Co Pty Ltd ATF Wemen Solar Unit Trust </t>
  </si>
  <si>
    <t xml:space="preserve">Wemen Solar Farm, Units 1-39 </t>
  </si>
  <si>
    <t>White Rock Wind Farm Pty Ltd</t>
  </si>
  <si>
    <t>1-70</t>
  </si>
  <si>
    <t>175</t>
  </si>
  <si>
    <t>Whitsunday Solar Farm Pty Ltd</t>
  </si>
  <si>
    <t xml:space="preserve">Willogoleche Power Pty Ltd as Trustee for the Willogoleche Operating Trust </t>
  </si>
  <si>
    <t>1-24</t>
  </si>
  <si>
    <t>3.83</t>
  </si>
  <si>
    <t>25-32</t>
  </si>
  <si>
    <t>Victoria Mill</t>
  </si>
  <si>
    <t>Windy Hill Wind Farm Pty Ltd</t>
  </si>
  <si>
    <t>0.6</t>
  </si>
  <si>
    <t>48.3</t>
  </si>
  <si>
    <t>In New List</t>
  </si>
  <si>
    <t>{"lat":-20.544129,"lng":147.805674}</t>
  </si>
  <si>
    <t>HUMEPS</t>
  </si>
  <si>
    <t>BNGSF</t>
  </si>
  <si>
    <t>Bungala Solar Farm</t>
  </si>
  <si>
    <t>Tailem Bend Solar Project 1</t>
  </si>
  <si>
    <t>{"lat": -34.207516,"lng": 150.772100}</t>
  </si>
  <si>
    <t>DAYDSF</t>
  </si>
  <si>
    <t>{"lat": -20.512923,"lng": 147.691921}</t>
  </si>
  <si>
    <t>{"lat": -20.512923,"lng": 147.691922}</t>
  </si>
  <si>
    <t>BAKING</t>
  </si>
  <si>
    <t>{"lat": -26.721397,"lng": 150.554094}</t>
  </si>
  <si>
    <t>BALBG</t>
  </si>
  <si>
    <t>{"lat": -37.567538,"lng": 143.921201}</t>
  </si>
  <si>
    <t>BANN</t>
  </si>
  <si>
    <t>{"lat": -34.726176,"lng": 142.851570}</t>
  </si>
  <si>
    <t>BODWF</t>
  </si>
  <si>
    <t>{"lat": -32.406634,"lng": 149.041485}</t>
  </si>
  <si>
    <t>{"lat": -32.419684,"lng": 137.841193}</t>
  </si>
  <si>
    <t>CHILDSF</t>
  </si>
  <si>
    <t>{"lat": -25.301200,"lng": 152.402510}</t>
  </si>
  <si>
    <t>CLARESF</t>
  </si>
  <si>
    <t>{"lat": -19.839401,"lng": 147.210343}</t>
  </si>
  <si>
    <t>COLEASF</t>
  </si>
  <si>
    <t>{"lat": -34.742829,"lng": 145.956148}</t>
  </si>
  <si>
    <t>CROOKWF</t>
  </si>
  <si>
    <t>{"lat": -34.540200,"lng": 149.600758}</t>
  </si>
  <si>
    <t>CROWLWF</t>
  </si>
  <si>
    <t>{"lat": -36.976071,"lng": 143.098123}</t>
  </si>
  <si>
    <t>DALNTH0</t>
  </si>
  <si>
    <t>{"lat": -34.935989,"lng": 137.744174}</t>
  </si>
  <si>
    <t>DDSF</t>
  </si>
  <si>
    <t>{"lat": -27.121155,"lng": 150.894629}</t>
  </si>
  <si>
    <t>EMERASF</t>
  </si>
  <si>
    <t>{"lat": -23.509057,"lng": 148.131635}</t>
  </si>
  <si>
    <t>GANNBG</t>
  </si>
  <si>
    <t>{"lat": -35.734820,"lng": 143.779625}</t>
  </si>
  <si>
    <t>GANNSF</t>
  </si>
  <si>
    <t>{"lat": -32.459867,"lng": 151.128591}</t>
  </si>
  <si>
    <t>GRIFSF</t>
  </si>
  <si>
    <t>{"lat": -34.317130,"lng": 146.120779}</t>
  </si>
  <si>
    <t>GROSV</t>
  </si>
  <si>
    <t>{"lat": -21.985173,"lng": 148.024662}</t>
  </si>
  <si>
    <t>GULLRSF</t>
  </si>
  <si>
    <t>{"lat": -34.605549,"lng": 149.462659}</t>
  </si>
  <si>
    <t>HAMISF</t>
  </si>
  <si>
    <t>{"lat": -20.502360,"lng": 147.769904}</t>
  </si>
  <si>
    <t>HAYMSF</t>
  </si>
  <si>
    <t>{"lat": -20.487493,"lng": 147.744787}</t>
  </si>
  <si>
    <t>HPRG</t>
  </si>
  <si>
    <t>HUGSF</t>
  </si>
  <si>
    <t>{"lat": -20.854757,"lng": 144.186222}</t>
  </si>
  <si>
    <t>KARSF</t>
  </si>
  <si>
    <t>{"lat": -34.416148,"lng": 142.252273}</t>
  </si>
  <si>
    <t>KIATAWF</t>
  </si>
  <si>
    <t>{"lat": -36.397761,"lng": 141.746755}</t>
  </si>
  <si>
    <t>KSP</t>
  </si>
  <si>
    <t>{"lat": -18.891371,"lng": 144.143011}</t>
  </si>
  <si>
    <t>LILYSF</t>
  </si>
  <si>
    <t>{"lat": -23.055050,"lng": 148.393772}</t>
  </si>
  <si>
    <t>LGAPWF</t>
  </si>
  <si>
    <t>{"lat": -32.588009,"lng": 137.555252}</t>
  </si>
  <si>
    <t>LRSF</t>
  </si>
  <si>
    <t>{"lat": -23.446814,"lng": 144.359333}</t>
  </si>
  <si>
    <t>MANSLR</t>
  </si>
  <si>
    <t>{"lat": -33.172669,"lng": 148.716763}</t>
  </si>
  <si>
    <t>MEWF</t>
  </si>
  <si>
    <t>{"lat": -17.133265,"lng": 145.380052}</t>
  </si>
  <si>
    <t>MTGELWF</t>
  </si>
  <si>
    <t>{"lat": -38.257581,"lng": 143.798665}</t>
  </si>
  <si>
    <t>MUWAWF</t>
  </si>
  <si>
    <t>{"lat": -36.427232,"lng": 142.324456}</t>
  </si>
  <si>
    <t>NASF</t>
  </si>
  <si>
    <t>{"lat": -32.218310,"lng": 148.254527}</t>
  </si>
  <si>
    <t>{"lat": -27.402397,"lng": 151.644736}</t>
  </si>
  <si>
    <t>{"lat": -23.063219,"lng": 148.470453}</t>
  </si>
  <si>
    <t>PARSF</t>
  </si>
  <si>
    <t>{"lat": -33.112859,"lng": 148.076408}</t>
  </si>
  <si>
    <t>RRSF</t>
  </si>
  <si>
    <t>{"lat": -19.411991,"lng": 146.722214}</t>
  </si>
  <si>
    <t>SALTCRK</t>
  </si>
  <si>
    <t>{"lat": -37.918652,"lng": 142.796028}</t>
  </si>
  <si>
    <t>SAPHWF</t>
  </si>
  <si>
    <t>{"lat": -29.710266,"lng": 151.447785}</t>
  </si>
  <si>
    <t>STWF</t>
  </si>
  <si>
    <t>{"lat": -31.860939,"lng": 141.296352}</t>
  </si>
  <si>
    <t>SKSF</t>
  </si>
  <si>
    <t>{"lat": -32.272779,"lng": 148.649830}</t>
  </si>
  <si>
    <t>SMCSF</t>
  </si>
  <si>
    <t>{"lat": -19.331186,"lng": 146.891431}</t>
  </si>
  <si>
    <t>VALDORA</t>
  </si>
  <si>
    <t>{"lat": -26.561170,"lng": 153.030479}</t>
  </si>
  <si>
    <t>SRSF</t>
  </si>
  <si>
    <t>{"lat": -25.418748,"lng": 152.741801}</t>
  </si>
  <si>
    <t>TBSF</t>
  </si>
  <si>
    <t>{"lat": -35.274957,"lng": 139.486790}</t>
  </si>
  <si>
    <t>{"lat": -34.218580,"lng": 150.823265}</t>
  </si>
  <si>
    <t>WEMENSF</t>
  </si>
  <si>
    <t>{"lat": -34.802541,"lng": 142.544403}</t>
  </si>
  <si>
    <t>WRSF</t>
  </si>
  <si>
    <t>{"lat": -29.763258,"lng": 151.552421}</t>
  </si>
  <si>
    <t>WRWF</t>
  </si>
  <si>
    <t>{"lat": -29.829174,"lng": 151.547601}</t>
  </si>
  <si>
    <t>WHITSF</t>
  </si>
  <si>
    <t>{"lat": -20.494884,"lng": 147.748103}</t>
  </si>
  <si>
    <t>WGWF</t>
  </si>
  <si>
    <t>{"lat": -33.393475,"lng": 138.848211}</t>
  </si>
  <si>
    <t>YSWF</t>
  </si>
  <si>
    <t>{"lat": -37.716455,"lng": 144.241942}</t>
  </si>
  <si>
    <t>2017-18 MLF</t>
  </si>
  <si>
    <t>2016-17 MLF</t>
  </si>
  <si>
    <t>Barron Gorge PS Unit 1</t>
  </si>
  <si>
    <t>Callide  PS Load</t>
  </si>
  <si>
    <t>Columboola - Condamine PS</t>
  </si>
  <si>
    <t>Grosvenor PS</t>
  </si>
  <si>
    <t>--</t>
  </si>
  <si>
    <t>Grosvenor PS No2</t>
  </si>
  <si>
    <t>Staplyton</t>
  </si>
  <si>
    <t>Barcaldine PS - Lilyvale</t>
  </si>
  <si>
    <t>Barcaldine Solar - Lilyvale</t>
  </si>
  <si>
    <t>Grosvenor PS At Moranbah 66</t>
  </si>
  <si>
    <t>Moranbah Gen</t>
  </si>
  <si>
    <t>Racecourse Mill PS 1 - 3</t>
  </si>
  <si>
    <t>Roma PS Unit 7 - Columboola</t>
  </si>
  <si>
    <t>Roma PS Unit 8 - Columboola</t>
  </si>
  <si>
    <t>Windy Hill WF</t>
  </si>
  <si>
    <t>Gullen Range Solar</t>
  </si>
  <si>
    <t>Hume (NSW Share)</t>
  </si>
  <si>
    <t>Kangaroo Valley – Bendeela (Shoalhaven) Generation - dual MLF</t>
  </si>
  <si>
    <t>Kangaroo Valley (Shoalhaven)  Pumps - dual MLF</t>
  </si>
  <si>
    <t>Lower Tumut Generation - dual MLF</t>
  </si>
  <si>
    <t>Lower Tumut Pumps - dual MLF</t>
  </si>
  <si>
    <t>Smithfield Energy Facility (Sithe)</t>
  </si>
  <si>
    <t>Appin PS</t>
  </si>
  <si>
    <t>Bankstown Sport Club</t>
  </si>
  <si>
    <t>NSYS3R</t>
  </si>
  <si>
    <t>The Drop PS</t>
  </si>
  <si>
    <t>ACA1</t>
  </si>
  <si>
    <t>Mugga Lane Solar Farm (at Gilmore)</t>
  </si>
  <si>
    <t>Royalla Solar Farm (at Theodore)</t>
  </si>
  <si>
    <t>Ararat WF</t>
  </si>
  <si>
    <t>Basslink (Loy Yang PS Switchyard) Tasmania to Victoria</t>
  </si>
  <si>
    <t>Hazelwood PS Load</t>
  </si>
  <si>
    <t>HWPNL1</t>
  </si>
  <si>
    <t>VHWPL</t>
  </si>
  <si>
    <t>VHWP</t>
  </si>
  <si>
    <t>Kiata Wind farm</t>
  </si>
  <si>
    <t>Bairnsdale PS Generator Unit 2</t>
  </si>
  <si>
    <t>Broadmeadows Power Plant</t>
  </si>
  <si>
    <t>Coonooer Bridge WF</t>
  </si>
  <si>
    <t>Hepburn Community WF</t>
  </si>
  <si>
    <t>Mornington Landfill Site Generator</t>
  </si>
  <si>
    <t>VTBT1</t>
  </si>
  <si>
    <t>VTBT</t>
  </si>
  <si>
    <t>William Horvell Hydro PS</t>
  </si>
  <si>
    <t>VWO6</t>
  </si>
  <si>
    <t>Wyndham Landfill Site Generator</t>
  </si>
  <si>
    <t>VATS1</t>
  </si>
  <si>
    <t>VATS</t>
  </si>
  <si>
    <t>Hallett 2 WF</t>
  </si>
  <si>
    <t>Snowtown WF Stage 2 - North</t>
  </si>
  <si>
    <t>Snowtown WF Stage 2 - South</t>
  </si>
  <si>
    <t>The Bluff wind Farm</t>
  </si>
  <si>
    <t>Amcor Glass UN 1</t>
  </si>
  <si>
    <t>AMCORGR</t>
  </si>
  <si>
    <t>SRSW1E</t>
  </si>
  <si>
    <t>SRSW</t>
  </si>
  <si>
    <t>Blue Lake Milling</t>
  </si>
  <si>
    <t>SKET2B</t>
  </si>
  <si>
    <t>Bolivar WWT Plant (NEW)</t>
  </si>
  <si>
    <t>Pedler Creek Landfill Gas PS</t>
  </si>
  <si>
    <t>SMVE5C</t>
  </si>
  <si>
    <t>Terminal Storage Mini-Hydro</t>
  </si>
  <si>
    <t>SNFD1</t>
  </si>
  <si>
    <t>SNFD</t>
  </si>
  <si>
    <t>Edinburgh Generation (at Para 66)</t>
  </si>
  <si>
    <t>Lonsdale Generation (at Morphett Vale East 66)</t>
  </si>
  <si>
    <t>Bell Bay No.3</t>
  </si>
  <si>
    <t>mlf_17</t>
  </si>
  <si>
    <t>mlf_18</t>
  </si>
  <si>
    <t xml:space="preserve">Barron Gorge PS Unit 1 </t>
  </si>
  <si>
    <t xml:space="preserve">Condamine PS </t>
  </si>
  <si>
    <t xml:space="preserve">Millmerran PS Unit 1 (Millmerran) </t>
  </si>
  <si>
    <t xml:space="preserve">Millmerran PS Unit 2 (Millmerran) </t>
  </si>
  <si>
    <t>FY16 MLF</t>
  </si>
  <si>
    <t>FY15 MLF</t>
  </si>
  <si>
    <t xml:space="preserve">Barcaldine PS - Lilyvale </t>
  </si>
  <si>
    <t xml:space="preserve">Moranbah Gen </t>
  </si>
  <si>
    <t xml:space="preserve">Oakey Creek Generator </t>
  </si>
  <si>
    <t xml:space="preserve">Roma PS Unit 7 - Columboola </t>
  </si>
  <si>
    <t xml:space="preserve">Roma PS Unit 8 - Columboola </t>
  </si>
  <si>
    <t xml:space="preserve">QPWD1 </t>
  </si>
  <si>
    <t xml:space="preserve">Suncoast Gold Macadamias CoGen (Palmwoods) </t>
  </si>
  <si>
    <t xml:space="preserve">Windy Hill WF </t>
  </si>
  <si>
    <t xml:space="preserve">Hume (NSW Share) </t>
  </si>
  <si>
    <t xml:space="preserve">NSHNL </t>
  </si>
  <si>
    <t xml:space="preserve">Kangaroo Valley – Bendeela (Shoalhaven) Generation - dual MLF </t>
  </si>
  <si>
    <t xml:space="preserve">Kangaroo Valley (Shoalhaven) Pumps - dual MLF </t>
  </si>
  <si>
    <t xml:space="preserve">Lower Tumut Generation - dual MLF </t>
  </si>
  <si>
    <t xml:space="preserve">Lower Tumut Pumps - dual MLF </t>
  </si>
  <si>
    <t xml:space="preserve">NMN1 </t>
  </si>
  <si>
    <t xml:space="preserve">NMNPL </t>
  </si>
  <si>
    <t xml:space="preserve">Munmorah 330 Load </t>
  </si>
  <si>
    <t xml:space="preserve">NMR1 </t>
  </si>
  <si>
    <t xml:space="preserve">772 Upper Tumut </t>
  </si>
  <si>
    <t xml:space="preserve">NSYS3R </t>
  </si>
  <si>
    <t xml:space="preserve">Bankstown Sport Club </t>
  </si>
  <si>
    <t xml:space="preserve">Boco Rock Wind Farm 132 BOCORWF1 NCMA3B NBCO 0.9602 Broadwater PS </t>
  </si>
  <si>
    <t xml:space="preserve">NSW1NSW2 </t>
  </si>
  <si>
    <t xml:space="preserve">NKU3 </t>
  </si>
  <si>
    <t xml:space="preserve">NKU31H </t>
  </si>
  <si>
    <t xml:space="preserve">HEZ PS </t>
  </si>
  <si>
    <t xml:space="preserve">Lucas Heights Stage 2 PS </t>
  </si>
  <si>
    <t xml:space="preserve">NRED </t>
  </si>
  <si>
    <t xml:space="preserve">NMRK1 </t>
  </si>
  <si>
    <t xml:space="preserve">Redbank PS Unit 1 </t>
  </si>
  <si>
    <t xml:space="preserve">Sithe </t>
  </si>
  <si>
    <t xml:space="preserve">Teralba PS </t>
  </si>
  <si>
    <t xml:space="preserve">The Drop PS – Dual MLF associated to Finley (NFNY) - Load </t>
  </si>
  <si>
    <t xml:space="preserve">The Drop PS – Dual MLF associated to Finley (NFNY) - Generation </t>
  </si>
  <si>
    <t xml:space="preserve">Woodlawn Bioreactor 132 WDLNGN01 NMR21W NMR2 0.98369844 0.9772 Woy Woy Landfill </t>
  </si>
  <si>
    <t xml:space="preserve">ACA1 </t>
  </si>
  <si>
    <t xml:space="preserve">VPTH </t>
  </si>
  <si>
    <t xml:space="preserve">VAPS </t>
  </si>
  <si>
    <t xml:space="preserve">Anglesea PS </t>
  </si>
  <si>
    <t xml:space="preserve">Basslink (Loy Yang PS Switchyard) Tasmania to Victoria </t>
  </si>
  <si>
    <t xml:space="preserve">VHWP </t>
  </si>
  <si>
    <t xml:space="preserve">VHWPL </t>
  </si>
  <si>
    <t xml:space="preserve">Hazelwood PS Load </t>
  </si>
  <si>
    <t xml:space="preserve">VHWP1 </t>
  </si>
  <si>
    <t xml:space="preserve">Hazelwood PS Unit 1 </t>
  </si>
  <si>
    <t xml:space="preserve">VHWP2 </t>
  </si>
  <si>
    <t xml:space="preserve">Hazelwood PS Unit 2 </t>
  </si>
  <si>
    <t xml:space="preserve">VHWP3 </t>
  </si>
  <si>
    <t xml:space="preserve">Hazelwood PS Unit 3 </t>
  </si>
  <si>
    <t xml:space="preserve">VHWP4 </t>
  </si>
  <si>
    <t xml:space="preserve">Hazelwood PS Unit 4 </t>
  </si>
  <si>
    <t xml:space="preserve">VHWP5 </t>
  </si>
  <si>
    <t xml:space="preserve">Hazelwood PS Unit 5 </t>
  </si>
  <si>
    <t xml:space="preserve">VHWP6 </t>
  </si>
  <si>
    <t xml:space="preserve">Hazelwood PS Unit 6 </t>
  </si>
  <si>
    <t xml:space="preserve">VHWP7 </t>
  </si>
  <si>
    <t xml:space="preserve">Hazelwood PS Unit 7 </t>
  </si>
  <si>
    <t xml:space="preserve">VHWP8 </t>
  </si>
  <si>
    <t xml:space="preserve">Hazelwood PS Unit 8 </t>
  </si>
  <si>
    <t xml:space="preserve">VMWG </t>
  </si>
  <si>
    <t xml:space="preserve">VMWT1 </t>
  </si>
  <si>
    <t xml:space="preserve">Morwell PS G1, 2 and 3 </t>
  </si>
  <si>
    <t xml:space="preserve">VMWP </t>
  </si>
  <si>
    <t xml:space="preserve">VMWP4 </t>
  </si>
  <si>
    <t xml:space="preserve">Morwell PS G4 </t>
  </si>
  <si>
    <t xml:space="preserve">VMWP5 </t>
  </si>
  <si>
    <t xml:space="preserve">Morwell PS G5 </t>
  </si>
  <si>
    <t xml:space="preserve">VMWTL </t>
  </si>
  <si>
    <t xml:space="preserve">Morwell PS Load </t>
  </si>
  <si>
    <t xml:space="preserve">Valley Power PSUnit 1 </t>
  </si>
  <si>
    <t xml:space="preserve">Bairnsdale PS </t>
  </si>
  <si>
    <t xml:space="preserve">Bairnsdale PS Generator Unit 2 </t>
  </si>
  <si>
    <t xml:space="preserve">Balds Hill WF (NEW) </t>
  </si>
  <si>
    <t xml:space="preserve">Ballarat Health Services </t>
  </si>
  <si>
    <t xml:space="preserve">Clayton Landfill Gas PS </t>
  </si>
  <si>
    <t xml:space="preserve">Hepburn Community WF </t>
  </si>
  <si>
    <t xml:space="preserve">VTBT </t>
  </si>
  <si>
    <t xml:space="preserve">VTBT1 </t>
  </si>
  <si>
    <t xml:space="preserve">Mornington Landfill Site Generator </t>
  </si>
  <si>
    <t xml:space="preserve">Somerton PS </t>
  </si>
  <si>
    <t xml:space="preserve">VWO6 </t>
  </si>
  <si>
    <t xml:space="preserve">William Horvell Hydro PS </t>
  </si>
  <si>
    <t xml:space="preserve">VATS </t>
  </si>
  <si>
    <t xml:space="preserve">VATS1 </t>
  </si>
  <si>
    <t xml:space="preserve">Wyndham Landfill Site Generator </t>
  </si>
  <si>
    <t xml:space="preserve">Yarawonga Hydro PS </t>
  </si>
  <si>
    <t xml:space="preserve">Hallet 2 WF </t>
  </si>
  <si>
    <t xml:space="preserve">Hallet PS </t>
  </si>
  <si>
    <t xml:space="preserve">Hallet WF </t>
  </si>
  <si>
    <t xml:space="preserve">SLCC </t>
  </si>
  <si>
    <t xml:space="preserve">SLCCL </t>
  </si>
  <si>
    <t xml:space="preserve">Leigh Creek Northern PS Load 2 </t>
  </si>
  <si>
    <t xml:space="preserve">SNPS </t>
  </si>
  <si>
    <t xml:space="preserve">SNPA1 </t>
  </si>
  <si>
    <t xml:space="preserve">Northern PS Unit 1 </t>
  </si>
  <si>
    <t xml:space="preserve">SNPA2 </t>
  </si>
  <si>
    <t xml:space="preserve">Northern PS Unit 2 </t>
  </si>
  <si>
    <t xml:space="preserve">SPAA </t>
  </si>
  <si>
    <t xml:space="preserve">SPAAL </t>
  </si>
  <si>
    <t xml:space="preserve">Playford Northern PS Load 1 </t>
  </si>
  <si>
    <t xml:space="preserve">SPPS </t>
  </si>
  <si>
    <t xml:space="preserve">SPSD1 </t>
  </si>
  <si>
    <t xml:space="preserve">Playford PS </t>
  </si>
  <si>
    <t xml:space="preserve">Snowtown WF Stage 2 - North </t>
  </si>
  <si>
    <t xml:space="preserve">Snowtown WF Stage 2 - South </t>
  </si>
  <si>
    <t xml:space="preserve">The Bluff wind Farm </t>
  </si>
  <si>
    <t xml:space="preserve">SRSW </t>
  </si>
  <si>
    <t xml:space="preserve">SRSW1E </t>
  </si>
  <si>
    <t xml:space="preserve">Amcor Glass UN 1 </t>
  </si>
  <si>
    <t xml:space="preserve">Angaston PS </t>
  </si>
  <si>
    <t xml:space="preserve">SDRN2 </t>
  </si>
  <si>
    <t xml:space="preserve">SKET2B </t>
  </si>
  <si>
    <t xml:space="preserve">Blue Lake Milling </t>
  </si>
  <si>
    <t xml:space="preserve">Bolivar WWT Plant (NEW) </t>
  </si>
  <si>
    <t xml:space="preserve">Canunda Wind Farm 33 CNUNDAWF SSNN1 SCND 0.9432 Cummins Lonsdale PS </t>
  </si>
  <si>
    <t xml:space="preserve">SNFD </t>
  </si>
  <si>
    <t xml:space="preserve">SNFD2H </t>
  </si>
  <si>
    <t xml:space="preserve">Highbury LFG PS </t>
  </si>
  <si>
    <t xml:space="preserve">SMVE5C </t>
  </si>
  <si>
    <t xml:space="preserve">Pedler Creek Landfill Gas PS </t>
  </si>
  <si>
    <t xml:space="preserve">Pt Stanvac Unit 1 </t>
  </si>
  <si>
    <t xml:space="preserve">SMVE4P </t>
  </si>
  <si>
    <t xml:space="preserve">Pt Stanvac Unit 2 </t>
  </si>
  <si>
    <t xml:space="preserve">SNFD2T </t>
  </si>
  <si>
    <t xml:space="preserve">Tea Tree Gully LFG PS </t>
  </si>
  <si>
    <t xml:space="preserve">SNFD1 </t>
  </si>
  <si>
    <t xml:space="preserve">Terminal Storage Mini-Hydro </t>
  </si>
  <si>
    <t xml:space="preserve">Bell Bay No.3 </t>
  </si>
  <si>
    <t>mlf_15</t>
  </si>
  <si>
    <t>mlf_16</t>
  </si>
  <si>
    <t>MMNL1</t>
  </si>
  <si>
    <t>HEZ</t>
  </si>
  <si>
    <t>LAVNORTHLNGS1</t>
  </si>
  <si>
    <t>MORNL1</t>
  </si>
  <si>
    <t>NPSNL2</t>
  </si>
  <si>
    <t>NPSNL1</t>
  </si>
  <si>
    <t>HIGHBRY1</t>
  </si>
  <si>
    <t>STANV1</t>
  </si>
  <si>
    <t>STANV2</t>
  </si>
  <si>
    <t>TEATREE1</t>
  </si>
  <si>
    <t xml:space="preserve">QCVP </t>
  </si>
  <si>
    <t xml:space="preserve">QCLX </t>
  </si>
  <si>
    <t xml:space="preserve">Collinsville PS </t>
  </si>
  <si>
    <t xml:space="preserve">Condamine PS UN 1 </t>
  </si>
  <si>
    <t xml:space="preserve">Darling Downs PS UN 1 </t>
  </si>
  <si>
    <t xml:space="preserve">Millmerran Energy Trader Unit 1 </t>
  </si>
  <si>
    <t xml:space="preserve">Millmerran Energy Trader Unit 2 </t>
  </si>
  <si>
    <t xml:space="preserve">Oakey PS 1 </t>
  </si>
  <si>
    <t xml:space="preserve">Oakey PS 2 </t>
  </si>
  <si>
    <t xml:space="preserve">QSWB </t>
  </si>
  <si>
    <t xml:space="preserve">QSWB1 </t>
  </si>
  <si>
    <t xml:space="preserve">Swanbank B PS Unit 1 </t>
  </si>
  <si>
    <t xml:space="preserve">QSWB3 </t>
  </si>
  <si>
    <t xml:space="preserve">Swanbank B PS Unit 3 </t>
  </si>
  <si>
    <t xml:space="preserve">QSW1 </t>
  </si>
  <si>
    <t xml:space="preserve">Swanbank PS Load </t>
  </si>
  <si>
    <t xml:space="preserve">Wivenhoe Generation 1 </t>
  </si>
  <si>
    <t xml:space="preserve">Wivenhoe Generation 2 </t>
  </si>
  <si>
    <t xml:space="preserve">Yabulu PS (Townsville) </t>
  </si>
  <si>
    <t xml:space="preserve">Yarwun Generator </t>
  </si>
  <si>
    <t xml:space="preserve">Barcaldine PS </t>
  </si>
  <si>
    <t xml:space="preserve">Oaky Creek PS </t>
  </si>
  <si>
    <t xml:space="preserve">Rocky Point Gen </t>
  </si>
  <si>
    <t xml:space="preserve">Roma PS Unit 7 </t>
  </si>
  <si>
    <t xml:space="preserve">Roma PS Unit 8 </t>
  </si>
  <si>
    <t xml:space="preserve">Suncoast Gold Macadamias Cogeneration Plant </t>
  </si>
  <si>
    <t xml:space="preserve">Ti Tree Bioreactor </t>
  </si>
  <si>
    <t xml:space="preserve">QSBK </t>
  </si>
  <si>
    <t xml:space="preserve">Windy Hill Turkinje </t>
  </si>
  <si>
    <t xml:space="preserve">Bayswater Unit 1 </t>
  </si>
  <si>
    <t xml:space="preserve">Bayswater Unit 2 </t>
  </si>
  <si>
    <t xml:space="preserve">Bayswater Unit 3 </t>
  </si>
  <si>
    <t xml:space="preserve">Bayswater Unit 4 </t>
  </si>
  <si>
    <t xml:space="preserve">NBLW1 </t>
  </si>
  <si>
    <t xml:space="preserve">Burrinjuck PS </t>
  </si>
  <si>
    <t xml:space="preserve">Capital WF </t>
  </si>
  <si>
    <t xml:space="preserve">Colongra PS UN 1 </t>
  </si>
  <si>
    <t xml:space="preserve">Colongra PS UN 2 </t>
  </si>
  <si>
    <t xml:space="preserve">Colongra PS UN 3 </t>
  </si>
  <si>
    <t xml:space="preserve">Colongra PS UN 4 </t>
  </si>
  <si>
    <t xml:space="preserve">Cullerin Range WF </t>
  </si>
  <si>
    <t xml:space="preserve">Eraring Unit 1 </t>
  </si>
  <si>
    <t xml:space="preserve">Eraring Unit 2 </t>
  </si>
  <si>
    <t xml:space="preserve">Eraring Unit 3 </t>
  </si>
  <si>
    <t xml:space="preserve">Eraring Unit 4 </t>
  </si>
  <si>
    <t xml:space="preserve">Gunning WF </t>
  </si>
  <si>
    <t xml:space="preserve">NGUT2 </t>
  </si>
  <si>
    <t xml:space="preserve">Guthega Ancillary Services 2 </t>
  </si>
  <si>
    <t xml:space="preserve">Kangaroo Valley - Bendeela (Shoalhaven) </t>
  </si>
  <si>
    <t xml:space="preserve">Kangaroo Valley (Shoalhaven) Pumps </t>
  </si>
  <si>
    <t xml:space="preserve">Liddell Load </t>
  </si>
  <si>
    <t xml:space="preserve">Liddell Unit 1 </t>
  </si>
  <si>
    <t xml:space="preserve">Liddell Unit 2 </t>
  </si>
  <si>
    <t xml:space="preserve">Liddell Unit 3 </t>
  </si>
  <si>
    <t xml:space="preserve">Liddell Unit 4 </t>
  </si>
  <si>
    <t xml:space="preserve">Lower Tumut </t>
  </si>
  <si>
    <t xml:space="preserve">Lower Tumut Pumps </t>
  </si>
  <si>
    <t xml:space="preserve">Munmorah Load </t>
  </si>
  <si>
    <t xml:space="preserve">NMNP3 </t>
  </si>
  <si>
    <t xml:space="preserve">Munmorah Unit 3 </t>
  </si>
  <si>
    <t xml:space="preserve">NMNP4 </t>
  </si>
  <si>
    <t xml:space="preserve">Munmorah Unit 4 </t>
  </si>
  <si>
    <t xml:space="preserve">NTMG </t>
  </si>
  <si>
    <t xml:space="preserve">NTMG1 </t>
  </si>
  <si>
    <t xml:space="preserve">NTMG2 </t>
  </si>
  <si>
    <t xml:space="preserve">NTMG3 </t>
  </si>
  <si>
    <t xml:space="preserve">Uranquinty PS UN 11 </t>
  </si>
  <si>
    <t xml:space="preserve">Uranquinty PS UN 12 </t>
  </si>
  <si>
    <t xml:space="preserve">Uranquinty PS UN 13 </t>
  </si>
  <si>
    <t xml:space="preserve">Uranquinty PS UN 14 </t>
  </si>
  <si>
    <t xml:space="preserve">Vales Point Load </t>
  </si>
  <si>
    <t xml:space="preserve">Vales Point Unit 5 </t>
  </si>
  <si>
    <t xml:space="preserve">Vales Point Unit 6 </t>
  </si>
  <si>
    <t xml:space="preserve">NWWP </t>
  </si>
  <si>
    <t xml:space="preserve">NWW27 </t>
  </si>
  <si>
    <t xml:space="preserve">Wallerawang Unit 7 </t>
  </si>
  <si>
    <t xml:space="preserve">NWW28 </t>
  </si>
  <si>
    <t xml:space="preserve">Wallerawang Unit 8 </t>
  </si>
  <si>
    <t xml:space="preserve">Woodlawn WF </t>
  </si>
  <si>
    <t xml:space="preserve">Broadwater Co Gen </t>
  </si>
  <si>
    <t xml:space="preserve">Brown Mountain generator </t>
  </si>
  <si>
    <t xml:space="preserve">Eraring BS UN (GT) </t>
  </si>
  <si>
    <t xml:space="preserve">Glenn Innes (Pindari HPS) </t>
  </si>
  <si>
    <t xml:space="preserve">Grange Ave </t>
  </si>
  <si>
    <t xml:space="preserve">Hez PS </t>
  </si>
  <si>
    <t xml:space="preserve">Keepit PS </t>
  </si>
  <si>
    <t xml:space="preserve">Liddell - Hunter Valley GTs </t>
  </si>
  <si>
    <t xml:space="preserve">Liverpool (Jacks Gully) </t>
  </si>
  <si>
    <t xml:space="preserve">Smithfield Energy Facility (Sithe) </t>
  </si>
  <si>
    <t xml:space="preserve">Basslink (Loy Yang Power Station Switchyard) Victoria to Tasmania </t>
  </si>
  <si>
    <t xml:space="preserve">Bogong &amp; McKay Creek PS </t>
  </si>
  <si>
    <t xml:space="preserve">Eildon PS 1 </t>
  </si>
  <si>
    <t xml:space="preserve">Eildon PS 2 </t>
  </si>
  <si>
    <t xml:space="preserve">Guthega - Jindabyne Pump </t>
  </si>
  <si>
    <t xml:space="preserve">VAT21 </t>
  </si>
  <si>
    <t xml:space="preserve">Laverton PS </t>
  </si>
  <si>
    <t xml:space="preserve">Macarthur WF </t>
  </si>
  <si>
    <t xml:space="preserve">Mortlake PS Unit 1 </t>
  </si>
  <si>
    <t xml:space="preserve">Mortlake PS Unit 2 </t>
  </si>
  <si>
    <t xml:space="preserve">Morwell PS G1 G2 And G3 </t>
  </si>
  <si>
    <t xml:space="preserve">Oaklands Hill WF </t>
  </si>
  <si>
    <t xml:space="preserve">VAPD </t>
  </si>
  <si>
    <t xml:space="preserve">VAPD1 </t>
  </si>
  <si>
    <t xml:space="preserve">Portland DU 1 </t>
  </si>
  <si>
    <t xml:space="preserve">VAPD2 </t>
  </si>
  <si>
    <t xml:space="preserve">Portland DU 2 </t>
  </si>
  <si>
    <t xml:space="preserve">VAPS1 </t>
  </si>
  <si>
    <t xml:space="preserve">VICSMLT </t>
  </si>
  <si>
    <t xml:space="preserve">Pt H - Anglesea PS - Vic SMLT </t>
  </si>
  <si>
    <t xml:space="preserve">VPTH1 </t>
  </si>
  <si>
    <t xml:space="preserve">Pt Henry 1 </t>
  </si>
  <si>
    <t xml:space="preserve">VPTH2 </t>
  </si>
  <si>
    <t xml:space="preserve">Pt Henry 2 </t>
  </si>
  <si>
    <t xml:space="preserve">VPTH3 </t>
  </si>
  <si>
    <t xml:space="preserve">Pt Henry 3 </t>
  </si>
  <si>
    <t xml:space="preserve">VLYP7 </t>
  </si>
  <si>
    <t xml:space="preserve">Waubra WF </t>
  </si>
  <si>
    <t xml:space="preserve">West Kiewa PS 1 </t>
  </si>
  <si>
    <t xml:space="preserve">West Kiewa PS 2 </t>
  </si>
  <si>
    <t xml:space="preserve">Yallourn W PS Load </t>
  </si>
  <si>
    <t xml:space="preserve">Yallourn W PS Unit 1 </t>
  </si>
  <si>
    <t xml:space="preserve">Yallourn W PS Unit 3 </t>
  </si>
  <si>
    <t xml:space="preserve">Yallourn W PS Unit 4 </t>
  </si>
  <si>
    <t xml:space="preserve">Bairnsdale Power Station Generator Unit 1 </t>
  </si>
  <si>
    <t xml:space="preserve">Hepburn WF </t>
  </si>
  <si>
    <t xml:space="preserve">Hume PS (Victorian Share) </t>
  </si>
  <si>
    <t xml:space="preserve">Tatura Generator </t>
  </si>
  <si>
    <t xml:space="preserve">Toora Wind farm </t>
  </si>
  <si>
    <t xml:space="preserve">Wonthaggi WF </t>
  </si>
  <si>
    <t xml:space="preserve">Cathedral Rocks WF </t>
  </si>
  <si>
    <t xml:space="preserve">Clements Gap WF </t>
  </si>
  <si>
    <t xml:space="preserve">Dry Creek PS 1 </t>
  </si>
  <si>
    <t xml:space="preserve">Dry Creek PS 2 </t>
  </si>
  <si>
    <t xml:space="preserve">Dry Creek PS 3 </t>
  </si>
  <si>
    <t xml:space="preserve">Hallett 2 WF </t>
  </si>
  <si>
    <t xml:space="preserve">Hallett WF </t>
  </si>
  <si>
    <t xml:space="preserve">Ladbroke Grove 1 </t>
  </si>
  <si>
    <t xml:space="preserve">Ladbroke Grove 2 </t>
  </si>
  <si>
    <t xml:space="preserve">Mt Millar WF </t>
  </si>
  <si>
    <t xml:space="preserve">North Brown Hill WF </t>
  </si>
  <si>
    <t xml:space="preserve">Northern PS 1 </t>
  </si>
  <si>
    <t xml:space="preserve">Northern PS 2 </t>
  </si>
  <si>
    <t xml:space="preserve">Port Lincoln Unit 3 </t>
  </si>
  <si>
    <t xml:space="preserve">Snowtown WF </t>
  </si>
  <si>
    <t xml:space="preserve">Snuggery 1 </t>
  </si>
  <si>
    <t xml:space="preserve">SSGA2 </t>
  </si>
  <si>
    <t xml:space="preserve">Snuggery 2 </t>
  </si>
  <si>
    <t xml:space="preserve">SSGA3 </t>
  </si>
  <si>
    <t xml:space="preserve">Snuggery 3 </t>
  </si>
  <si>
    <t xml:space="preserve">The Bluff WF </t>
  </si>
  <si>
    <t xml:space="preserve">Waterloo WF </t>
  </si>
  <si>
    <t xml:space="preserve">Pt Stanvac PS Unit 1 </t>
  </si>
  <si>
    <t xml:space="preserve">Pt Stanvac PS Unit 2 </t>
  </si>
  <si>
    <t xml:space="preserve">Starfish Hill WF </t>
  </si>
  <si>
    <t xml:space="preserve">Terminal Storage MiniHydro </t>
  </si>
  <si>
    <t xml:space="preserve">TMY2 </t>
  </si>
  <si>
    <t>Collinsville PS</t>
  </si>
  <si>
    <t>Gladstone PS Load</t>
  </si>
  <si>
    <t>Blowering Ancillary Services</t>
  </si>
  <si>
    <t>Tomago 1</t>
  </si>
  <si>
    <t>Tomago 2</t>
  </si>
  <si>
    <t>Tomago 3</t>
  </si>
  <si>
    <t>mlf_13</t>
  </si>
  <si>
    <t>mlf_14</t>
  </si>
  <si>
    <t>SWAN_B_1</t>
  </si>
  <si>
    <t>SWAN_B_3</t>
  </si>
  <si>
    <t>SWANNL2</t>
  </si>
  <si>
    <t>GUTH-1</t>
  </si>
  <si>
    <t>GUTH-2</t>
  </si>
  <si>
    <t>MM3</t>
  </si>
  <si>
    <t>MM4</t>
  </si>
  <si>
    <t>WW7</t>
  </si>
  <si>
    <t>WW8</t>
  </si>
  <si>
    <t>APD02</t>
  </si>
  <si>
    <t>VICSMLT</t>
  </si>
  <si>
    <t>PTH01</t>
  </si>
  <si>
    <t>PTH02</t>
  </si>
  <si>
    <t>PTH03</t>
  </si>
  <si>
    <t>SNUG2</t>
  </si>
  <si>
    <t>SNUG3</t>
  </si>
  <si>
    <t>marker_type</t>
  </si>
  <si>
    <t>{"lat":-32.667885,"lng":149.108202}</t>
  </si>
  <si>
    <t>{"lat":-34.048132,"lng":150.973917}</t>
  </si>
  <si>
    <t>{"lat":-40.853798,"lng": 145.377976}</t>
  </si>
  <si>
    <t>{"lat":-23.538830,"lng":145.273078}</t>
  </si>
  <si>
    <t>{"lat":-37.326927,"lng":145.860499}</t>
  </si>
  <si>
    <t>FY13</t>
  </si>
  <si>
    <t>FY14</t>
  </si>
  <si>
    <t>mlf_11</t>
  </si>
  <si>
    <t>mlf_12</t>
  </si>
  <si>
    <t xml:space="preserve">Braemar PS </t>
  </si>
  <si>
    <t xml:space="preserve">Callide A PS Load </t>
  </si>
  <si>
    <t xml:space="preserve">Callide A PS Unit 2 </t>
  </si>
  <si>
    <t xml:space="preserve">Collinsville PS Load </t>
  </si>
  <si>
    <t xml:space="preserve">QCVL1 </t>
  </si>
  <si>
    <t xml:space="preserve">Collinsville PS Unit 1 </t>
  </si>
  <si>
    <t xml:space="preserve">QCVL2 </t>
  </si>
  <si>
    <t xml:space="preserve">Collinsville PS Unit 2 </t>
  </si>
  <si>
    <t xml:space="preserve">QCVL3 </t>
  </si>
  <si>
    <t xml:space="preserve">Collinsville PS Unit 3 </t>
  </si>
  <si>
    <t xml:space="preserve">QCVL4 </t>
  </si>
  <si>
    <t xml:space="preserve">Collinsville PS Unit 4 </t>
  </si>
  <si>
    <t xml:space="preserve">QCVL5 </t>
  </si>
  <si>
    <t xml:space="preserve">Collinsville PS Unit 5 </t>
  </si>
  <si>
    <t xml:space="preserve">Darling Downs </t>
  </si>
  <si>
    <t xml:space="preserve">QKAH </t>
  </si>
  <si>
    <t>FY11</t>
  </si>
  <si>
    <t>FY12</t>
  </si>
  <si>
    <t xml:space="preserve">QSWB2 </t>
  </si>
  <si>
    <t xml:space="preserve">Swanbank B PS Unit 2 </t>
  </si>
  <si>
    <t xml:space="preserve">QSWB4 </t>
  </si>
  <si>
    <t xml:space="preserve">Swanbank B PS Unit 4 </t>
  </si>
  <si>
    <t xml:space="preserve">Yarwun PS 10 </t>
  </si>
  <si>
    <t xml:space="preserve">Barcaldine PS @ Lilyvale </t>
  </si>
  <si>
    <t xml:space="preserve">QMRG </t>
  </si>
  <si>
    <t xml:space="preserve">QMRG1K </t>
  </si>
  <si>
    <t xml:space="preserve">KRC Co-Gen </t>
  </si>
  <si>
    <t xml:space="preserve">Roma PS @ Tarong Unit 7 </t>
  </si>
  <si>
    <t xml:space="preserve">Roma PS @ Tarong Unit 8 </t>
  </si>
  <si>
    <t xml:space="preserve">Windy Hill Windfarm (Turkinje 66kV) </t>
  </si>
  <si>
    <t xml:space="preserve">NBAYL </t>
  </si>
  <si>
    <t xml:space="preserve">NCWf1R </t>
  </si>
  <si>
    <t xml:space="preserve">Kangaroo Valley – Bendeela (Shoalhaven) Generation11 </t>
  </si>
  <si>
    <t xml:space="preserve">Kangaroo Valley (Shoalhaven) Pumps11 </t>
  </si>
  <si>
    <t xml:space="preserve">Lower Tumut Generation11 </t>
  </si>
  <si>
    <t xml:space="preserve">Lower Tumut Pumps11 </t>
  </si>
  <si>
    <t xml:space="preserve">NWWPL </t>
  </si>
  <si>
    <t xml:space="preserve">Wallerawang 330 PS Load </t>
  </si>
  <si>
    <t xml:space="preserve">Wallerawang 330 Unit 7 </t>
  </si>
  <si>
    <t xml:space="preserve">Wallerawang 330 Unit 8 </t>
  </si>
  <si>
    <t xml:space="preserve">NSW1 </t>
  </si>
  <si>
    <t xml:space="preserve">NSW22 </t>
  </si>
  <si>
    <t xml:space="preserve">EarthPower Biomass Plant </t>
  </si>
  <si>
    <t xml:space="preserve">HEZ Power Station </t>
  </si>
  <si>
    <t xml:space="preserve">Valley Power PS </t>
  </si>
  <si>
    <t xml:space="preserve">Basslink (Loy Yang Power Station Switchyard) </t>
  </si>
  <si>
    <t xml:space="preserve">Laverton </t>
  </si>
  <si>
    <t xml:space="preserve">Portland 500 DU 1 </t>
  </si>
  <si>
    <t xml:space="preserve">Portland 500 DU 2 </t>
  </si>
  <si>
    <t xml:space="preserve">Pt Henry DU 1 </t>
  </si>
  <si>
    <t xml:space="preserve">Pt Henry DU 2 </t>
  </si>
  <si>
    <t xml:space="preserve">Pt Henry DU 3 </t>
  </si>
  <si>
    <t xml:space="preserve">allarat Health Services </t>
  </si>
  <si>
    <t xml:space="preserve">Brooklyn Landfill </t>
  </si>
  <si>
    <t xml:space="preserve">Hepburn Community Wind Farm 66 HEPWIND1 VBAT2L VBAT 1.0306 Hume (Victorian Share) </t>
  </si>
  <si>
    <t xml:space="preserve">Shepparton Waste Gas 66 SHEP1 VSHT2S VSHT 1.06 1.0585 Somerton Power Station </t>
  </si>
  <si>
    <t xml:space="preserve">VKTS </t>
  </si>
  <si>
    <t xml:space="preserve">VKTS1 </t>
  </si>
  <si>
    <t xml:space="preserve">VFBT </t>
  </si>
  <si>
    <t xml:space="preserve">VFBT1E </t>
  </si>
  <si>
    <t xml:space="preserve">ymex Embedded Gen </t>
  </si>
  <si>
    <t xml:space="preserve">Tatura 22 TATURA01 VSHT1 VSHT 1.06 1.0585 Toora Wind Farm </t>
  </si>
  <si>
    <t xml:space="preserve">Hallet Brown Hill Wind Farm </t>
  </si>
  <si>
    <t xml:space="preserve">Hallet Hill Wind Farm (Hallet 2 Wind Farm) </t>
  </si>
  <si>
    <t xml:space="preserve">Snuggery PS Unit 1 </t>
  </si>
  <si>
    <t xml:space="preserve">Snuggery PS Unit 2 </t>
  </si>
  <si>
    <t xml:space="preserve">Snuggery PS Unit 3 </t>
  </si>
  <si>
    <t xml:space="preserve">Lonsdale PS </t>
  </si>
  <si>
    <t>Remount 22 REMOUNT TMY21 TMY2 1.0156 1.0170</t>
  </si>
  <si>
    <t>COLNSNL1</t>
  </si>
  <si>
    <t>COLNSV_1</t>
  </si>
  <si>
    <t>COLNSV_2</t>
  </si>
  <si>
    <t>COLNSV_3</t>
  </si>
  <si>
    <t>COLNSV_4</t>
  </si>
  <si>
    <t>COLNSV_5</t>
  </si>
  <si>
    <t>SWAN_B_2</t>
  </si>
  <si>
    <t>SWAN_B_4</t>
  </si>
  <si>
    <t>KRCCOGEN</t>
  </si>
  <si>
    <t>WWNL1</t>
  </si>
  <si>
    <t>PMATTAEP</t>
  </si>
  <si>
    <t>Bayswater PS Load</t>
  </si>
  <si>
    <t>Bairnsdale Unit 1</t>
  </si>
  <si>
    <t>Bairnsdale Unit 2</t>
  </si>
  <si>
    <t>Sunshine Energy Park</t>
  </si>
  <si>
    <t>SUNSHINE</t>
  </si>
  <si>
    <t>SYMEX1</t>
  </si>
  <si>
    <t>Nyngun Solar Farm</t>
  </si>
  <si>
    <t>PARTICIPANT_CODE</t>
  </si>
  <si>
    <t>FACILITY_CODE</t>
  </si>
  <si>
    <t>DISPLAY_NAME</t>
  </si>
  <si>
    <t>FACILITY_TYPE</t>
  </si>
  <si>
    <t>PRIMARY_FUEL</t>
  </si>
  <si>
    <t>ALTERNATE_FUEL</t>
  </si>
  <si>
    <t>GENERATION_TYPE</t>
  </si>
  <si>
    <t>YEAR_COMMISSIONED</t>
  </si>
  <si>
    <t>REGISTRATION_DATE</t>
  </si>
  <si>
    <t>CAPACITY_CREDITS</t>
  </si>
  <si>
    <t>RAMP_UP</t>
  </si>
  <si>
    <t>RAMP_DOWN</t>
  </si>
  <si>
    <t>ALBGRAS</t>
  </si>
  <si>
    <t>ALBANY_WF1</t>
  </si>
  <si>
    <t>Albany Wind Farm</t>
  </si>
  <si>
    <t>Base</t>
  </si>
  <si>
    <t>ALINTA</t>
  </si>
  <si>
    <t>ALINTA_PNJ_U1</t>
  </si>
  <si>
    <t>Pinjarra 1</t>
  </si>
  <si>
    <t>ALINTA_PNJ_U2</t>
  </si>
  <si>
    <t>Pinjarra 2</t>
  </si>
  <si>
    <t>ALINTA_WGP_GT</t>
  </si>
  <si>
    <t>Wagerup Gas Turbine 1</t>
  </si>
  <si>
    <t>Dual (Gas / Distillate)</t>
  </si>
  <si>
    <t>Distillate</t>
  </si>
  <si>
    <t>Peaking</t>
  </si>
  <si>
    <t>ALINTA_WGP_U2</t>
  </si>
  <si>
    <t>Wagerup Gas Turbine 2</t>
  </si>
  <si>
    <t>ALINTA_WWF</t>
  </si>
  <si>
    <t>Walkaway Wind Farm</t>
  </si>
  <si>
    <t>BADGINGARRA_WF1</t>
  </si>
  <si>
    <t>Badgingarra Wind Farm</t>
  </si>
  <si>
    <t>WPGENER</t>
  </si>
  <si>
    <t>GRIFFINP</t>
  </si>
  <si>
    <t>BW1_BLUEWATERS_G2</t>
  </si>
  <si>
    <t>Bluewaters 1</t>
  </si>
  <si>
    <t>GRIFFIN2</t>
  </si>
  <si>
    <t>BW2_BLUEWATERS_G1</t>
  </si>
  <si>
    <t>Bluewaters 2</t>
  </si>
  <si>
    <t>COCKBURN_CCG1</t>
  </si>
  <si>
    <t>Cockburn CCGT</t>
  </si>
  <si>
    <t>COLLIE_G1</t>
  </si>
  <si>
    <t>Collie G1</t>
  </si>
  <si>
    <t>EDWFMAN</t>
  </si>
  <si>
    <t>EDWFMAN_WF1</t>
  </si>
  <si>
    <t>Emu Downs Wind Farm</t>
  </si>
  <si>
    <t>GRASMERE_WF1</t>
  </si>
  <si>
    <t>Grasmere Wind Farm</t>
  </si>
  <si>
    <t>COLLGAR</t>
  </si>
  <si>
    <t>INVESTEC_COLLGAR_WF1</t>
  </si>
  <si>
    <t>Collgar Wind Farm</t>
  </si>
  <si>
    <t>Kalamunda</t>
  </si>
  <si>
    <t>KEMERTON_GT11</t>
  </si>
  <si>
    <t>Kemerton 1</t>
  </si>
  <si>
    <t>KEMERTON_GT12</t>
  </si>
  <si>
    <t>Kemerton 2</t>
  </si>
  <si>
    <t>KWINANA_GT1</t>
  </si>
  <si>
    <t>Kwinana Gas Turbine 1</t>
  </si>
  <si>
    <t>KWINANA_GT2</t>
  </si>
  <si>
    <t>Kwinana Gas Turbine 2</t>
  </si>
  <si>
    <t>KWINANA_GT3</t>
  </si>
  <si>
    <t>Kwinana Gas Turbine 3</t>
  </si>
  <si>
    <t>MUJA_G5</t>
  </si>
  <si>
    <t>Muja 5</t>
  </si>
  <si>
    <t>MUJA_G6</t>
  </si>
  <si>
    <t>Muja 6</t>
  </si>
  <si>
    <t>MUJA_G7</t>
  </si>
  <si>
    <t>Muja 7</t>
  </si>
  <si>
    <t>MUJA_G8</t>
  </si>
  <si>
    <t>Muja 8</t>
  </si>
  <si>
    <t>MUNGARRA_GT1</t>
  </si>
  <si>
    <t>Mungarra Gas Turbine 1</t>
  </si>
  <si>
    <t>Mid-Merit</t>
  </si>
  <si>
    <t>MUNGARRA_GT2</t>
  </si>
  <si>
    <t>Mungarra Gas Turbine 2</t>
  </si>
  <si>
    <t>MUNGARRA_GT3</t>
  </si>
  <si>
    <t>Mungarra Gas Turbine 3</t>
  </si>
  <si>
    <t>MUMBIDA</t>
  </si>
  <si>
    <t>MWF_MUMBIDA_WF1</t>
  </si>
  <si>
    <t>Mumbida Wind Farm</t>
  </si>
  <si>
    <t>MERREDIN</t>
  </si>
  <si>
    <t>NAMKKN_MERR_SG1</t>
  </si>
  <si>
    <t>Merredin Gas Turbine</t>
  </si>
  <si>
    <t>NEWGEN</t>
  </si>
  <si>
    <t>NEWGEN_KWINANA_CCG1</t>
  </si>
  <si>
    <t>Kwinana Combined Cycle Gas</t>
  </si>
  <si>
    <t>NGENEERP</t>
  </si>
  <si>
    <t>NEWGEN_NEERABUP_GT1</t>
  </si>
  <si>
    <t>Neerabup Gas Turbine 1</t>
  </si>
  <si>
    <t>WENERGY</t>
  </si>
  <si>
    <t>PERTHENERGY_KWINANA_GT1</t>
  </si>
  <si>
    <t>PINJAR_GT1</t>
  </si>
  <si>
    <t>Pinjar Gas Turbine 1</t>
  </si>
  <si>
    <t>PINJAR_GT10</t>
  </si>
  <si>
    <t>Pinjar Gas Turbine 10</t>
  </si>
  <si>
    <t>PINJAR_GT11</t>
  </si>
  <si>
    <t>Pinjar Gas Turbine 11</t>
  </si>
  <si>
    <t>PINJAR_GT2</t>
  </si>
  <si>
    <t>Pinjar Gas Turbine 2</t>
  </si>
  <si>
    <t>PINJAR_GT3</t>
  </si>
  <si>
    <t>Pinjar Gas Turbine 3</t>
  </si>
  <si>
    <t>PINJAR_GT4</t>
  </si>
  <si>
    <t>Pinjar Gas Turbine 4</t>
  </si>
  <si>
    <t>PINJAR_GT5</t>
  </si>
  <si>
    <t>Pinjar Gas Turbine 5</t>
  </si>
  <si>
    <t>PINJAR_GT7</t>
  </si>
  <si>
    <t>Pinjar Gas Turbine 7</t>
  </si>
  <si>
    <t>PINJAR_GT9</t>
  </si>
  <si>
    <t>Pinjar Gas Turbine 9</t>
  </si>
  <si>
    <t>PPP_KCP_EG1</t>
  </si>
  <si>
    <t>Kwinana EG1</t>
  </si>
  <si>
    <t>GLDFLDPW</t>
  </si>
  <si>
    <t>PRK_AG</t>
  </si>
  <si>
    <t>Goldfields</t>
  </si>
  <si>
    <t>Rockingham</t>
  </si>
  <si>
    <t>STHRNCRS</t>
  </si>
  <si>
    <t>STHRNCRS_EG</t>
  </si>
  <si>
    <t>Southern Cross Power Station</t>
  </si>
  <si>
    <t>WEST_KALGOORLIE_GT2</t>
  </si>
  <si>
    <t>West Kalgoorlie GT2</t>
  </si>
  <si>
    <t>WEST_KALGOORLIE_GT3</t>
  </si>
  <si>
    <t>West Kalgoorlie GT3</t>
  </si>
  <si>
    <t>max_gen</t>
  </si>
  <si>
    <t>station_id</t>
  </si>
  <si>
    <t>location</t>
  </si>
  <si>
    <t>-35.065730, 117.799674</t>
  </si>
  <si>
    <t>Pinjarra Power Station</t>
  </si>
  <si>
    <t>PINJARRA</t>
  </si>
  <si>
    <t>-32.647142, 115.946862</t>
  </si>
  <si>
    <t>Wagerup Power Station</t>
  </si>
  <si>
    <t>WAGERUP</t>
  </si>
  <si>
    <t>-32.915898, 115.919063</t>
  </si>
  <si>
    <t>-28.902455, 114.892743</t>
  </si>
  <si>
    <t>-30.475542, 115.381265</t>
  </si>
  <si>
    <t>-30.406656, 115.334247</t>
  </si>
  <si>
    <t>Bluewaters Power Station</t>
  </si>
  <si>
    <t>BLUEWATERS</t>
  </si>
  <si>
    <t>-33.330647, 116.228153</t>
  </si>
  <si>
    <t>-32.200481, 115.774605</t>
  </si>
  <si>
    <t>Cockburn Power Station</t>
  </si>
  <si>
    <t>-33.341632, 116.262165</t>
  </si>
  <si>
    <t>Collie Power Station</t>
  </si>
  <si>
    <t>Albany Grasmere Wind Farm</t>
  </si>
  <si>
    <t>-31.554416, 118.444618</t>
  </si>
  <si>
    <t>-33.163376, 115.780751</t>
  </si>
  <si>
    <t>Kemerton Power Station</t>
  </si>
  <si>
    <t>KEMERTON</t>
  </si>
  <si>
    <t>-32.200446, 115.774561</t>
  </si>
  <si>
    <t>Kwinana Power Station</t>
  </si>
  <si>
    <t>-32.201968, 115.773205</t>
  </si>
  <si>
    <t>Newgen Kwinana Power Station</t>
  </si>
  <si>
    <t>KWINANA</t>
  </si>
  <si>
    <t>NEWGEN_KWIN</t>
  </si>
  <si>
    <t>-33.446183, 116.306602</t>
  </si>
  <si>
    <t>Muja Power Station</t>
  </si>
  <si>
    <t>MUJA</t>
  </si>
  <si>
    <t>-28.887900, 115.118195</t>
  </si>
  <si>
    <t>Mungarra Power Station</t>
  </si>
  <si>
    <t>MUNGARRA</t>
  </si>
  <si>
    <t>-29.011024, 114.968452</t>
  </si>
  <si>
    <t>-31.493723, 118.243730</t>
  </si>
  <si>
    <t>Neerabup Power Station</t>
  </si>
  <si>
    <t>-31.671172, 115.801042</t>
  </si>
  <si>
    <t>-31.558486, 115.820729</t>
  </si>
  <si>
    <t>Pinjar Power Station</t>
  </si>
  <si>
    <t>PINJAR</t>
  </si>
  <si>
    <t>Parkeston Power Station</t>
  </si>
  <si>
    <t>-30.737852, 121.506503</t>
  </si>
  <si>
    <t>-30.780366, 121.423686</t>
  </si>
  <si>
    <t>West Kalgoorlie Power Station</t>
  </si>
  <si>
    <t>WEST_KALGOORLIE</t>
  </si>
  <si>
    <t>Kambalda Power Station</t>
  </si>
  <si>
    <t>-31.191899, 121.674087</t>
  </si>
  <si>
    <t>SRV AGWF Pty Ltd as trustee for AGWF Trust</t>
  </si>
  <si>
    <t>Alinta Sales</t>
  </si>
  <si>
    <t>Cockburn Cement</t>
  </si>
  <si>
    <t>EDWF Manager</t>
  </si>
  <si>
    <t>Goldfields Power</t>
  </si>
  <si>
    <t>Bluewaters</t>
  </si>
  <si>
    <t>Bluewaters Power 2</t>
  </si>
  <si>
    <t>Bluewaters Power 1</t>
  </si>
  <si>
    <t>Merredin Energy</t>
  </si>
  <si>
    <t>NewGen Kwinana</t>
  </si>
  <si>
    <t>NewGen Power Kwinana</t>
  </si>
  <si>
    <t>NewGen Neerabup Partnership</t>
  </si>
  <si>
    <t>Southern Cross Energy</t>
  </si>
  <si>
    <t>Western Energy</t>
  </si>
  <si>
    <t>Synergy</t>
  </si>
  <si>
    <t>Particpant</t>
  </si>
  <si>
    <t>WA</t>
  </si>
  <si>
    <t>LossFactorAreaCode</t>
  </si>
  <si>
    <t>Description</t>
  </si>
  <si>
    <t>LossFactor</t>
  </si>
  <si>
    <t>StartDate</t>
  </si>
  <si>
    <t>TAPA</t>
  </si>
  <si>
    <t>Alcoa Pinjarra (Alcoa)</t>
  </si>
  <si>
    <t>TAPL</t>
  </si>
  <si>
    <t>Alcoa Pinjarra (Alinta)</t>
  </si>
  <si>
    <t>TBLB</t>
  </si>
  <si>
    <t>TBLS</t>
  </si>
  <si>
    <t>Boulder (SCE)</t>
  </si>
  <si>
    <t>TKRA</t>
  </si>
  <si>
    <t>Karara Three Springs</t>
  </si>
  <si>
    <t>TLWA</t>
  </si>
  <si>
    <t>Lanwehr (Alinta)</t>
  </si>
  <si>
    <t>TMBA</t>
  </si>
  <si>
    <t>TMDP</t>
  </si>
  <si>
    <t>Merredin Power Station (Nammarkin)</t>
  </si>
  <si>
    <t>TMGS</t>
  </si>
  <si>
    <t>Greenough River Solar Farm (Mungarra)</t>
  </si>
  <si>
    <t>TMSK</t>
  </si>
  <si>
    <t>Mason Road (KPP)</t>
  </si>
  <si>
    <t>TOLA</t>
  </si>
  <si>
    <t>Oakley (Alinta)</t>
  </si>
  <si>
    <t>TSAV</t>
  </si>
  <si>
    <t>Transmission SWIN Average</t>
  </si>
  <si>
    <t>TUAV</t>
  </si>
  <si>
    <t>Transmission Urban Average</t>
  </si>
  <si>
    <t>TWKG</t>
  </si>
  <si>
    <t>West Kalgoorlie GTs</t>
  </si>
  <si>
    <t>TWOJ</t>
  </si>
  <si>
    <t>Worsley (Joint Venture)</t>
  </si>
  <si>
    <t>TWOW</t>
  </si>
  <si>
    <t>Worsley (Worsley)</t>
  </si>
  <si>
    <t>WAFM</t>
  </si>
  <si>
    <t>Australian Fused Materials</t>
  </si>
  <si>
    <t>WAKW</t>
  </si>
  <si>
    <t>Kwinana Alcoa</t>
  </si>
  <si>
    <t>WALB</t>
  </si>
  <si>
    <t>Albany</t>
  </si>
  <si>
    <t>WAMT</t>
  </si>
  <si>
    <t>Amherst</t>
  </si>
  <si>
    <t>WAPM</t>
  </si>
  <si>
    <t>Australian Paper Mills</t>
  </si>
  <si>
    <t>WARK</t>
  </si>
  <si>
    <t>Arkana</t>
  </si>
  <si>
    <t>WBCH</t>
  </si>
  <si>
    <t>Beechboro</t>
  </si>
  <si>
    <t>WBCT</t>
  </si>
  <si>
    <t>Balcatta</t>
  </si>
  <si>
    <t>WBDE</t>
  </si>
  <si>
    <t>Baandee (WC)</t>
  </si>
  <si>
    <t>WBDP</t>
  </si>
  <si>
    <t>Binningup Desalination Plant</t>
  </si>
  <si>
    <t>WBEC</t>
  </si>
  <si>
    <t>Beckenham</t>
  </si>
  <si>
    <t>WBEL</t>
  </si>
  <si>
    <t>Belmont</t>
  </si>
  <si>
    <t>WBGM</t>
  </si>
  <si>
    <t>Boddington Gold Mine</t>
  </si>
  <si>
    <t>WBHK</t>
  </si>
  <si>
    <t>Broken Hill Kwinana</t>
  </si>
  <si>
    <t>WBIB</t>
  </si>
  <si>
    <t>Bibra Lake</t>
  </si>
  <si>
    <t>WBKF</t>
  </si>
  <si>
    <t>Black Flag</t>
  </si>
  <si>
    <t>WBLD</t>
  </si>
  <si>
    <t>Boulder</t>
  </si>
  <si>
    <t>WBNP</t>
  </si>
  <si>
    <t>Beenup</t>
  </si>
  <si>
    <t>WBNY</t>
  </si>
  <si>
    <t>Bounty</t>
  </si>
  <si>
    <t>WBOD</t>
  </si>
  <si>
    <t>Boddington</t>
  </si>
  <si>
    <t>WBPM</t>
  </si>
  <si>
    <t>British Petroleum</t>
  </si>
  <si>
    <t>WBSI</t>
  </si>
  <si>
    <t>Marriott Road Barrack Silicon Smelter</t>
  </si>
  <si>
    <t>WBSN</t>
  </si>
  <si>
    <t>Busselton</t>
  </si>
  <si>
    <t>WBTN</t>
  </si>
  <si>
    <t>Bridgetown</t>
  </si>
  <si>
    <t>WBTY</t>
  </si>
  <si>
    <t>Bentley</t>
  </si>
  <si>
    <t>WBUH</t>
  </si>
  <si>
    <t>Bunbury Harbour</t>
  </si>
  <si>
    <t>WBYF</t>
  </si>
  <si>
    <t>Byford</t>
  </si>
  <si>
    <t>WCAP</t>
  </si>
  <si>
    <t>Capel</t>
  </si>
  <si>
    <t>WCAR</t>
  </si>
  <si>
    <t>Carrabin</t>
  </si>
  <si>
    <t>WCBP</t>
  </si>
  <si>
    <t>Mason Road CSBP</t>
  </si>
  <si>
    <t>WCCL</t>
  </si>
  <si>
    <t>Cockburn Cement Ltd</t>
  </si>
  <si>
    <t>WCCT</t>
  </si>
  <si>
    <t>WCGW</t>
  </si>
  <si>
    <t>Collgar Windfarm</t>
  </si>
  <si>
    <t>WCKN</t>
  </si>
  <si>
    <t>Clarkson</t>
  </si>
  <si>
    <t>WCKT</t>
  </si>
  <si>
    <t>Cook Street</t>
  </si>
  <si>
    <t>WCLN</t>
  </si>
  <si>
    <t>Clarence Street</t>
  </si>
  <si>
    <t>WCLP</t>
  </si>
  <si>
    <t>Coolup</t>
  </si>
  <si>
    <t>WCOE</t>
  </si>
  <si>
    <t>Collie</t>
  </si>
  <si>
    <t>WCOL</t>
  </si>
  <si>
    <t>Collier</t>
  </si>
  <si>
    <t>WCPN</t>
  </si>
  <si>
    <t>Chapman</t>
  </si>
  <si>
    <t>WCPS</t>
  </si>
  <si>
    <t>Collie PWS</t>
  </si>
  <si>
    <t>WCTE</t>
  </si>
  <si>
    <t>Cottesloe</t>
  </si>
  <si>
    <t>WCUN</t>
  </si>
  <si>
    <t>Cunderdin</t>
  </si>
  <si>
    <t>WCVE</t>
  </si>
  <si>
    <t>Canning Vale</t>
  </si>
  <si>
    <t>WDTN</t>
  </si>
  <si>
    <t>Darlington</t>
  </si>
  <si>
    <t>WDUR</t>
  </si>
  <si>
    <t>Durlacher</t>
  </si>
  <si>
    <t>WEDD</t>
  </si>
  <si>
    <t>Edmund Street</t>
  </si>
  <si>
    <t>WEDG</t>
  </si>
  <si>
    <t>Edgewater</t>
  </si>
  <si>
    <t>WEMD</t>
  </si>
  <si>
    <t>Emu Downs</t>
  </si>
  <si>
    <t>WENB</t>
  </si>
  <si>
    <t>Eneabba</t>
  </si>
  <si>
    <t>WFFD</t>
  </si>
  <si>
    <t>Forrestfield</t>
  </si>
  <si>
    <t>WFRT</t>
  </si>
  <si>
    <t>Forrest Ave</t>
  </si>
  <si>
    <t>WGGV</t>
  </si>
  <si>
    <t>Golden Grove</t>
  </si>
  <si>
    <t>WGNI</t>
  </si>
  <si>
    <t>Glen Iris</t>
  </si>
  <si>
    <t>WGNL</t>
  </si>
  <si>
    <t>Gosnells</t>
  </si>
  <si>
    <t>WGNN</t>
  </si>
  <si>
    <t>Newgen Neerabup</t>
  </si>
  <si>
    <t>WGTN</t>
  </si>
  <si>
    <t>Geraldton</t>
  </si>
  <si>
    <t>WHAY</t>
  </si>
  <si>
    <t>Hay Street</t>
  </si>
  <si>
    <t>WHBK</t>
  </si>
  <si>
    <t>Henley Brook</t>
  </si>
  <si>
    <t>WHEP</t>
  </si>
  <si>
    <t>Herdsman Parade</t>
  </si>
  <si>
    <t>WHFS</t>
  </si>
  <si>
    <t>Hadfields</t>
  </si>
  <si>
    <t>WHIS</t>
  </si>
  <si>
    <t>Tianqi Lithium</t>
  </si>
  <si>
    <t>WHZM</t>
  </si>
  <si>
    <t>Hazelmere</t>
  </si>
  <si>
    <t>WJDP</t>
  </si>
  <si>
    <t>Joondalup</t>
  </si>
  <si>
    <t>WJTE</t>
  </si>
  <si>
    <t>Joel Terrace</t>
  </si>
  <si>
    <t>WKAT</t>
  </si>
  <si>
    <t>Katanning</t>
  </si>
  <si>
    <t>WKDA</t>
  </si>
  <si>
    <t>WKDL</t>
  </si>
  <si>
    <t>Kewdale</t>
  </si>
  <si>
    <t>WKDN</t>
  </si>
  <si>
    <t>Kondinin</t>
  </si>
  <si>
    <t>WKDP</t>
  </si>
  <si>
    <t>Kwinana Desalination Plant</t>
  </si>
  <si>
    <t>WKEL</t>
  </si>
  <si>
    <t>Kellerberrin</t>
  </si>
  <si>
    <t>WKEM</t>
  </si>
  <si>
    <t>Kemerton PWS</t>
  </si>
  <si>
    <t>WKMC</t>
  </si>
  <si>
    <t xml:space="preserve">Cataby Kerr McGee </t>
  </si>
  <si>
    <t>WKMK</t>
  </si>
  <si>
    <t>Kerr McGee Kwinana</t>
  </si>
  <si>
    <t>WKMM</t>
  </si>
  <si>
    <t xml:space="preserve">Muchea Kerr McGee </t>
  </si>
  <si>
    <t>WKND</t>
  </si>
  <si>
    <t>Kwinana Donaldson Road (Western Energy)</t>
  </si>
  <si>
    <t>WKOJ</t>
  </si>
  <si>
    <t>Kojonup</t>
  </si>
  <si>
    <t>WKPS</t>
  </si>
  <si>
    <t>Kwinana PWS</t>
  </si>
  <si>
    <t>WLDE</t>
  </si>
  <si>
    <t>Landsdale</t>
  </si>
  <si>
    <t>WMAG</t>
  </si>
  <si>
    <t>Manning Street</t>
  </si>
  <si>
    <t>WMBR</t>
  </si>
  <si>
    <t>Mt Barker</t>
  </si>
  <si>
    <t>WMCR</t>
  </si>
  <si>
    <t>Medical Centre</t>
  </si>
  <si>
    <t>WMDN</t>
  </si>
  <si>
    <t>Maddington</t>
  </si>
  <si>
    <t>WMDY</t>
  </si>
  <si>
    <t>Munday</t>
  </si>
  <si>
    <t>WMED</t>
  </si>
  <si>
    <t>Medina</t>
  </si>
  <si>
    <t>WMER</t>
  </si>
  <si>
    <t>Merredin 66kV</t>
  </si>
  <si>
    <t>WMGA</t>
  </si>
  <si>
    <t>Mungarra GTs</t>
  </si>
  <si>
    <t>WMHA</t>
  </si>
  <si>
    <t>Mandurah</t>
  </si>
  <si>
    <t>WMIL</t>
  </si>
  <si>
    <t>Milligan Street</t>
  </si>
  <si>
    <t>WMJP</t>
  </si>
  <si>
    <t>Manjimup</t>
  </si>
  <si>
    <t>WMJX</t>
  </si>
  <si>
    <t>Midland Junction</t>
  </si>
  <si>
    <t>WMLG</t>
  </si>
  <si>
    <t>Malaga</t>
  </si>
  <si>
    <t>WMOR</t>
  </si>
  <si>
    <t>Moora</t>
  </si>
  <si>
    <t>WMOY</t>
  </si>
  <si>
    <t>Morley</t>
  </si>
  <si>
    <t>WMPS</t>
  </si>
  <si>
    <t>Muja PWS</t>
  </si>
  <si>
    <t>WMRR</t>
  </si>
  <si>
    <t>Marriot Road</t>
  </si>
  <si>
    <t>WMRV</t>
  </si>
  <si>
    <t>Margaret River</t>
  </si>
  <si>
    <t>WMSR</t>
  </si>
  <si>
    <t>Mason Road</t>
  </si>
  <si>
    <t>WMSS</t>
  </si>
  <si>
    <t>Meadow Springs</t>
  </si>
  <si>
    <t>WMUC</t>
  </si>
  <si>
    <t>Muchea</t>
  </si>
  <si>
    <t>WMUL</t>
  </si>
  <si>
    <t>Mullaloo</t>
  </si>
  <si>
    <t>WMUR</t>
  </si>
  <si>
    <t>Murdoch</t>
  </si>
  <si>
    <t>WMWR</t>
  </si>
  <si>
    <t>Mundaring Weir</t>
  </si>
  <si>
    <t>WMYR</t>
  </si>
  <si>
    <t>Myaree</t>
  </si>
  <si>
    <t>WNBH</t>
  </si>
  <si>
    <t>North Beach</t>
  </si>
  <si>
    <t>WNED</t>
  </si>
  <si>
    <t>Nedlands</t>
  </si>
  <si>
    <t>WNFL</t>
  </si>
  <si>
    <t>North Fremantle</t>
  </si>
  <si>
    <t>WNGK</t>
  </si>
  <si>
    <t>WNGN</t>
  </si>
  <si>
    <t>Narrogin</t>
  </si>
  <si>
    <t>WNOR</t>
  </si>
  <si>
    <t>Northam</t>
  </si>
  <si>
    <t>WNOW</t>
  </si>
  <si>
    <t>Nowgerup</t>
  </si>
  <si>
    <t>WNPH</t>
  </si>
  <si>
    <t>North Perth</t>
  </si>
  <si>
    <t>WOCN</t>
  </si>
  <si>
    <t>O'Connor</t>
  </si>
  <si>
    <t>WOPK</t>
  </si>
  <si>
    <t>Osborne Park</t>
  </si>
  <si>
    <t>WPBY</t>
  </si>
  <si>
    <t>Padbury</t>
  </si>
  <si>
    <t>WPCY</t>
  </si>
  <si>
    <t>Piccadilly</t>
  </si>
  <si>
    <t>WPIC</t>
  </si>
  <si>
    <t>Picton 66kv</t>
  </si>
  <si>
    <t>WPJR</t>
  </si>
  <si>
    <t>Pinjar</t>
  </si>
  <si>
    <t>WPKS</t>
  </si>
  <si>
    <t>Parkeston</t>
  </si>
  <si>
    <t>WPLD</t>
  </si>
  <si>
    <t>Parklands</t>
  </si>
  <si>
    <t>WPNJ</t>
  </si>
  <si>
    <t>Pinjarra</t>
  </si>
  <si>
    <t>WRAN</t>
  </si>
  <si>
    <t>Rangeway</t>
  </si>
  <si>
    <t>WRGN</t>
  </si>
  <si>
    <t>Regans</t>
  </si>
  <si>
    <t>WROH</t>
  </si>
  <si>
    <t>WRTN</t>
  </si>
  <si>
    <t>Riverton</t>
  </si>
  <si>
    <t>WRVE</t>
  </si>
  <si>
    <t>Rivervale</t>
  </si>
  <si>
    <t>WSFT</t>
  </si>
  <si>
    <t>South Fremantle 66kV</t>
  </si>
  <si>
    <t>WSNR</t>
  </si>
  <si>
    <t>Southern River</t>
  </si>
  <si>
    <t>WSPA</t>
  </si>
  <si>
    <t>Shenton Park</t>
  </si>
  <si>
    <t>WSRD</t>
  </si>
  <si>
    <t>Sutherland</t>
  </si>
  <si>
    <t>WSUM</t>
  </si>
  <si>
    <t>Summer St</t>
  </si>
  <si>
    <t>WSVY</t>
  </si>
  <si>
    <t>Sawyers Valley</t>
  </si>
  <si>
    <t>WTLN</t>
  </si>
  <si>
    <t>Tomlinson Street</t>
  </si>
  <si>
    <t>WTSG</t>
  </si>
  <si>
    <t>Three Springs</t>
  </si>
  <si>
    <t>WTST</t>
  </si>
  <si>
    <t>Three Springs Terminal</t>
  </si>
  <si>
    <t>WTTS</t>
  </si>
  <si>
    <t>Tate Street</t>
  </si>
  <si>
    <t>WUNI</t>
  </si>
  <si>
    <t>University</t>
  </si>
  <si>
    <t>WVPA</t>
  </si>
  <si>
    <t>Victoria Park</t>
  </si>
  <si>
    <t>WWAG</t>
  </si>
  <si>
    <t>Wagin</t>
  </si>
  <si>
    <t>WWAI</t>
  </si>
  <si>
    <t>Waikiki</t>
  </si>
  <si>
    <t>WWCL</t>
  </si>
  <si>
    <t>Western Collieries</t>
  </si>
  <si>
    <t>WWDN</t>
  </si>
  <si>
    <t>Wembley Downs</t>
  </si>
  <si>
    <t>WWEL</t>
  </si>
  <si>
    <t>Welshpool</t>
  </si>
  <si>
    <t>WWGA</t>
  </si>
  <si>
    <t>Wangara</t>
  </si>
  <si>
    <t>WWGP</t>
  </si>
  <si>
    <t>Wagerup</t>
  </si>
  <si>
    <t>WWKT</t>
  </si>
  <si>
    <t>West Kalgoorlie</t>
  </si>
  <si>
    <t>WWLN</t>
  </si>
  <si>
    <t>Willetton</t>
  </si>
  <si>
    <t>WWMG</t>
  </si>
  <si>
    <t>Western Mining</t>
  </si>
  <si>
    <t>WWNO</t>
  </si>
  <si>
    <t>Wanneroo</t>
  </si>
  <si>
    <t>WWNT</t>
  </si>
  <si>
    <t>Wellington Street</t>
  </si>
  <si>
    <t>WWSD</t>
  </si>
  <si>
    <t>Westralian Sands</t>
  </si>
  <si>
    <t>WWUN</t>
  </si>
  <si>
    <t>Wundowie</t>
  </si>
  <si>
    <t>WWWF</t>
  </si>
  <si>
    <t>Walkaway Windfarm</t>
  </si>
  <si>
    <t>WYCP</t>
  </si>
  <si>
    <t>Yanchep</t>
  </si>
  <si>
    <t>WYER</t>
  </si>
  <si>
    <t>Yerbillon</t>
  </si>
  <si>
    <t>WYKE</t>
  </si>
  <si>
    <t>Yokine</t>
  </si>
  <si>
    <t>WYLN</t>
  </si>
  <si>
    <t>Yilgarn</t>
  </si>
  <si>
    <t>Year</t>
  </si>
  <si>
    <t>Loss Factor</t>
  </si>
  <si>
    <t>WBWF</t>
  </si>
  <si>
    <t>Bluewaters (BWP)</t>
  </si>
  <si>
    <t>Landweir (Alinta)</t>
  </si>
  <si>
    <t>Hismelt</t>
  </si>
  <si>
    <t>Boddingtom Gold Mine</t>
  </si>
  <si>
    <t xml:space="preserve">Emu Downs </t>
  </si>
  <si>
    <t>Mason Road Hismelt</t>
  </si>
  <si>
    <t xml:space="preserve">Kerr McGee Kwinana </t>
  </si>
  <si>
    <t>WWEB</t>
  </si>
  <si>
    <t>WEB Grating</t>
  </si>
  <si>
    <t>Willeton</t>
  </si>
  <si>
    <t>Binningup Desalinatin Plant</t>
  </si>
  <si>
    <t>Clarkeson</t>
  </si>
  <si>
    <t>WRBD</t>
  </si>
  <si>
    <t>Boddington (Reynolds)</t>
  </si>
  <si>
    <t>WSVL</t>
  </si>
  <si>
    <t>WCOT</t>
  </si>
  <si>
    <t>WCWG</t>
  </si>
  <si>
    <t>Boulder (SCE</t>
  </si>
  <si>
    <t>Bluewaters PWS</t>
  </si>
  <si>
    <t>NewGen Neerabup PWS</t>
  </si>
  <si>
    <t>Newgen Kwinana PWS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</si>
</sst>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0.000000"/>
    <numFmt numFmtId="167" formatCode="_-* #,##0_-;\-* #,##0_-;_-* &quot;-&quot;??_-;_-@_-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15" fontId="0" fillId="0" borderId="0" xfId="0" applyNumberFormat="1"/>
    <xf numFmtId="0" fontId="4" fillId="0" borderId="0" xfId="0" applyFont="1"/>
    <xf numFmtId="18" fontId="0" fillId="0" borderId="0" xfId="0" applyNumberFormat="1"/>
    <xf numFmtId="0" fontId="4" fillId="0" borderId="0" xfId="0" applyFont="1" applyFill="1"/>
    <xf numFmtId="0" fontId="0" fillId="0" borderId="0" xfId="0" applyFill="1"/>
    <xf numFmtId="22" fontId="0" fillId="0" borderId="0" xfId="0" applyNumberFormat="1"/>
    <xf numFmtId="43" fontId="0" fillId="0" borderId="0" xfId="733" applyFont="1"/>
    <xf numFmtId="164" fontId="0" fillId="0" borderId="0" xfId="0" applyNumberFormat="1"/>
    <xf numFmtId="167" fontId="0" fillId="0" borderId="0" xfId="733" applyNumberFormat="1" applyFont="1"/>
  </cellXfs>
  <cellStyles count="992">
    <cellStyle name="Comma" xfId="733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connections" Target="connections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7</xdr:row>
          <xdr:rowOff>139700</xdr:rowOff>
        </xdr:from>
        <xdr:to>
          <xdr:col>13</xdr:col>
          <xdr:colOff>393700</xdr:colOff>
          <xdr:row>9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_generator_output" connectionId="3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lant_ref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a_generators" connectionId="5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Q253"/>
  <sheetViews>
    <sheetView zoomScale="90" zoomScaleNormal="90" zoomScalePageLayoutView="90" workbookViewId="0"/>
  </sheetViews>
  <sheetFormatPr baseColWidth="10" defaultRowHeight="15" x14ac:dyDescent="0"/>
  <cols>
    <col min="1" max="1" width="25" customWidth="1"/>
    <col min="2" max="2" width="12" bestFit="1" customWidth="1"/>
    <col min="3" max="3" width="69.5" bestFit="1" customWidth="1"/>
    <col min="4" max="4" width="12.1640625" bestFit="1" customWidth="1"/>
    <col min="5" max="5" width="17.33203125" bestFit="1" customWidth="1"/>
    <col min="6" max="6" width="13" bestFit="1" customWidth="1"/>
    <col min="7" max="7" width="17.33203125" bestFit="1" customWidth="1"/>
    <col min="8" max="8" width="27.33203125" bestFit="1" customWidth="1"/>
    <col min="9" max="9" width="16.33203125" bestFit="1" customWidth="1"/>
    <col min="10" max="10" width="15.83203125" bestFit="1" customWidth="1"/>
    <col min="11" max="11" width="11.33203125" bestFit="1" customWidth="1"/>
    <col min="12" max="12" width="14.5" bestFit="1" customWidth="1"/>
    <col min="13" max="13" width="32.33203125" bestFit="1" customWidth="1"/>
    <col min="14" max="14" width="41.1640625" bestFit="1" customWidth="1"/>
    <col min="15" max="15" width="11.33203125" bestFit="1" customWidth="1"/>
    <col min="16" max="16" width="48.1640625" bestFit="1" customWidth="1"/>
    <col min="17" max="17" width="13" bestFit="1" customWidth="1"/>
    <col min="18" max="18" width="4.1640625" bestFit="1" customWidth="1"/>
  </cols>
  <sheetData>
    <row r="1" spans="1:17">
      <c r="A1" t="s">
        <v>0</v>
      </c>
      <c r="B1" t="s">
        <v>783</v>
      </c>
      <c r="C1" t="s">
        <v>784</v>
      </c>
      <c r="D1" t="s">
        <v>782</v>
      </c>
      <c r="E1" t="s">
        <v>785</v>
      </c>
      <c r="F1" t="s">
        <v>786</v>
      </c>
      <c r="G1" t="s">
        <v>787</v>
      </c>
      <c r="H1" t="s">
        <v>788</v>
      </c>
      <c r="I1" t="s">
        <v>789</v>
      </c>
      <c r="J1" t="s">
        <v>790</v>
      </c>
      <c r="K1" t="s">
        <v>791</v>
      </c>
      <c r="L1" t="s">
        <v>792</v>
      </c>
      <c r="M1" t="s">
        <v>793</v>
      </c>
      <c r="N1" t="s">
        <v>794</v>
      </c>
      <c r="O1" t="s">
        <v>795</v>
      </c>
      <c r="P1" t="s">
        <v>796</v>
      </c>
      <c r="Q1" t="s">
        <v>797</v>
      </c>
    </row>
    <row r="2" spans="1:17">
      <c r="A2" t="s">
        <v>1</v>
      </c>
      <c r="B2" t="s">
        <v>798</v>
      </c>
      <c r="C2" t="s">
        <v>799</v>
      </c>
      <c r="D2" t="s">
        <v>800</v>
      </c>
      <c r="E2">
        <v>480</v>
      </c>
      <c r="F2" t="s">
        <v>801</v>
      </c>
      <c r="G2">
        <v>500</v>
      </c>
      <c r="H2" t="s">
        <v>802</v>
      </c>
      <c r="I2" t="s">
        <v>803</v>
      </c>
      <c r="J2" t="s">
        <v>804</v>
      </c>
      <c r="K2" t="s">
        <v>803</v>
      </c>
      <c r="L2" t="s">
        <v>803</v>
      </c>
      <c r="M2" t="s">
        <v>805</v>
      </c>
      <c r="N2" t="s">
        <v>805</v>
      </c>
      <c r="O2" s="1">
        <v>42089</v>
      </c>
      <c r="P2" t="s">
        <v>806</v>
      </c>
      <c r="Q2">
        <v>480</v>
      </c>
    </row>
    <row r="3" spans="1:17">
      <c r="A3" t="s">
        <v>2</v>
      </c>
      <c r="B3" t="s">
        <v>807</v>
      </c>
      <c r="C3" t="s">
        <v>808</v>
      </c>
      <c r="D3" t="s">
        <v>551</v>
      </c>
      <c r="E3">
        <v>265</v>
      </c>
      <c r="F3" t="s">
        <v>809</v>
      </c>
      <c r="G3">
        <v>275</v>
      </c>
      <c r="H3" t="s">
        <v>810</v>
      </c>
      <c r="I3" t="s">
        <v>811</v>
      </c>
      <c r="J3" t="s">
        <v>812</v>
      </c>
      <c r="K3" t="s">
        <v>803</v>
      </c>
      <c r="L3" t="s">
        <v>803</v>
      </c>
      <c r="M3" t="s">
        <v>813</v>
      </c>
      <c r="N3" t="s">
        <v>814</v>
      </c>
      <c r="O3" s="1">
        <v>42089</v>
      </c>
      <c r="P3" t="s">
        <v>815</v>
      </c>
      <c r="Q3">
        <v>530</v>
      </c>
    </row>
    <row r="4" spans="1:17">
      <c r="A4" t="s">
        <v>2</v>
      </c>
      <c r="B4" t="s">
        <v>807</v>
      </c>
      <c r="C4" t="s">
        <v>808</v>
      </c>
      <c r="D4" t="s">
        <v>553</v>
      </c>
      <c r="E4">
        <v>265</v>
      </c>
      <c r="F4" t="s">
        <v>816</v>
      </c>
      <c r="G4">
        <v>275</v>
      </c>
      <c r="H4" t="s">
        <v>810</v>
      </c>
      <c r="I4" t="s">
        <v>811</v>
      </c>
      <c r="J4" t="s">
        <v>812</v>
      </c>
      <c r="K4" t="s">
        <v>803</v>
      </c>
      <c r="L4" t="s">
        <v>803</v>
      </c>
      <c r="M4" t="s">
        <v>813</v>
      </c>
      <c r="N4" t="s">
        <v>814</v>
      </c>
      <c r="O4" s="1">
        <v>42089</v>
      </c>
      <c r="P4" t="s">
        <v>815</v>
      </c>
      <c r="Q4">
        <v>530</v>
      </c>
    </row>
    <row r="5" spans="1:17">
      <c r="A5" t="s">
        <v>3</v>
      </c>
      <c r="B5" t="s">
        <v>817</v>
      </c>
      <c r="C5" t="s">
        <v>808</v>
      </c>
      <c r="D5" t="s">
        <v>818</v>
      </c>
      <c r="E5">
        <v>240</v>
      </c>
      <c r="F5" t="s">
        <v>819</v>
      </c>
      <c r="G5">
        <v>275</v>
      </c>
      <c r="H5" t="s">
        <v>810</v>
      </c>
      <c r="I5" t="s">
        <v>811</v>
      </c>
      <c r="J5" t="s">
        <v>812</v>
      </c>
      <c r="K5" t="s">
        <v>803</v>
      </c>
      <c r="L5" t="s">
        <v>803</v>
      </c>
      <c r="M5" t="s">
        <v>813</v>
      </c>
      <c r="N5" t="s">
        <v>814</v>
      </c>
      <c r="O5" s="1">
        <v>42089</v>
      </c>
      <c r="P5" t="s">
        <v>820</v>
      </c>
      <c r="Q5">
        <v>240</v>
      </c>
    </row>
    <row r="6" spans="1:17">
      <c r="A6" t="s">
        <v>4</v>
      </c>
      <c r="B6" t="s">
        <v>539</v>
      </c>
      <c r="C6" t="s">
        <v>821</v>
      </c>
      <c r="D6" t="s">
        <v>539</v>
      </c>
      <c r="E6">
        <v>70</v>
      </c>
      <c r="F6" t="s">
        <v>822</v>
      </c>
      <c r="G6">
        <v>33</v>
      </c>
      <c r="H6" t="s">
        <v>823</v>
      </c>
      <c r="I6" t="s">
        <v>811</v>
      </c>
      <c r="J6" t="s">
        <v>804</v>
      </c>
      <c r="K6" t="s">
        <v>811</v>
      </c>
      <c r="L6" t="s">
        <v>803</v>
      </c>
      <c r="M6" t="s">
        <v>824</v>
      </c>
      <c r="N6" t="s">
        <v>825</v>
      </c>
      <c r="O6" s="1">
        <v>42089</v>
      </c>
      <c r="P6" t="s">
        <v>826</v>
      </c>
      <c r="Q6">
        <v>70</v>
      </c>
    </row>
    <row r="7" spans="1:17">
      <c r="A7" t="s">
        <v>5</v>
      </c>
      <c r="B7" t="s">
        <v>827</v>
      </c>
      <c r="C7" t="s">
        <v>828</v>
      </c>
      <c r="D7" t="s">
        <v>574</v>
      </c>
      <c r="E7">
        <v>50</v>
      </c>
      <c r="F7" t="s">
        <v>829</v>
      </c>
      <c r="G7">
        <v>132</v>
      </c>
      <c r="H7" t="s">
        <v>830</v>
      </c>
      <c r="I7" t="s">
        <v>811</v>
      </c>
      <c r="J7" t="s">
        <v>812</v>
      </c>
      <c r="K7" t="s">
        <v>803</v>
      </c>
      <c r="L7" t="s">
        <v>803</v>
      </c>
      <c r="M7" t="s">
        <v>831</v>
      </c>
      <c r="N7" t="s">
        <v>832</v>
      </c>
      <c r="O7" s="1">
        <v>42089</v>
      </c>
      <c r="P7" t="s">
        <v>833</v>
      </c>
      <c r="Q7">
        <v>73</v>
      </c>
    </row>
    <row r="8" spans="1:17">
      <c r="A8" t="s">
        <v>5</v>
      </c>
      <c r="B8" t="s">
        <v>827</v>
      </c>
      <c r="C8" t="s">
        <v>828</v>
      </c>
      <c r="D8" t="s">
        <v>576</v>
      </c>
      <c r="E8">
        <v>23</v>
      </c>
      <c r="F8" t="s">
        <v>834</v>
      </c>
      <c r="G8">
        <v>33</v>
      </c>
      <c r="H8" t="s">
        <v>830</v>
      </c>
      <c r="I8" t="s">
        <v>811</v>
      </c>
      <c r="J8" t="s">
        <v>812</v>
      </c>
      <c r="K8" t="s">
        <v>803</v>
      </c>
      <c r="L8" t="s">
        <v>803</v>
      </c>
      <c r="M8" t="s">
        <v>831</v>
      </c>
      <c r="N8" t="s">
        <v>832</v>
      </c>
      <c r="O8" s="1">
        <v>42089</v>
      </c>
      <c r="P8" t="s">
        <v>833</v>
      </c>
      <c r="Q8">
        <v>73</v>
      </c>
    </row>
    <row r="9" spans="1:17">
      <c r="A9" t="s">
        <v>6</v>
      </c>
      <c r="B9" t="s">
        <v>297</v>
      </c>
      <c r="C9" t="s">
        <v>835</v>
      </c>
      <c r="D9" t="s">
        <v>297</v>
      </c>
      <c r="E9">
        <v>66</v>
      </c>
      <c r="F9" t="s">
        <v>836</v>
      </c>
      <c r="G9">
        <v>132</v>
      </c>
      <c r="H9" t="s">
        <v>823</v>
      </c>
      <c r="I9" t="s">
        <v>811</v>
      </c>
      <c r="J9" t="s">
        <v>804</v>
      </c>
      <c r="K9" t="s">
        <v>811</v>
      </c>
      <c r="L9" t="s">
        <v>803</v>
      </c>
      <c r="M9" t="s">
        <v>824</v>
      </c>
      <c r="N9" t="s">
        <v>825</v>
      </c>
      <c r="O9" s="1">
        <v>42089</v>
      </c>
      <c r="P9" t="s">
        <v>837</v>
      </c>
      <c r="Q9">
        <v>66</v>
      </c>
    </row>
    <row r="10" spans="1:17">
      <c r="A10" t="s">
        <v>7</v>
      </c>
      <c r="B10" t="s">
        <v>838</v>
      </c>
      <c r="C10" t="s">
        <v>839</v>
      </c>
      <c r="D10" t="s">
        <v>545</v>
      </c>
      <c r="E10">
        <v>132</v>
      </c>
      <c r="F10" t="s">
        <v>840</v>
      </c>
      <c r="G10">
        <v>275</v>
      </c>
      <c r="H10" t="s">
        <v>810</v>
      </c>
      <c r="I10" t="s">
        <v>811</v>
      </c>
      <c r="J10" t="s">
        <v>841</v>
      </c>
      <c r="K10" t="s">
        <v>811</v>
      </c>
      <c r="L10" t="s">
        <v>811</v>
      </c>
      <c r="M10" t="s">
        <v>824</v>
      </c>
      <c r="N10" t="s">
        <v>825</v>
      </c>
      <c r="O10" s="1">
        <v>42089</v>
      </c>
      <c r="P10" t="s">
        <v>842</v>
      </c>
      <c r="Q10">
        <v>132</v>
      </c>
    </row>
    <row r="11" spans="1:17">
      <c r="A11" t="s">
        <v>8</v>
      </c>
      <c r="B11" t="s">
        <v>164</v>
      </c>
      <c r="C11" t="s">
        <v>843</v>
      </c>
      <c r="D11" t="s">
        <v>164</v>
      </c>
      <c r="E11">
        <v>180</v>
      </c>
      <c r="F11" t="s">
        <v>844</v>
      </c>
      <c r="G11">
        <v>275</v>
      </c>
      <c r="H11" t="s">
        <v>830</v>
      </c>
      <c r="I11" t="s">
        <v>811</v>
      </c>
      <c r="J11" t="s">
        <v>812</v>
      </c>
      <c r="K11" t="s">
        <v>803</v>
      </c>
      <c r="L11" t="s">
        <v>803</v>
      </c>
      <c r="M11" t="s">
        <v>845</v>
      </c>
      <c r="N11" t="s">
        <v>846</v>
      </c>
      <c r="O11" s="1">
        <v>42089</v>
      </c>
      <c r="P11" t="s">
        <v>847</v>
      </c>
      <c r="Q11">
        <v>180</v>
      </c>
    </row>
    <row r="12" spans="1:17">
      <c r="A12" t="s">
        <v>9</v>
      </c>
      <c r="B12" t="s">
        <v>848</v>
      </c>
      <c r="C12" t="s">
        <v>839</v>
      </c>
      <c r="D12" t="s">
        <v>397</v>
      </c>
      <c r="E12">
        <v>95</v>
      </c>
      <c r="F12" t="s">
        <v>849</v>
      </c>
      <c r="G12">
        <v>275</v>
      </c>
      <c r="H12" t="s">
        <v>810</v>
      </c>
      <c r="I12" t="s">
        <v>811</v>
      </c>
      <c r="J12" t="s">
        <v>841</v>
      </c>
      <c r="K12" t="s">
        <v>811</v>
      </c>
      <c r="L12" t="s">
        <v>811</v>
      </c>
      <c r="M12" t="s">
        <v>824</v>
      </c>
      <c r="N12" t="s">
        <v>825</v>
      </c>
      <c r="O12" s="1">
        <v>42089</v>
      </c>
      <c r="P12" t="s">
        <v>850</v>
      </c>
      <c r="Q12">
        <v>95</v>
      </c>
    </row>
    <row r="13" spans="1:17">
      <c r="A13" t="s">
        <v>10</v>
      </c>
      <c r="B13" t="s">
        <v>399</v>
      </c>
      <c r="C13" t="s">
        <v>839</v>
      </c>
      <c r="D13" t="s">
        <v>399</v>
      </c>
      <c r="E13">
        <v>71</v>
      </c>
      <c r="F13" t="s">
        <v>851</v>
      </c>
      <c r="G13">
        <v>275</v>
      </c>
      <c r="H13" t="s">
        <v>810</v>
      </c>
      <c r="I13" t="s">
        <v>811</v>
      </c>
      <c r="J13" t="s">
        <v>841</v>
      </c>
      <c r="K13" t="s">
        <v>811</v>
      </c>
      <c r="L13" t="s">
        <v>811</v>
      </c>
      <c r="M13" t="s">
        <v>824</v>
      </c>
      <c r="N13" t="s">
        <v>825</v>
      </c>
      <c r="O13" s="1">
        <v>42089</v>
      </c>
      <c r="P13" t="s">
        <v>852</v>
      </c>
      <c r="Q13">
        <v>71</v>
      </c>
    </row>
    <row r="14" spans="1:17">
      <c r="A14" t="s">
        <v>11</v>
      </c>
      <c r="B14" t="s">
        <v>853</v>
      </c>
      <c r="C14" t="s">
        <v>854</v>
      </c>
      <c r="D14" t="s">
        <v>631</v>
      </c>
      <c r="E14">
        <v>99</v>
      </c>
      <c r="F14" t="s">
        <v>855</v>
      </c>
      <c r="G14">
        <v>132</v>
      </c>
      <c r="H14" t="s">
        <v>810</v>
      </c>
      <c r="I14" t="s">
        <v>811</v>
      </c>
      <c r="J14" t="s">
        <v>841</v>
      </c>
      <c r="K14" t="s">
        <v>811</v>
      </c>
      <c r="L14" t="s">
        <v>811</v>
      </c>
      <c r="M14" t="s">
        <v>824</v>
      </c>
      <c r="N14" t="s">
        <v>825</v>
      </c>
      <c r="O14" s="1">
        <v>42089</v>
      </c>
      <c r="P14" t="s">
        <v>856</v>
      </c>
      <c r="Q14">
        <v>99</v>
      </c>
    </row>
    <row r="15" spans="1:17">
      <c r="A15" t="s">
        <v>12</v>
      </c>
      <c r="B15" t="s">
        <v>857</v>
      </c>
      <c r="C15" t="s">
        <v>858</v>
      </c>
      <c r="D15" t="s">
        <v>627</v>
      </c>
      <c r="E15">
        <v>144</v>
      </c>
      <c r="F15" t="s">
        <v>859</v>
      </c>
      <c r="G15">
        <v>275</v>
      </c>
      <c r="H15" t="s">
        <v>810</v>
      </c>
      <c r="I15" t="s">
        <v>811</v>
      </c>
      <c r="J15" t="s">
        <v>841</v>
      </c>
      <c r="K15" t="s">
        <v>811</v>
      </c>
      <c r="L15" t="s">
        <v>811</v>
      </c>
      <c r="M15" t="s">
        <v>824</v>
      </c>
      <c r="N15" t="s">
        <v>825</v>
      </c>
      <c r="O15" s="1">
        <v>42089</v>
      </c>
      <c r="P15" t="s">
        <v>860</v>
      </c>
      <c r="Q15">
        <v>144</v>
      </c>
    </row>
    <row r="16" spans="1:17">
      <c r="A16" t="s">
        <v>13</v>
      </c>
      <c r="B16" t="s">
        <v>861</v>
      </c>
      <c r="C16" t="s">
        <v>858</v>
      </c>
      <c r="D16" t="s">
        <v>629</v>
      </c>
      <c r="E16">
        <v>126</v>
      </c>
      <c r="F16" t="s">
        <v>862</v>
      </c>
      <c r="G16">
        <v>275</v>
      </c>
      <c r="H16" t="s">
        <v>810</v>
      </c>
      <c r="I16" t="s">
        <v>811</v>
      </c>
      <c r="J16" t="s">
        <v>841</v>
      </c>
      <c r="K16" t="s">
        <v>811</v>
      </c>
      <c r="L16" t="s">
        <v>811</v>
      </c>
      <c r="M16" t="s">
        <v>824</v>
      </c>
      <c r="N16" t="s">
        <v>825</v>
      </c>
      <c r="O16" s="1">
        <v>42089</v>
      </c>
      <c r="P16" t="s">
        <v>863</v>
      </c>
      <c r="Q16">
        <v>126</v>
      </c>
    </row>
    <row r="17" spans="1:17">
      <c r="A17" t="s">
        <v>14</v>
      </c>
      <c r="B17" t="s">
        <v>864</v>
      </c>
      <c r="C17" t="s">
        <v>839</v>
      </c>
      <c r="D17" t="s">
        <v>243</v>
      </c>
      <c r="E17">
        <v>53</v>
      </c>
      <c r="F17" t="s">
        <v>865</v>
      </c>
      <c r="G17">
        <v>275</v>
      </c>
      <c r="H17" t="s">
        <v>810</v>
      </c>
      <c r="I17" t="s">
        <v>811</v>
      </c>
      <c r="J17" t="s">
        <v>841</v>
      </c>
      <c r="K17" t="s">
        <v>811</v>
      </c>
      <c r="L17" t="s">
        <v>811</v>
      </c>
      <c r="M17" t="s">
        <v>824</v>
      </c>
      <c r="N17" t="s">
        <v>825</v>
      </c>
      <c r="O17" s="1">
        <v>42089</v>
      </c>
      <c r="P17" t="s">
        <v>866</v>
      </c>
      <c r="Q17">
        <v>53</v>
      </c>
    </row>
    <row r="18" spans="1:17">
      <c r="A18" t="s">
        <v>15</v>
      </c>
      <c r="B18" t="s">
        <v>316</v>
      </c>
      <c r="C18" t="s">
        <v>867</v>
      </c>
      <c r="D18" t="s">
        <v>316</v>
      </c>
      <c r="E18">
        <v>57</v>
      </c>
      <c r="F18" t="s">
        <v>868</v>
      </c>
      <c r="G18">
        <v>132</v>
      </c>
      <c r="H18" t="s">
        <v>810</v>
      </c>
      <c r="I18" t="s">
        <v>811</v>
      </c>
      <c r="J18" t="s">
        <v>841</v>
      </c>
      <c r="K18" t="s">
        <v>811</v>
      </c>
      <c r="L18" t="s">
        <v>811</v>
      </c>
      <c r="M18" t="s">
        <v>824</v>
      </c>
      <c r="N18" t="s">
        <v>825</v>
      </c>
      <c r="O18" s="1">
        <v>42089</v>
      </c>
      <c r="P18" t="s">
        <v>869</v>
      </c>
      <c r="Q18">
        <v>57</v>
      </c>
    </row>
    <row r="19" spans="1:17">
      <c r="A19" t="s">
        <v>16</v>
      </c>
      <c r="B19" t="s">
        <v>725</v>
      </c>
      <c r="C19" t="s">
        <v>870</v>
      </c>
      <c r="D19" t="s">
        <v>725</v>
      </c>
      <c r="E19">
        <v>111</v>
      </c>
      <c r="F19" t="s">
        <v>871</v>
      </c>
      <c r="G19">
        <v>132</v>
      </c>
      <c r="H19" t="s">
        <v>810</v>
      </c>
      <c r="I19" t="s">
        <v>811</v>
      </c>
      <c r="J19" t="s">
        <v>841</v>
      </c>
      <c r="K19" t="s">
        <v>811</v>
      </c>
      <c r="L19" t="s">
        <v>811</v>
      </c>
      <c r="M19" t="s">
        <v>824</v>
      </c>
      <c r="N19" t="s">
        <v>825</v>
      </c>
      <c r="O19" s="1">
        <v>42089</v>
      </c>
      <c r="P19" t="s">
        <v>872</v>
      </c>
      <c r="Q19">
        <v>111</v>
      </c>
    </row>
    <row r="20" spans="1:17">
      <c r="A20" t="s">
        <v>17</v>
      </c>
      <c r="B20" t="s">
        <v>511</v>
      </c>
      <c r="C20" t="s">
        <v>828</v>
      </c>
      <c r="D20" t="s">
        <v>511</v>
      </c>
      <c r="E20">
        <v>90</v>
      </c>
      <c r="F20" t="s">
        <v>873</v>
      </c>
      <c r="G20">
        <v>132</v>
      </c>
      <c r="H20" t="s">
        <v>830</v>
      </c>
      <c r="I20" t="s">
        <v>811</v>
      </c>
      <c r="J20" t="s">
        <v>812</v>
      </c>
      <c r="K20" t="s">
        <v>803</v>
      </c>
      <c r="L20" t="s">
        <v>803</v>
      </c>
      <c r="M20" t="s">
        <v>874</v>
      </c>
      <c r="N20" t="s">
        <v>832</v>
      </c>
      <c r="O20" s="1">
        <v>42089</v>
      </c>
      <c r="P20" t="s">
        <v>875</v>
      </c>
      <c r="Q20">
        <v>90</v>
      </c>
    </row>
    <row r="21" spans="1:17">
      <c r="A21" t="s">
        <v>18</v>
      </c>
      <c r="B21" t="s">
        <v>762</v>
      </c>
      <c r="C21" t="s">
        <v>839</v>
      </c>
      <c r="D21" t="s">
        <v>762</v>
      </c>
      <c r="E21">
        <v>91</v>
      </c>
      <c r="F21" t="s">
        <v>876</v>
      </c>
      <c r="G21">
        <v>132</v>
      </c>
      <c r="H21" t="s">
        <v>823</v>
      </c>
      <c r="I21" t="s">
        <v>811</v>
      </c>
      <c r="J21" t="s">
        <v>804</v>
      </c>
      <c r="K21" t="s">
        <v>811</v>
      </c>
      <c r="L21" t="s">
        <v>803</v>
      </c>
      <c r="M21" t="s">
        <v>824</v>
      </c>
      <c r="N21" t="s">
        <v>825</v>
      </c>
      <c r="O21" s="1">
        <v>42089</v>
      </c>
      <c r="P21" t="s">
        <v>877</v>
      </c>
      <c r="Q21">
        <v>91</v>
      </c>
    </row>
    <row r="22" spans="1:17">
      <c r="A22" t="s">
        <v>19</v>
      </c>
      <c r="B22" t="s">
        <v>878</v>
      </c>
      <c r="C22" t="s">
        <v>879</v>
      </c>
      <c r="D22" t="s">
        <v>186</v>
      </c>
      <c r="E22">
        <v>30</v>
      </c>
      <c r="F22" t="s">
        <v>880</v>
      </c>
      <c r="G22">
        <v>33</v>
      </c>
      <c r="H22" t="s">
        <v>823</v>
      </c>
      <c r="I22" t="s">
        <v>811</v>
      </c>
      <c r="J22" t="s">
        <v>804</v>
      </c>
      <c r="K22" t="s">
        <v>803</v>
      </c>
      <c r="L22" t="s">
        <v>803</v>
      </c>
      <c r="M22" t="s">
        <v>831</v>
      </c>
      <c r="N22" t="s">
        <v>881</v>
      </c>
      <c r="O22" s="1">
        <v>42089</v>
      </c>
      <c r="P22" t="s">
        <v>882</v>
      </c>
      <c r="Q22">
        <v>50</v>
      </c>
    </row>
    <row r="23" spans="1:17">
      <c r="A23" t="s">
        <v>19</v>
      </c>
      <c r="B23" t="s">
        <v>878</v>
      </c>
      <c r="C23" t="s">
        <v>879</v>
      </c>
      <c r="D23" t="s">
        <v>189</v>
      </c>
      <c r="E23">
        <v>20</v>
      </c>
      <c r="F23" t="s">
        <v>883</v>
      </c>
      <c r="G23">
        <v>33</v>
      </c>
      <c r="H23" t="s">
        <v>823</v>
      </c>
      <c r="I23" t="s">
        <v>811</v>
      </c>
      <c r="J23" t="s">
        <v>804</v>
      </c>
      <c r="K23" t="s">
        <v>803</v>
      </c>
      <c r="L23" t="s">
        <v>803</v>
      </c>
      <c r="M23" t="s">
        <v>831</v>
      </c>
      <c r="N23" t="s">
        <v>881</v>
      </c>
      <c r="O23" s="1">
        <v>42089</v>
      </c>
      <c r="P23" t="s">
        <v>882</v>
      </c>
      <c r="Q23">
        <v>50</v>
      </c>
    </row>
    <row r="24" spans="1:17">
      <c r="A24" t="s">
        <v>20</v>
      </c>
      <c r="B24" t="s">
        <v>884</v>
      </c>
      <c r="C24" t="s">
        <v>885</v>
      </c>
      <c r="D24" t="s">
        <v>581</v>
      </c>
      <c r="E24">
        <v>478</v>
      </c>
      <c r="F24" t="s">
        <v>886</v>
      </c>
      <c r="G24">
        <v>275</v>
      </c>
      <c r="H24" t="s">
        <v>810</v>
      </c>
      <c r="I24" t="s">
        <v>811</v>
      </c>
      <c r="J24" t="s">
        <v>812</v>
      </c>
      <c r="K24" t="s">
        <v>803</v>
      </c>
      <c r="L24" t="s">
        <v>803</v>
      </c>
      <c r="M24" t="s">
        <v>874</v>
      </c>
      <c r="N24" t="s">
        <v>846</v>
      </c>
      <c r="O24" s="1">
        <v>42089</v>
      </c>
      <c r="P24" t="s">
        <v>887</v>
      </c>
      <c r="Q24">
        <v>478</v>
      </c>
    </row>
    <row r="25" spans="1:17">
      <c r="A25" t="s">
        <v>21</v>
      </c>
      <c r="B25" t="s">
        <v>888</v>
      </c>
      <c r="C25" t="s">
        <v>889</v>
      </c>
      <c r="D25" t="s">
        <v>590</v>
      </c>
      <c r="E25">
        <v>24</v>
      </c>
      <c r="F25" t="s">
        <v>890</v>
      </c>
      <c r="G25">
        <v>66</v>
      </c>
      <c r="H25" t="s">
        <v>830</v>
      </c>
      <c r="I25" t="s">
        <v>811</v>
      </c>
      <c r="J25" t="s">
        <v>812</v>
      </c>
      <c r="K25" t="s">
        <v>803</v>
      </c>
      <c r="L25" t="s">
        <v>803</v>
      </c>
      <c r="M25" t="s">
        <v>874</v>
      </c>
      <c r="N25" t="s">
        <v>832</v>
      </c>
      <c r="O25" s="1">
        <v>42089</v>
      </c>
      <c r="P25" t="s">
        <v>891</v>
      </c>
      <c r="Q25">
        <v>224</v>
      </c>
    </row>
    <row r="26" spans="1:17">
      <c r="A26" t="s">
        <v>21</v>
      </c>
      <c r="B26" t="s">
        <v>888</v>
      </c>
      <c r="C26" t="s">
        <v>889</v>
      </c>
      <c r="D26" t="s">
        <v>592</v>
      </c>
      <c r="E26">
        <v>24</v>
      </c>
      <c r="F26" t="s">
        <v>892</v>
      </c>
      <c r="G26">
        <v>66</v>
      </c>
      <c r="H26" t="s">
        <v>830</v>
      </c>
      <c r="I26" t="s">
        <v>811</v>
      </c>
      <c r="J26" t="s">
        <v>812</v>
      </c>
      <c r="K26" t="s">
        <v>803</v>
      </c>
      <c r="L26" t="s">
        <v>803</v>
      </c>
      <c r="M26" t="s">
        <v>874</v>
      </c>
      <c r="N26" t="s">
        <v>832</v>
      </c>
      <c r="O26" s="1">
        <v>42089</v>
      </c>
      <c r="P26" t="s">
        <v>891</v>
      </c>
      <c r="Q26">
        <v>224</v>
      </c>
    </row>
    <row r="27" spans="1:17">
      <c r="A27" t="s">
        <v>21</v>
      </c>
      <c r="B27" t="s">
        <v>888</v>
      </c>
      <c r="C27" t="s">
        <v>889</v>
      </c>
      <c r="D27" t="s">
        <v>593</v>
      </c>
      <c r="E27">
        <v>24</v>
      </c>
      <c r="F27" t="s">
        <v>893</v>
      </c>
      <c r="G27">
        <v>66</v>
      </c>
      <c r="H27" t="s">
        <v>830</v>
      </c>
      <c r="I27" t="s">
        <v>811</v>
      </c>
      <c r="J27" t="s">
        <v>812</v>
      </c>
      <c r="K27" t="s">
        <v>803</v>
      </c>
      <c r="L27" t="s">
        <v>803</v>
      </c>
      <c r="M27" t="s">
        <v>874</v>
      </c>
      <c r="N27" t="s">
        <v>832</v>
      </c>
      <c r="O27" s="1">
        <v>42089</v>
      </c>
      <c r="P27" t="s">
        <v>891</v>
      </c>
      <c r="Q27">
        <v>224</v>
      </c>
    </row>
    <row r="28" spans="1:17">
      <c r="A28" t="s">
        <v>21</v>
      </c>
      <c r="B28" t="s">
        <v>888</v>
      </c>
      <c r="C28" t="s">
        <v>889</v>
      </c>
      <c r="D28" t="s">
        <v>594</v>
      </c>
      <c r="E28">
        <v>24</v>
      </c>
      <c r="F28" t="s">
        <v>894</v>
      </c>
      <c r="G28">
        <v>66</v>
      </c>
      <c r="H28" t="s">
        <v>830</v>
      </c>
      <c r="I28" t="s">
        <v>811</v>
      </c>
      <c r="J28" t="s">
        <v>812</v>
      </c>
      <c r="K28" t="s">
        <v>803</v>
      </c>
      <c r="L28" t="s">
        <v>803</v>
      </c>
      <c r="M28" t="s">
        <v>874</v>
      </c>
      <c r="N28" t="s">
        <v>832</v>
      </c>
      <c r="O28" s="1">
        <v>42089</v>
      </c>
      <c r="P28" t="s">
        <v>891</v>
      </c>
      <c r="Q28">
        <v>224</v>
      </c>
    </row>
    <row r="29" spans="1:17">
      <c r="A29" t="s">
        <v>21</v>
      </c>
      <c r="B29" t="s">
        <v>888</v>
      </c>
      <c r="C29" t="s">
        <v>889</v>
      </c>
      <c r="D29" t="s">
        <v>595</v>
      </c>
      <c r="E29">
        <v>128</v>
      </c>
      <c r="F29" t="s">
        <v>895</v>
      </c>
      <c r="G29">
        <v>66</v>
      </c>
      <c r="H29" t="s">
        <v>830</v>
      </c>
      <c r="I29" t="s">
        <v>811</v>
      </c>
      <c r="J29" t="s">
        <v>812</v>
      </c>
      <c r="K29" t="s">
        <v>803</v>
      </c>
      <c r="L29" t="s">
        <v>803</v>
      </c>
      <c r="M29" t="s">
        <v>874</v>
      </c>
      <c r="N29" t="s">
        <v>832</v>
      </c>
      <c r="O29" s="1">
        <v>42089</v>
      </c>
      <c r="P29" t="s">
        <v>891</v>
      </c>
      <c r="Q29">
        <v>224</v>
      </c>
    </row>
    <row r="30" spans="1:17">
      <c r="A30" t="s">
        <v>22</v>
      </c>
      <c r="B30" t="s">
        <v>896</v>
      </c>
      <c r="C30" t="s">
        <v>889</v>
      </c>
      <c r="D30" t="s">
        <v>561</v>
      </c>
      <c r="E30">
        <v>180</v>
      </c>
      <c r="F30" t="s">
        <v>897</v>
      </c>
      <c r="G30">
        <v>66</v>
      </c>
      <c r="H30" t="s">
        <v>810</v>
      </c>
      <c r="I30" t="s">
        <v>811</v>
      </c>
      <c r="J30" t="s">
        <v>812</v>
      </c>
      <c r="K30" t="s">
        <v>803</v>
      </c>
      <c r="L30" t="s">
        <v>803</v>
      </c>
      <c r="M30" t="s">
        <v>874</v>
      </c>
      <c r="N30" t="s">
        <v>846</v>
      </c>
      <c r="O30" s="1">
        <v>42089</v>
      </c>
      <c r="P30" t="s">
        <v>898</v>
      </c>
      <c r="Q30">
        <v>180</v>
      </c>
    </row>
    <row r="31" spans="1:17">
      <c r="A31" t="s">
        <v>23</v>
      </c>
      <c r="B31" t="s">
        <v>899</v>
      </c>
      <c r="C31" t="s">
        <v>900</v>
      </c>
      <c r="D31" t="s">
        <v>687</v>
      </c>
      <c r="E31">
        <v>200</v>
      </c>
      <c r="F31" t="s">
        <v>901</v>
      </c>
      <c r="G31">
        <v>275</v>
      </c>
      <c r="H31" t="s">
        <v>810</v>
      </c>
      <c r="I31" t="s">
        <v>811</v>
      </c>
      <c r="J31" t="s">
        <v>812</v>
      </c>
      <c r="K31" t="s">
        <v>803</v>
      </c>
      <c r="L31" t="s">
        <v>803</v>
      </c>
      <c r="M31" t="s">
        <v>902</v>
      </c>
      <c r="N31" t="s">
        <v>814</v>
      </c>
      <c r="O31" s="1">
        <v>42089</v>
      </c>
      <c r="P31" t="s">
        <v>903</v>
      </c>
      <c r="Q31">
        <v>800</v>
      </c>
    </row>
    <row r="32" spans="1:17">
      <c r="A32" t="s">
        <v>23</v>
      </c>
      <c r="B32" t="s">
        <v>899</v>
      </c>
      <c r="C32" t="s">
        <v>900</v>
      </c>
      <c r="D32" t="s">
        <v>689</v>
      </c>
      <c r="E32">
        <v>200</v>
      </c>
      <c r="F32" t="s">
        <v>904</v>
      </c>
      <c r="G32">
        <v>275</v>
      </c>
      <c r="H32" t="s">
        <v>810</v>
      </c>
      <c r="I32" t="s">
        <v>811</v>
      </c>
      <c r="J32" t="s">
        <v>812</v>
      </c>
      <c r="K32" t="s">
        <v>803</v>
      </c>
      <c r="L32" t="s">
        <v>803</v>
      </c>
      <c r="M32" t="s">
        <v>902</v>
      </c>
      <c r="N32" t="s">
        <v>814</v>
      </c>
      <c r="O32" s="1">
        <v>42089</v>
      </c>
      <c r="P32" t="s">
        <v>903</v>
      </c>
      <c r="Q32">
        <v>800</v>
      </c>
    </row>
    <row r="33" spans="1:17">
      <c r="A33" t="s">
        <v>23</v>
      </c>
      <c r="B33" t="s">
        <v>899</v>
      </c>
      <c r="C33" t="s">
        <v>900</v>
      </c>
      <c r="D33" t="s">
        <v>690</v>
      </c>
      <c r="E33">
        <v>200</v>
      </c>
      <c r="F33" t="s">
        <v>905</v>
      </c>
      <c r="G33">
        <v>275</v>
      </c>
      <c r="H33" t="s">
        <v>810</v>
      </c>
      <c r="I33" t="s">
        <v>811</v>
      </c>
      <c r="J33" t="s">
        <v>812</v>
      </c>
      <c r="K33" t="s">
        <v>803</v>
      </c>
      <c r="L33" t="s">
        <v>803</v>
      </c>
      <c r="M33" t="s">
        <v>902</v>
      </c>
      <c r="N33" t="s">
        <v>814</v>
      </c>
      <c r="O33" s="1">
        <v>42089</v>
      </c>
      <c r="P33" t="s">
        <v>903</v>
      </c>
      <c r="Q33">
        <v>800</v>
      </c>
    </row>
    <row r="34" spans="1:17">
      <c r="A34" t="s">
        <v>23</v>
      </c>
      <c r="B34" t="s">
        <v>899</v>
      </c>
      <c r="C34" t="s">
        <v>900</v>
      </c>
      <c r="D34" t="s">
        <v>691</v>
      </c>
      <c r="E34">
        <v>200</v>
      </c>
      <c r="F34" t="s">
        <v>906</v>
      </c>
      <c r="G34">
        <v>275</v>
      </c>
      <c r="H34" t="s">
        <v>810</v>
      </c>
      <c r="I34" t="s">
        <v>811</v>
      </c>
      <c r="J34" t="s">
        <v>812</v>
      </c>
      <c r="K34" t="s">
        <v>803</v>
      </c>
      <c r="L34" t="s">
        <v>803</v>
      </c>
      <c r="M34" t="s">
        <v>902</v>
      </c>
      <c r="N34" t="s">
        <v>814</v>
      </c>
      <c r="O34" s="1">
        <v>42089</v>
      </c>
      <c r="P34" t="s">
        <v>903</v>
      </c>
      <c r="Q34">
        <v>800</v>
      </c>
    </row>
    <row r="35" spans="1:17">
      <c r="A35" t="s">
        <v>24</v>
      </c>
      <c r="B35" t="s">
        <v>899</v>
      </c>
      <c r="C35" t="s">
        <v>900</v>
      </c>
      <c r="D35" t="s">
        <v>682</v>
      </c>
      <c r="E35">
        <v>120</v>
      </c>
      <c r="F35" t="s">
        <v>907</v>
      </c>
      <c r="G35">
        <v>275</v>
      </c>
      <c r="H35" t="s">
        <v>810</v>
      </c>
      <c r="I35" t="s">
        <v>811</v>
      </c>
      <c r="J35" t="s">
        <v>812</v>
      </c>
      <c r="K35" t="s">
        <v>803</v>
      </c>
      <c r="L35" t="s">
        <v>803</v>
      </c>
      <c r="M35" t="s">
        <v>902</v>
      </c>
      <c r="N35" t="s">
        <v>814</v>
      </c>
      <c r="O35" s="1">
        <v>42089</v>
      </c>
      <c r="P35" t="s">
        <v>908</v>
      </c>
      <c r="Q35">
        <v>480</v>
      </c>
    </row>
    <row r="36" spans="1:17">
      <c r="A36" t="s">
        <v>24</v>
      </c>
      <c r="B36" t="s">
        <v>899</v>
      </c>
      <c r="C36" t="s">
        <v>900</v>
      </c>
      <c r="D36" t="s">
        <v>684</v>
      </c>
      <c r="E36">
        <v>120</v>
      </c>
      <c r="F36" t="s">
        <v>909</v>
      </c>
      <c r="G36">
        <v>275</v>
      </c>
      <c r="H36" t="s">
        <v>810</v>
      </c>
      <c r="I36" t="s">
        <v>811</v>
      </c>
      <c r="J36" t="s">
        <v>812</v>
      </c>
      <c r="K36" t="s">
        <v>803</v>
      </c>
      <c r="L36" t="s">
        <v>803</v>
      </c>
      <c r="M36" t="s">
        <v>902</v>
      </c>
      <c r="N36" t="s">
        <v>814</v>
      </c>
      <c r="O36" s="1">
        <v>42089</v>
      </c>
      <c r="P36" t="s">
        <v>908</v>
      </c>
      <c r="Q36">
        <v>480</v>
      </c>
    </row>
    <row r="37" spans="1:17">
      <c r="A37" t="s">
        <v>24</v>
      </c>
      <c r="B37" t="s">
        <v>899</v>
      </c>
      <c r="C37" t="s">
        <v>900</v>
      </c>
      <c r="D37" t="s">
        <v>685</v>
      </c>
      <c r="E37">
        <v>120</v>
      </c>
      <c r="F37" t="s">
        <v>910</v>
      </c>
      <c r="G37">
        <v>275</v>
      </c>
      <c r="H37" t="s">
        <v>810</v>
      </c>
      <c r="I37" t="s">
        <v>811</v>
      </c>
      <c r="J37" t="s">
        <v>812</v>
      </c>
      <c r="K37" t="s">
        <v>803</v>
      </c>
      <c r="L37" t="s">
        <v>803</v>
      </c>
      <c r="M37" t="s">
        <v>902</v>
      </c>
      <c r="N37" t="s">
        <v>814</v>
      </c>
      <c r="O37" s="1">
        <v>42089</v>
      </c>
      <c r="P37" t="s">
        <v>908</v>
      </c>
      <c r="Q37">
        <v>480</v>
      </c>
    </row>
    <row r="38" spans="1:17">
      <c r="A38" t="s">
        <v>24</v>
      </c>
      <c r="B38" t="s">
        <v>899</v>
      </c>
      <c r="C38" t="s">
        <v>900</v>
      </c>
      <c r="D38" t="s">
        <v>686</v>
      </c>
      <c r="E38">
        <v>120</v>
      </c>
      <c r="F38" t="s">
        <v>911</v>
      </c>
      <c r="G38">
        <v>275</v>
      </c>
      <c r="H38" t="s">
        <v>810</v>
      </c>
      <c r="I38" t="s">
        <v>811</v>
      </c>
      <c r="J38" t="s">
        <v>812</v>
      </c>
      <c r="K38" t="s">
        <v>803</v>
      </c>
      <c r="L38" t="s">
        <v>803</v>
      </c>
      <c r="M38" t="s">
        <v>902</v>
      </c>
      <c r="N38" t="s">
        <v>814</v>
      </c>
      <c r="O38" s="1">
        <v>42089</v>
      </c>
      <c r="P38" t="s">
        <v>908</v>
      </c>
      <c r="Q38">
        <v>480</v>
      </c>
    </row>
    <row r="39" spans="1:17">
      <c r="A39" t="s">
        <v>25</v>
      </c>
      <c r="B39" t="s">
        <v>912</v>
      </c>
      <c r="C39" t="s">
        <v>828</v>
      </c>
      <c r="D39" t="s">
        <v>347</v>
      </c>
      <c r="E39">
        <v>52</v>
      </c>
      <c r="F39" t="s">
        <v>913</v>
      </c>
      <c r="G39">
        <v>66</v>
      </c>
      <c r="H39" t="s">
        <v>830</v>
      </c>
      <c r="I39" t="s">
        <v>811</v>
      </c>
      <c r="J39" t="s">
        <v>812</v>
      </c>
      <c r="K39" t="s">
        <v>803</v>
      </c>
      <c r="L39" t="s">
        <v>803</v>
      </c>
      <c r="M39" t="s">
        <v>874</v>
      </c>
      <c r="N39" t="s">
        <v>832</v>
      </c>
      <c r="O39" s="1">
        <v>42089</v>
      </c>
      <c r="P39" t="s">
        <v>914</v>
      </c>
      <c r="Q39">
        <v>156</v>
      </c>
    </row>
    <row r="40" spans="1:17">
      <c r="A40" t="s">
        <v>25</v>
      </c>
      <c r="B40" t="s">
        <v>912</v>
      </c>
      <c r="C40" t="s">
        <v>828</v>
      </c>
      <c r="D40" t="s">
        <v>349</v>
      </c>
      <c r="E40">
        <v>52</v>
      </c>
      <c r="F40" t="s">
        <v>915</v>
      </c>
      <c r="G40">
        <v>66</v>
      </c>
      <c r="H40" t="s">
        <v>830</v>
      </c>
      <c r="I40" t="s">
        <v>811</v>
      </c>
      <c r="J40" t="s">
        <v>812</v>
      </c>
      <c r="K40" t="s">
        <v>803</v>
      </c>
      <c r="L40" t="s">
        <v>803</v>
      </c>
      <c r="M40" t="s">
        <v>874</v>
      </c>
      <c r="N40" t="s">
        <v>832</v>
      </c>
      <c r="O40" s="1">
        <v>42089</v>
      </c>
      <c r="P40" t="s">
        <v>914</v>
      </c>
      <c r="Q40">
        <v>156</v>
      </c>
    </row>
    <row r="41" spans="1:17">
      <c r="A41" t="s">
        <v>25</v>
      </c>
      <c r="B41" t="s">
        <v>912</v>
      </c>
      <c r="C41" t="s">
        <v>828</v>
      </c>
      <c r="D41" t="s">
        <v>350</v>
      </c>
      <c r="E41">
        <v>52</v>
      </c>
      <c r="F41" t="s">
        <v>916</v>
      </c>
      <c r="G41">
        <v>66</v>
      </c>
      <c r="H41" t="s">
        <v>830</v>
      </c>
      <c r="I41" t="s">
        <v>811</v>
      </c>
      <c r="J41" t="s">
        <v>812</v>
      </c>
      <c r="K41" t="s">
        <v>803</v>
      </c>
      <c r="L41" t="s">
        <v>803</v>
      </c>
      <c r="M41" t="s">
        <v>874</v>
      </c>
      <c r="N41" t="s">
        <v>832</v>
      </c>
      <c r="O41" s="1">
        <v>42089</v>
      </c>
      <c r="P41" t="s">
        <v>914</v>
      </c>
      <c r="Q41">
        <v>156</v>
      </c>
    </row>
    <row r="42" spans="1:17">
      <c r="A42" t="s">
        <v>26</v>
      </c>
      <c r="B42" t="s">
        <v>917</v>
      </c>
      <c r="C42" t="s">
        <v>918</v>
      </c>
      <c r="D42" t="s">
        <v>641</v>
      </c>
      <c r="E42">
        <v>35</v>
      </c>
      <c r="F42" t="s">
        <v>919</v>
      </c>
      <c r="G42">
        <v>33</v>
      </c>
      <c r="H42" t="s">
        <v>823</v>
      </c>
      <c r="I42" t="s">
        <v>811</v>
      </c>
      <c r="J42" t="s">
        <v>804</v>
      </c>
      <c r="K42" t="s">
        <v>811</v>
      </c>
      <c r="L42" t="s">
        <v>803</v>
      </c>
      <c r="M42" t="s">
        <v>824</v>
      </c>
      <c r="N42" t="s">
        <v>825</v>
      </c>
      <c r="O42" s="1">
        <v>42089</v>
      </c>
      <c r="P42" t="s">
        <v>920</v>
      </c>
      <c r="Q42">
        <v>35</v>
      </c>
    </row>
    <row r="43" spans="1:17">
      <c r="A43" t="s">
        <v>27</v>
      </c>
      <c r="B43" t="s">
        <v>921</v>
      </c>
      <c r="C43" t="s">
        <v>889</v>
      </c>
      <c r="D43" t="s">
        <v>455</v>
      </c>
      <c r="E43">
        <v>40</v>
      </c>
      <c r="F43" t="s">
        <v>922</v>
      </c>
      <c r="G43">
        <v>132</v>
      </c>
      <c r="H43" t="s">
        <v>830</v>
      </c>
      <c r="I43" t="s">
        <v>811</v>
      </c>
      <c r="J43" t="s">
        <v>812</v>
      </c>
      <c r="K43" t="s">
        <v>803</v>
      </c>
      <c r="L43" t="s">
        <v>803</v>
      </c>
      <c r="M43" t="s">
        <v>874</v>
      </c>
      <c r="N43" t="s">
        <v>832</v>
      </c>
      <c r="O43" s="1">
        <v>42089</v>
      </c>
      <c r="P43" t="s">
        <v>923</v>
      </c>
      <c r="Q43">
        <v>80</v>
      </c>
    </row>
    <row r="44" spans="1:17">
      <c r="A44" t="s">
        <v>27</v>
      </c>
      <c r="B44" t="s">
        <v>921</v>
      </c>
      <c r="C44" t="s">
        <v>889</v>
      </c>
      <c r="D44" t="s">
        <v>457</v>
      </c>
      <c r="E44">
        <v>40</v>
      </c>
      <c r="F44" t="s">
        <v>924</v>
      </c>
      <c r="G44">
        <v>132</v>
      </c>
      <c r="H44" t="s">
        <v>830</v>
      </c>
      <c r="I44" t="s">
        <v>811</v>
      </c>
      <c r="J44" t="s">
        <v>812</v>
      </c>
      <c r="K44" t="s">
        <v>803</v>
      </c>
      <c r="L44" t="s">
        <v>803</v>
      </c>
      <c r="M44" t="s">
        <v>874</v>
      </c>
      <c r="N44" t="s">
        <v>832</v>
      </c>
      <c r="O44" s="1">
        <v>42089</v>
      </c>
      <c r="P44" t="s">
        <v>923</v>
      </c>
      <c r="Q44">
        <v>80</v>
      </c>
    </row>
    <row r="45" spans="1:17">
      <c r="A45" t="s">
        <v>28</v>
      </c>
      <c r="B45" t="s">
        <v>925</v>
      </c>
      <c r="C45" t="s">
        <v>828</v>
      </c>
      <c r="D45" t="s">
        <v>634</v>
      </c>
      <c r="E45">
        <v>63</v>
      </c>
      <c r="F45" t="s">
        <v>926</v>
      </c>
      <c r="G45">
        <v>132</v>
      </c>
      <c r="H45" t="s">
        <v>830</v>
      </c>
      <c r="I45" t="s">
        <v>811</v>
      </c>
      <c r="J45" t="s">
        <v>812</v>
      </c>
      <c r="K45" t="s">
        <v>803</v>
      </c>
      <c r="L45" t="s">
        <v>803</v>
      </c>
      <c r="M45" t="s">
        <v>831</v>
      </c>
      <c r="N45" t="s">
        <v>832</v>
      </c>
      <c r="O45" s="1">
        <v>42089</v>
      </c>
      <c r="P45" t="s">
        <v>927</v>
      </c>
      <c r="Q45">
        <v>63</v>
      </c>
    </row>
    <row r="46" spans="1:17">
      <c r="A46" t="s">
        <v>29</v>
      </c>
      <c r="B46" t="s">
        <v>928</v>
      </c>
      <c r="C46" t="s">
        <v>929</v>
      </c>
      <c r="D46" t="s">
        <v>322</v>
      </c>
      <c r="E46">
        <v>46</v>
      </c>
      <c r="F46" t="s">
        <v>930</v>
      </c>
      <c r="G46">
        <v>33</v>
      </c>
      <c r="H46" t="s">
        <v>823</v>
      </c>
      <c r="I46" t="s">
        <v>803</v>
      </c>
      <c r="J46" t="s">
        <v>804</v>
      </c>
      <c r="K46" t="s">
        <v>811</v>
      </c>
      <c r="L46" t="s">
        <v>803</v>
      </c>
      <c r="M46" t="s">
        <v>824</v>
      </c>
      <c r="N46" t="s">
        <v>825</v>
      </c>
      <c r="O46" s="1">
        <v>42089</v>
      </c>
      <c r="P46" t="s">
        <v>931</v>
      </c>
      <c r="Q46">
        <v>46</v>
      </c>
    </row>
    <row r="47" spans="1:17">
      <c r="A47" t="s">
        <v>30</v>
      </c>
      <c r="B47" t="s">
        <v>471</v>
      </c>
      <c r="C47" t="s">
        <v>932</v>
      </c>
      <c r="D47" t="s">
        <v>471</v>
      </c>
      <c r="E47">
        <v>81</v>
      </c>
      <c r="F47" t="s">
        <v>933</v>
      </c>
      <c r="G47">
        <v>33</v>
      </c>
      <c r="H47" t="s">
        <v>823</v>
      </c>
      <c r="I47" t="s">
        <v>811</v>
      </c>
      <c r="J47" t="s">
        <v>804</v>
      </c>
      <c r="K47" t="s">
        <v>811</v>
      </c>
      <c r="L47" t="s">
        <v>803</v>
      </c>
      <c r="M47" t="s">
        <v>824</v>
      </c>
      <c r="N47" t="s">
        <v>825</v>
      </c>
      <c r="O47" s="1">
        <v>42089</v>
      </c>
      <c r="P47" t="s">
        <v>934</v>
      </c>
      <c r="Q47">
        <v>81</v>
      </c>
    </row>
    <row r="48" spans="1:17">
      <c r="A48" t="s">
        <v>31</v>
      </c>
      <c r="B48" t="s">
        <v>758</v>
      </c>
      <c r="C48" t="s">
        <v>935</v>
      </c>
      <c r="D48" t="s">
        <v>758</v>
      </c>
      <c r="E48">
        <v>140</v>
      </c>
      <c r="F48" t="s">
        <v>936</v>
      </c>
      <c r="G48">
        <v>110</v>
      </c>
      <c r="H48" t="s">
        <v>823</v>
      </c>
      <c r="I48" t="s">
        <v>811</v>
      </c>
      <c r="J48" t="s">
        <v>804</v>
      </c>
      <c r="K48" t="s">
        <v>811</v>
      </c>
      <c r="L48" t="s">
        <v>803</v>
      </c>
      <c r="M48" t="s">
        <v>824</v>
      </c>
      <c r="N48" t="s">
        <v>825</v>
      </c>
      <c r="O48" t="s">
        <v>937</v>
      </c>
      <c r="P48" t="s">
        <v>938</v>
      </c>
      <c r="Q48">
        <v>140</v>
      </c>
    </row>
    <row r="49" spans="1:17">
      <c r="A49" t="s">
        <v>32</v>
      </c>
      <c r="B49" t="s">
        <v>758</v>
      </c>
      <c r="C49" t="s">
        <v>935</v>
      </c>
      <c r="D49" t="s">
        <v>758</v>
      </c>
      <c r="E49">
        <v>140</v>
      </c>
      <c r="F49" t="s">
        <v>936</v>
      </c>
      <c r="G49">
        <v>110</v>
      </c>
      <c r="H49" t="s">
        <v>823</v>
      </c>
      <c r="I49" t="s">
        <v>811</v>
      </c>
      <c r="J49" t="s">
        <v>804</v>
      </c>
      <c r="K49" t="s">
        <v>811</v>
      </c>
      <c r="L49" t="s">
        <v>803</v>
      </c>
      <c r="M49" t="s">
        <v>824</v>
      </c>
      <c r="N49" t="s">
        <v>825</v>
      </c>
      <c r="O49" t="s">
        <v>937</v>
      </c>
      <c r="P49" t="s">
        <v>939</v>
      </c>
      <c r="Q49">
        <v>140</v>
      </c>
    </row>
    <row r="50" spans="1:17">
      <c r="A50" t="s">
        <v>33</v>
      </c>
      <c r="B50" t="s">
        <v>940</v>
      </c>
      <c r="C50" t="s">
        <v>941</v>
      </c>
      <c r="D50" t="s">
        <v>699</v>
      </c>
      <c r="E50">
        <v>208</v>
      </c>
      <c r="F50" t="s">
        <v>942</v>
      </c>
      <c r="G50">
        <v>220</v>
      </c>
      <c r="H50" t="s">
        <v>810</v>
      </c>
      <c r="I50" t="s">
        <v>811</v>
      </c>
      <c r="J50" t="s">
        <v>812</v>
      </c>
      <c r="K50" t="s">
        <v>803</v>
      </c>
      <c r="L50" t="s">
        <v>803</v>
      </c>
      <c r="M50" t="s">
        <v>874</v>
      </c>
      <c r="N50" t="s">
        <v>846</v>
      </c>
      <c r="O50" t="s">
        <v>943</v>
      </c>
      <c r="P50" t="s">
        <v>944</v>
      </c>
      <c r="Q50">
        <v>208</v>
      </c>
    </row>
    <row r="51" spans="1:17">
      <c r="A51" t="s">
        <v>34</v>
      </c>
      <c r="B51" t="s">
        <v>945</v>
      </c>
      <c r="C51" t="s">
        <v>941</v>
      </c>
      <c r="D51" t="s">
        <v>701</v>
      </c>
      <c r="E51">
        <v>58</v>
      </c>
      <c r="F51" t="s">
        <v>946</v>
      </c>
      <c r="G51">
        <v>110</v>
      </c>
      <c r="H51" t="s">
        <v>830</v>
      </c>
      <c r="I51" t="s">
        <v>811</v>
      </c>
      <c r="J51" t="s">
        <v>812</v>
      </c>
      <c r="K51" t="s">
        <v>803</v>
      </c>
      <c r="L51" t="s">
        <v>803</v>
      </c>
      <c r="M51" t="s">
        <v>874</v>
      </c>
      <c r="N51" t="s">
        <v>832</v>
      </c>
      <c r="O51" t="s">
        <v>947</v>
      </c>
      <c r="P51" t="s">
        <v>944</v>
      </c>
      <c r="Q51">
        <v>58</v>
      </c>
    </row>
    <row r="52" spans="1:17">
      <c r="A52" t="s">
        <v>35</v>
      </c>
      <c r="B52" t="s">
        <v>945</v>
      </c>
      <c r="C52" t="s">
        <v>941</v>
      </c>
      <c r="D52" t="s">
        <v>232</v>
      </c>
      <c r="E52">
        <v>35</v>
      </c>
      <c r="F52" t="s">
        <v>948</v>
      </c>
      <c r="G52">
        <v>110</v>
      </c>
      <c r="H52" t="s">
        <v>830</v>
      </c>
      <c r="I52" t="s">
        <v>811</v>
      </c>
      <c r="J52" t="s">
        <v>812</v>
      </c>
      <c r="K52" t="s">
        <v>803</v>
      </c>
      <c r="L52" t="s">
        <v>803</v>
      </c>
      <c r="M52" t="s">
        <v>874</v>
      </c>
      <c r="N52" t="s">
        <v>832</v>
      </c>
      <c r="O52" t="s">
        <v>949</v>
      </c>
      <c r="P52" t="s">
        <v>950</v>
      </c>
      <c r="Q52">
        <v>105</v>
      </c>
    </row>
    <row r="53" spans="1:17">
      <c r="A53" t="s">
        <v>35</v>
      </c>
      <c r="B53" t="s">
        <v>945</v>
      </c>
      <c r="C53" t="s">
        <v>941</v>
      </c>
      <c r="D53" t="s">
        <v>234</v>
      </c>
      <c r="E53">
        <v>35</v>
      </c>
      <c r="F53" t="s">
        <v>951</v>
      </c>
      <c r="G53">
        <v>110</v>
      </c>
      <c r="H53" t="s">
        <v>830</v>
      </c>
      <c r="I53" t="s">
        <v>811</v>
      </c>
      <c r="J53" t="s">
        <v>812</v>
      </c>
      <c r="K53" t="s">
        <v>803</v>
      </c>
      <c r="L53" t="s">
        <v>803</v>
      </c>
      <c r="M53" t="s">
        <v>874</v>
      </c>
      <c r="N53" t="s">
        <v>832</v>
      </c>
      <c r="O53" t="s">
        <v>949</v>
      </c>
      <c r="P53" t="s">
        <v>950</v>
      </c>
      <c r="Q53">
        <v>105</v>
      </c>
    </row>
    <row r="54" spans="1:17">
      <c r="A54" t="s">
        <v>35</v>
      </c>
      <c r="B54" t="s">
        <v>945</v>
      </c>
      <c r="C54" t="s">
        <v>941</v>
      </c>
      <c r="D54" t="s">
        <v>235</v>
      </c>
      <c r="E54">
        <v>35</v>
      </c>
      <c r="F54" t="s">
        <v>952</v>
      </c>
      <c r="G54">
        <v>110</v>
      </c>
      <c r="H54" t="s">
        <v>830</v>
      </c>
      <c r="I54" t="s">
        <v>811</v>
      </c>
      <c r="J54" t="s">
        <v>812</v>
      </c>
      <c r="K54" t="s">
        <v>803</v>
      </c>
      <c r="L54" t="s">
        <v>803</v>
      </c>
      <c r="M54" t="s">
        <v>874</v>
      </c>
      <c r="N54" t="s">
        <v>832</v>
      </c>
      <c r="O54" t="s">
        <v>949</v>
      </c>
      <c r="P54" t="s">
        <v>950</v>
      </c>
      <c r="Q54">
        <v>105</v>
      </c>
    </row>
    <row r="55" spans="1:17">
      <c r="A55" t="s">
        <v>36</v>
      </c>
      <c r="B55" t="s">
        <v>953</v>
      </c>
      <c r="C55" t="s">
        <v>935</v>
      </c>
      <c r="D55" t="s">
        <v>543</v>
      </c>
      <c r="E55">
        <v>168</v>
      </c>
      <c r="F55" t="s">
        <v>954</v>
      </c>
      <c r="G55">
        <v>110</v>
      </c>
      <c r="H55" t="s">
        <v>810</v>
      </c>
      <c r="I55" t="s">
        <v>811</v>
      </c>
      <c r="J55" t="s">
        <v>841</v>
      </c>
      <c r="K55" t="s">
        <v>811</v>
      </c>
      <c r="L55" t="s">
        <v>811</v>
      </c>
      <c r="M55" t="s">
        <v>824</v>
      </c>
      <c r="N55" t="s">
        <v>825</v>
      </c>
      <c r="O55" t="s">
        <v>955</v>
      </c>
      <c r="P55" t="s">
        <v>956</v>
      </c>
      <c r="Q55">
        <v>168</v>
      </c>
    </row>
    <row r="56" spans="1:17">
      <c r="A56" t="s">
        <v>37</v>
      </c>
      <c r="B56" t="s">
        <v>345</v>
      </c>
      <c r="C56" t="s">
        <v>935</v>
      </c>
      <c r="D56" t="s">
        <v>345</v>
      </c>
      <c r="E56">
        <v>60</v>
      </c>
      <c r="F56" t="s">
        <v>957</v>
      </c>
      <c r="G56">
        <v>110</v>
      </c>
      <c r="H56" t="s">
        <v>810</v>
      </c>
      <c r="I56" t="s">
        <v>811</v>
      </c>
      <c r="J56" t="s">
        <v>812</v>
      </c>
      <c r="K56" t="s">
        <v>803</v>
      </c>
      <c r="L56" t="s">
        <v>803</v>
      </c>
      <c r="M56" t="s">
        <v>958</v>
      </c>
      <c r="N56" t="s">
        <v>959</v>
      </c>
      <c r="O56" t="s">
        <v>960</v>
      </c>
      <c r="P56" t="s">
        <v>961</v>
      </c>
      <c r="Q56">
        <v>60</v>
      </c>
    </row>
    <row r="57" spans="1:17">
      <c r="A57" t="s">
        <v>38</v>
      </c>
      <c r="B57" t="s">
        <v>563</v>
      </c>
      <c r="C57" t="s">
        <v>935</v>
      </c>
      <c r="D57" t="s">
        <v>563</v>
      </c>
      <c r="E57">
        <v>28</v>
      </c>
      <c r="F57" t="s">
        <v>962</v>
      </c>
      <c r="G57">
        <v>110</v>
      </c>
      <c r="H57" t="s">
        <v>823</v>
      </c>
      <c r="I57" t="s">
        <v>811</v>
      </c>
      <c r="J57" t="s">
        <v>804</v>
      </c>
      <c r="K57" t="s">
        <v>811</v>
      </c>
      <c r="L57" t="s">
        <v>803</v>
      </c>
      <c r="M57" t="s">
        <v>958</v>
      </c>
      <c r="N57" t="s">
        <v>959</v>
      </c>
      <c r="O57" t="s">
        <v>963</v>
      </c>
      <c r="P57" t="s">
        <v>964</v>
      </c>
      <c r="Q57">
        <v>28</v>
      </c>
    </row>
    <row r="58" spans="1:17">
      <c r="A58" t="s">
        <v>39</v>
      </c>
      <c r="B58" t="s">
        <v>692</v>
      </c>
      <c r="C58" t="s">
        <v>935</v>
      </c>
      <c r="D58" t="s">
        <v>692</v>
      </c>
      <c r="E58">
        <v>93</v>
      </c>
      <c r="F58" t="s">
        <v>965</v>
      </c>
      <c r="G58">
        <v>110</v>
      </c>
      <c r="H58" t="s">
        <v>810</v>
      </c>
      <c r="I58" t="s">
        <v>811</v>
      </c>
      <c r="J58" t="s">
        <v>812</v>
      </c>
      <c r="K58" t="s">
        <v>803</v>
      </c>
      <c r="L58" t="s">
        <v>803</v>
      </c>
      <c r="M58" t="s">
        <v>958</v>
      </c>
      <c r="N58" t="s">
        <v>959</v>
      </c>
      <c r="O58" t="s">
        <v>966</v>
      </c>
      <c r="P58" t="s">
        <v>967</v>
      </c>
      <c r="Q58">
        <v>93</v>
      </c>
    </row>
    <row r="59" spans="1:17">
      <c r="A59" t="s">
        <v>40</v>
      </c>
      <c r="B59" t="s">
        <v>304</v>
      </c>
      <c r="C59" t="s">
        <v>935</v>
      </c>
      <c r="D59" t="s">
        <v>304</v>
      </c>
      <c r="E59">
        <v>85</v>
      </c>
      <c r="F59" t="s">
        <v>968</v>
      </c>
      <c r="G59">
        <v>220</v>
      </c>
      <c r="H59" t="s">
        <v>810</v>
      </c>
      <c r="I59" t="s">
        <v>811</v>
      </c>
      <c r="J59" t="s">
        <v>812</v>
      </c>
      <c r="K59" t="s">
        <v>803</v>
      </c>
      <c r="L59" t="s">
        <v>803</v>
      </c>
      <c r="M59" t="s">
        <v>958</v>
      </c>
      <c r="N59" t="s">
        <v>959</v>
      </c>
      <c r="O59" t="s">
        <v>969</v>
      </c>
      <c r="P59" t="s">
        <v>970</v>
      </c>
      <c r="Q59">
        <v>85</v>
      </c>
    </row>
    <row r="60" spans="1:17">
      <c r="A60" t="s">
        <v>41</v>
      </c>
      <c r="B60" t="s">
        <v>465</v>
      </c>
      <c r="C60" t="s">
        <v>935</v>
      </c>
      <c r="D60" t="s">
        <v>465</v>
      </c>
      <c r="E60">
        <v>82</v>
      </c>
      <c r="F60" t="s">
        <v>971</v>
      </c>
      <c r="G60">
        <v>220</v>
      </c>
      <c r="H60" t="s">
        <v>810</v>
      </c>
      <c r="I60" t="s">
        <v>811</v>
      </c>
      <c r="J60" t="s">
        <v>812</v>
      </c>
      <c r="K60" t="s">
        <v>803</v>
      </c>
      <c r="L60" t="s">
        <v>803</v>
      </c>
      <c r="M60" t="s">
        <v>958</v>
      </c>
      <c r="N60" t="s">
        <v>959</v>
      </c>
      <c r="O60" t="s">
        <v>972</v>
      </c>
      <c r="P60" t="s">
        <v>973</v>
      </c>
      <c r="Q60">
        <v>82</v>
      </c>
    </row>
    <row r="61" spans="1:17">
      <c r="A61" t="s">
        <v>42</v>
      </c>
      <c r="B61" t="s">
        <v>974</v>
      </c>
      <c r="C61" t="s">
        <v>935</v>
      </c>
      <c r="D61" t="s">
        <v>598</v>
      </c>
      <c r="E61">
        <v>116</v>
      </c>
      <c r="F61" t="s">
        <v>975</v>
      </c>
      <c r="G61">
        <v>220</v>
      </c>
      <c r="H61" t="s">
        <v>810</v>
      </c>
      <c r="I61" t="s">
        <v>811</v>
      </c>
      <c r="J61" t="s">
        <v>812</v>
      </c>
      <c r="K61" t="s">
        <v>803</v>
      </c>
      <c r="L61" t="s">
        <v>803</v>
      </c>
      <c r="M61" t="s">
        <v>958</v>
      </c>
      <c r="N61" t="s">
        <v>959</v>
      </c>
      <c r="O61" t="s">
        <v>976</v>
      </c>
      <c r="P61" t="s">
        <v>977</v>
      </c>
      <c r="Q61">
        <v>232</v>
      </c>
    </row>
    <row r="62" spans="1:17">
      <c r="A62" t="s">
        <v>42</v>
      </c>
      <c r="B62" t="s">
        <v>974</v>
      </c>
      <c r="C62" t="s">
        <v>935</v>
      </c>
      <c r="D62" t="s">
        <v>600</v>
      </c>
      <c r="E62">
        <v>116</v>
      </c>
      <c r="F62" t="s">
        <v>978</v>
      </c>
      <c r="G62">
        <v>220</v>
      </c>
      <c r="H62" t="s">
        <v>810</v>
      </c>
      <c r="I62" t="s">
        <v>811</v>
      </c>
      <c r="J62" t="s">
        <v>812</v>
      </c>
      <c r="K62" t="s">
        <v>803</v>
      </c>
      <c r="L62" t="s">
        <v>803</v>
      </c>
      <c r="M62" t="s">
        <v>958</v>
      </c>
      <c r="N62" t="s">
        <v>959</v>
      </c>
      <c r="O62" t="s">
        <v>976</v>
      </c>
      <c r="P62" t="s">
        <v>977</v>
      </c>
      <c r="Q62">
        <v>232</v>
      </c>
    </row>
    <row r="63" spans="1:17">
      <c r="A63" t="s">
        <v>43</v>
      </c>
      <c r="B63" t="s">
        <v>465</v>
      </c>
      <c r="C63" t="s">
        <v>935</v>
      </c>
      <c r="D63" t="s">
        <v>465</v>
      </c>
      <c r="E63">
        <v>82</v>
      </c>
      <c r="F63" t="s">
        <v>971</v>
      </c>
      <c r="G63">
        <v>220</v>
      </c>
      <c r="H63" t="s">
        <v>810</v>
      </c>
      <c r="I63" t="s">
        <v>811</v>
      </c>
      <c r="J63" t="s">
        <v>812</v>
      </c>
      <c r="K63" t="s">
        <v>803</v>
      </c>
      <c r="L63" t="s">
        <v>803</v>
      </c>
      <c r="M63" t="s">
        <v>958</v>
      </c>
      <c r="N63" t="s">
        <v>959</v>
      </c>
      <c r="O63" t="s">
        <v>972</v>
      </c>
      <c r="P63" t="s">
        <v>979</v>
      </c>
      <c r="Q63">
        <v>82</v>
      </c>
    </row>
    <row r="64" spans="1:17">
      <c r="A64" t="s">
        <v>44</v>
      </c>
      <c r="B64" t="s">
        <v>366</v>
      </c>
      <c r="C64" t="s">
        <v>935</v>
      </c>
      <c r="D64" t="s">
        <v>366</v>
      </c>
      <c r="E64">
        <v>43</v>
      </c>
      <c r="F64" t="s">
        <v>980</v>
      </c>
      <c r="G64">
        <v>220</v>
      </c>
      <c r="H64" t="s">
        <v>810</v>
      </c>
      <c r="I64" t="s">
        <v>811</v>
      </c>
      <c r="J64" t="s">
        <v>812</v>
      </c>
      <c r="K64" t="s">
        <v>803</v>
      </c>
      <c r="L64" t="s">
        <v>803</v>
      </c>
      <c r="M64" t="s">
        <v>958</v>
      </c>
      <c r="N64" t="s">
        <v>959</v>
      </c>
      <c r="O64" t="s">
        <v>981</v>
      </c>
      <c r="P64" t="s">
        <v>982</v>
      </c>
      <c r="Q64">
        <v>43</v>
      </c>
    </row>
    <row r="65" spans="1:17">
      <c r="A65" t="s">
        <v>45</v>
      </c>
      <c r="B65" t="s">
        <v>610</v>
      </c>
      <c r="C65" t="s">
        <v>935</v>
      </c>
      <c r="D65" t="s">
        <v>610</v>
      </c>
      <c r="E65">
        <v>11</v>
      </c>
      <c r="F65" t="s">
        <v>983</v>
      </c>
      <c r="G65">
        <v>220</v>
      </c>
      <c r="H65" t="s">
        <v>823</v>
      </c>
      <c r="I65" t="s">
        <v>811</v>
      </c>
      <c r="J65" t="s">
        <v>804</v>
      </c>
      <c r="K65" t="s">
        <v>811</v>
      </c>
      <c r="L65" t="s">
        <v>803</v>
      </c>
      <c r="M65" t="s">
        <v>958</v>
      </c>
      <c r="N65" t="s">
        <v>959</v>
      </c>
      <c r="O65" t="s">
        <v>984</v>
      </c>
      <c r="P65" t="s">
        <v>985</v>
      </c>
      <c r="Q65">
        <v>11</v>
      </c>
    </row>
    <row r="66" spans="1:17">
      <c r="A66" t="s">
        <v>46</v>
      </c>
      <c r="B66" t="s">
        <v>497</v>
      </c>
      <c r="C66" t="s">
        <v>935</v>
      </c>
      <c r="D66" t="s">
        <v>497</v>
      </c>
      <c r="E66">
        <v>80</v>
      </c>
      <c r="F66" t="s">
        <v>986</v>
      </c>
      <c r="G66">
        <v>110</v>
      </c>
      <c r="H66" t="s">
        <v>810</v>
      </c>
      <c r="I66" t="s">
        <v>811</v>
      </c>
      <c r="J66" t="s">
        <v>812</v>
      </c>
      <c r="K66" t="s">
        <v>803</v>
      </c>
      <c r="L66" t="s">
        <v>803</v>
      </c>
      <c r="M66" t="s">
        <v>958</v>
      </c>
      <c r="N66" t="s">
        <v>959</v>
      </c>
      <c r="O66" t="s">
        <v>987</v>
      </c>
      <c r="P66" t="s">
        <v>988</v>
      </c>
      <c r="Q66">
        <v>80</v>
      </c>
    </row>
    <row r="67" spans="1:17">
      <c r="A67" t="s">
        <v>47</v>
      </c>
      <c r="B67" t="s">
        <v>225</v>
      </c>
      <c r="C67" t="s">
        <v>935</v>
      </c>
      <c r="D67" t="s">
        <v>225</v>
      </c>
      <c r="E67">
        <v>80</v>
      </c>
      <c r="F67" t="s">
        <v>989</v>
      </c>
      <c r="G67">
        <v>220</v>
      </c>
      <c r="H67" t="s">
        <v>810</v>
      </c>
      <c r="I67" t="s">
        <v>811</v>
      </c>
      <c r="J67" t="s">
        <v>812</v>
      </c>
      <c r="K67" t="s">
        <v>803</v>
      </c>
      <c r="L67" t="s">
        <v>803</v>
      </c>
      <c r="M67" t="s">
        <v>958</v>
      </c>
      <c r="N67" t="s">
        <v>959</v>
      </c>
      <c r="O67" t="s">
        <v>990</v>
      </c>
      <c r="P67" t="s">
        <v>991</v>
      </c>
      <c r="Q67">
        <v>80</v>
      </c>
    </row>
    <row r="68" spans="1:17">
      <c r="A68" t="s">
        <v>48</v>
      </c>
      <c r="B68" t="s">
        <v>694</v>
      </c>
      <c r="C68" t="s">
        <v>935</v>
      </c>
      <c r="D68" t="s">
        <v>694</v>
      </c>
      <c r="E68">
        <v>83</v>
      </c>
      <c r="F68" t="s">
        <v>992</v>
      </c>
      <c r="G68">
        <v>220</v>
      </c>
      <c r="H68" t="s">
        <v>810</v>
      </c>
      <c r="I68" t="s">
        <v>811</v>
      </c>
      <c r="J68" t="s">
        <v>812</v>
      </c>
      <c r="K68" t="s">
        <v>803</v>
      </c>
      <c r="L68" t="s">
        <v>803</v>
      </c>
      <c r="M68" t="s">
        <v>958</v>
      </c>
      <c r="N68" t="s">
        <v>959</v>
      </c>
      <c r="O68" t="s">
        <v>966</v>
      </c>
      <c r="P68" t="s">
        <v>993</v>
      </c>
      <c r="Q68">
        <v>83</v>
      </c>
    </row>
    <row r="69" spans="1:17">
      <c r="A69" t="s">
        <v>49</v>
      </c>
      <c r="B69" t="s">
        <v>994</v>
      </c>
      <c r="C69" t="s">
        <v>935</v>
      </c>
      <c r="D69" t="s">
        <v>571</v>
      </c>
      <c r="E69">
        <v>100</v>
      </c>
      <c r="F69" t="s">
        <v>995</v>
      </c>
      <c r="G69">
        <v>110</v>
      </c>
      <c r="H69" t="s">
        <v>810</v>
      </c>
      <c r="I69" t="s">
        <v>811</v>
      </c>
      <c r="J69" t="s">
        <v>812</v>
      </c>
      <c r="K69" t="s">
        <v>803</v>
      </c>
      <c r="L69" t="s">
        <v>803</v>
      </c>
      <c r="M69" t="s">
        <v>958</v>
      </c>
      <c r="N69" t="s">
        <v>959</v>
      </c>
      <c r="O69" t="s">
        <v>996</v>
      </c>
      <c r="P69" t="s">
        <v>997</v>
      </c>
      <c r="Q69">
        <v>230</v>
      </c>
    </row>
    <row r="70" spans="1:17">
      <c r="A70" t="s">
        <v>49</v>
      </c>
      <c r="B70" t="s">
        <v>998</v>
      </c>
      <c r="C70" t="s">
        <v>935</v>
      </c>
      <c r="D70" t="s">
        <v>573</v>
      </c>
      <c r="E70">
        <v>200</v>
      </c>
      <c r="F70" t="s">
        <v>999</v>
      </c>
      <c r="G70">
        <v>220</v>
      </c>
      <c r="H70" t="s">
        <v>810</v>
      </c>
      <c r="I70" t="s">
        <v>811</v>
      </c>
      <c r="J70" t="s">
        <v>812</v>
      </c>
      <c r="K70" t="s">
        <v>803</v>
      </c>
      <c r="L70" t="s">
        <v>803</v>
      </c>
      <c r="M70" t="s">
        <v>958</v>
      </c>
      <c r="N70" t="s">
        <v>959</v>
      </c>
      <c r="O70" t="s">
        <v>996</v>
      </c>
      <c r="P70" t="s">
        <v>997</v>
      </c>
      <c r="Q70">
        <v>230</v>
      </c>
    </row>
    <row r="71" spans="1:17">
      <c r="A71" t="s">
        <v>50</v>
      </c>
      <c r="B71" t="s">
        <v>427</v>
      </c>
      <c r="C71" t="s">
        <v>935</v>
      </c>
      <c r="D71" t="s">
        <v>427</v>
      </c>
      <c r="E71">
        <v>144</v>
      </c>
      <c r="F71" t="s">
        <v>1000</v>
      </c>
      <c r="G71">
        <v>220</v>
      </c>
      <c r="H71" t="s">
        <v>810</v>
      </c>
      <c r="I71" t="s">
        <v>811</v>
      </c>
      <c r="J71" t="s">
        <v>812</v>
      </c>
      <c r="K71" t="s">
        <v>803</v>
      </c>
      <c r="L71" t="s">
        <v>803</v>
      </c>
      <c r="M71" t="s">
        <v>958</v>
      </c>
      <c r="N71" t="s">
        <v>959</v>
      </c>
      <c r="O71" t="s">
        <v>1001</v>
      </c>
      <c r="P71" t="s">
        <v>1002</v>
      </c>
      <c r="Q71">
        <v>144</v>
      </c>
    </row>
    <row r="72" spans="1:17">
      <c r="A72" t="s">
        <v>51</v>
      </c>
      <c r="B72" t="s">
        <v>276</v>
      </c>
      <c r="C72" t="s">
        <v>935</v>
      </c>
      <c r="D72" t="s">
        <v>276</v>
      </c>
      <c r="E72">
        <v>14</v>
      </c>
      <c r="F72" t="s">
        <v>1003</v>
      </c>
      <c r="G72">
        <v>110</v>
      </c>
      <c r="H72" t="s">
        <v>823</v>
      </c>
      <c r="I72" t="s">
        <v>811</v>
      </c>
      <c r="J72" t="s">
        <v>804</v>
      </c>
      <c r="K72" t="s">
        <v>811</v>
      </c>
      <c r="L72" t="s">
        <v>803</v>
      </c>
      <c r="M72" t="s">
        <v>958</v>
      </c>
      <c r="N72" t="s">
        <v>959</v>
      </c>
      <c r="O72" t="s">
        <v>1004</v>
      </c>
      <c r="P72" t="s">
        <v>1005</v>
      </c>
      <c r="Q72">
        <v>14</v>
      </c>
    </row>
    <row r="73" spans="1:17">
      <c r="A73" t="s">
        <v>52</v>
      </c>
      <c r="B73" t="s">
        <v>469</v>
      </c>
      <c r="C73" t="s">
        <v>935</v>
      </c>
      <c r="D73" t="s">
        <v>469</v>
      </c>
      <c r="E73">
        <v>32</v>
      </c>
      <c r="F73" t="s">
        <v>1006</v>
      </c>
      <c r="G73">
        <v>110</v>
      </c>
      <c r="H73" t="s">
        <v>810</v>
      </c>
      <c r="I73" t="s">
        <v>811</v>
      </c>
      <c r="J73" t="s">
        <v>812</v>
      </c>
      <c r="K73" t="s">
        <v>803</v>
      </c>
      <c r="L73" t="s">
        <v>803</v>
      </c>
      <c r="M73" t="s">
        <v>958</v>
      </c>
      <c r="N73" t="s">
        <v>959</v>
      </c>
      <c r="O73" t="s">
        <v>1007</v>
      </c>
      <c r="P73" t="s">
        <v>1008</v>
      </c>
      <c r="Q73">
        <v>32</v>
      </c>
    </row>
    <row r="74" spans="1:17">
      <c r="A74" t="s">
        <v>53</v>
      </c>
      <c r="B74" t="s">
        <v>663</v>
      </c>
      <c r="C74" t="s">
        <v>935</v>
      </c>
      <c r="D74" t="s">
        <v>663</v>
      </c>
      <c r="E74">
        <v>90</v>
      </c>
      <c r="F74" t="s">
        <v>1009</v>
      </c>
      <c r="G74">
        <v>110</v>
      </c>
      <c r="H74" t="s">
        <v>810</v>
      </c>
      <c r="I74" t="s">
        <v>811</v>
      </c>
      <c r="J74" t="s">
        <v>812</v>
      </c>
      <c r="K74" t="s">
        <v>803</v>
      </c>
      <c r="L74" t="s">
        <v>803</v>
      </c>
      <c r="M74" t="s">
        <v>958</v>
      </c>
      <c r="N74" t="s">
        <v>959</v>
      </c>
      <c r="O74" t="s">
        <v>1010</v>
      </c>
      <c r="P74" t="s">
        <v>1011</v>
      </c>
      <c r="Q74">
        <v>90</v>
      </c>
    </row>
    <row r="75" spans="1:17">
      <c r="A75" t="s">
        <v>54</v>
      </c>
      <c r="B75" t="s">
        <v>697</v>
      </c>
      <c r="C75" t="s">
        <v>935</v>
      </c>
      <c r="D75" t="s">
        <v>697</v>
      </c>
      <c r="E75">
        <v>125</v>
      </c>
      <c r="F75" t="s">
        <v>1012</v>
      </c>
      <c r="G75">
        <v>110</v>
      </c>
      <c r="H75" t="s">
        <v>810</v>
      </c>
      <c r="I75" t="s">
        <v>811</v>
      </c>
      <c r="J75" t="s">
        <v>812</v>
      </c>
      <c r="K75" t="s">
        <v>803</v>
      </c>
      <c r="L75" t="s">
        <v>803</v>
      </c>
      <c r="M75" t="s">
        <v>958</v>
      </c>
      <c r="N75" t="s">
        <v>959</v>
      </c>
      <c r="O75" t="s">
        <v>1013</v>
      </c>
      <c r="P75" t="s">
        <v>1014</v>
      </c>
      <c r="Q75">
        <v>125</v>
      </c>
    </row>
    <row r="76" spans="1:17">
      <c r="A76" t="s">
        <v>55</v>
      </c>
      <c r="B76" t="s">
        <v>467</v>
      </c>
      <c r="C76" t="s">
        <v>935</v>
      </c>
      <c r="D76" t="s">
        <v>467</v>
      </c>
      <c r="E76">
        <v>170</v>
      </c>
      <c r="F76" t="s">
        <v>1015</v>
      </c>
      <c r="G76">
        <v>220</v>
      </c>
      <c r="H76" t="s">
        <v>810</v>
      </c>
      <c r="I76" t="s">
        <v>811</v>
      </c>
      <c r="J76" t="s">
        <v>812</v>
      </c>
      <c r="K76" t="s">
        <v>803</v>
      </c>
      <c r="L76" t="s">
        <v>803</v>
      </c>
      <c r="M76" t="s">
        <v>958</v>
      </c>
      <c r="N76" t="s">
        <v>959</v>
      </c>
      <c r="O76" t="s">
        <v>1016</v>
      </c>
      <c r="P76" t="s">
        <v>1017</v>
      </c>
      <c r="Q76">
        <v>170</v>
      </c>
    </row>
    <row r="77" spans="1:17">
      <c r="A77" t="s">
        <v>56</v>
      </c>
      <c r="B77" t="s">
        <v>467</v>
      </c>
      <c r="C77" t="s">
        <v>935</v>
      </c>
      <c r="D77" t="s">
        <v>467</v>
      </c>
      <c r="E77">
        <v>170</v>
      </c>
      <c r="F77" t="s">
        <v>1015</v>
      </c>
      <c r="G77">
        <v>220</v>
      </c>
      <c r="H77" t="s">
        <v>810</v>
      </c>
      <c r="I77" t="s">
        <v>811</v>
      </c>
      <c r="J77" t="s">
        <v>812</v>
      </c>
      <c r="K77" t="s">
        <v>803</v>
      </c>
      <c r="L77" t="s">
        <v>803</v>
      </c>
      <c r="M77" t="s">
        <v>958</v>
      </c>
      <c r="N77" t="s">
        <v>959</v>
      </c>
      <c r="O77" t="s">
        <v>1016</v>
      </c>
      <c r="P77" t="s">
        <v>1018</v>
      </c>
      <c r="Q77">
        <v>170</v>
      </c>
    </row>
    <row r="78" spans="1:17">
      <c r="A78" t="s">
        <v>57</v>
      </c>
      <c r="B78" t="s">
        <v>467</v>
      </c>
      <c r="C78" t="s">
        <v>935</v>
      </c>
      <c r="D78" t="s">
        <v>467</v>
      </c>
      <c r="E78">
        <v>170</v>
      </c>
      <c r="F78" t="s">
        <v>1015</v>
      </c>
      <c r="G78">
        <v>220</v>
      </c>
      <c r="H78" t="s">
        <v>810</v>
      </c>
      <c r="I78" t="s">
        <v>811</v>
      </c>
      <c r="J78" t="s">
        <v>812</v>
      </c>
      <c r="K78" t="s">
        <v>803</v>
      </c>
      <c r="L78" t="s">
        <v>803</v>
      </c>
      <c r="M78" t="s">
        <v>958</v>
      </c>
      <c r="N78" t="s">
        <v>959</v>
      </c>
      <c r="O78" t="s">
        <v>1016</v>
      </c>
      <c r="P78" t="s">
        <v>1019</v>
      </c>
      <c r="Q78">
        <v>170</v>
      </c>
    </row>
    <row r="79" spans="1:17">
      <c r="A79" t="s">
        <v>58</v>
      </c>
      <c r="B79" t="s">
        <v>320</v>
      </c>
      <c r="C79" t="s">
        <v>935</v>
      </c>
      <c r="D79" t="s">
        <v>320</v>
      </c>
      <c r="E79">
        <v>17</v>
      </c>
      <c r="F79" t="s">
        <v>1020</v>
      </c>
      <c r="G79">
        <v>220</v>
      </c>
      <c r="H79" t="s">
        <v>823</v>
      </c>
      <c r="I79" t="s">
        <v>811</v>
      </c>
      <c r="J79" t="s">
        <v>804</v>
      </c>
      <c r="K79" t="s">
        <v>811</v>
      </c>
      <c r="L79" t="s">
        <v>803</v>
      </c>
      <c r="M79" t="s">
        <v>958</v>
      </c>
      <c r="N79" t="s">
        <v>959</v>
      </c>
      <c r="O79" t="s">
        <v>1021</v>
      </c>
      <c r="P79" t="s">
        <v>1022</v>
      </c>
      <c r="Q79">
        <v>17</v>
      </c>
    </row>
    <row r="80" spans="1:17">
      <c r="A80" t="s">
        <v>59</v>
      </c>
      <c r="B80" t="s">
        <v>603</v>
      </c>
      <c r="C80" t="s">
        <v>935</v>
      </c>
      <c r="D80" t="s">
        <v>603</v>
      </c>
      <c r="E80">
        <v>28</v>
      </c>
      <c r="F80" t="s">
        <v>1023</v>
      </c>
      <c r="G80">
        <v>220</v>
      </c>
      <c r="H80" t="s">
        <v>823</v>
      </c>
      <c r="I80" t="s">
        <v>811</v>
      </c>
      <c r="J80" t="s">
        <v>804</v>
      </c>
      <c r="K80" t="s">
        <v>811</v>
      </c>
      <c r="L80" t="s">
        <v>803</v>
      </c>
      <c r="M80" t="s">
        <v>958</v>
      </c>
      <c r="N80" t="s">
        <v>959</v>
      </c>
      <c r="O80" t="s">
        <v>976</v>
      </c>
      <c r="P80" t="s">
        <v>1024</v>
      </c>
      <c r="Q80">
        <v>28</v>
      </c>
    </row>
    <row r="81" spans="1:17">
      <c r="A81" t="s">
        <v>60</v>
      </c>
      <c r="B81" t="s">
        <v>505</v>
      </c>
      <c r="C81" t="s">
        <v>935</v>
      </c>
      <c r="D81" t="s">
        <v>505</v>
      </c>
      <c r="E81">
        <v>40</v>
      </c>
      <c r="F81" t="s">
        <v>1025</v>
      </c>
      <c r="G81">
        <v>110</v>
      </c>
      <c r="H81" t="s">
        <v>810</v>
      </c>
      <c r="I81" t="s">
        <v>811</v>
      </c>
      <c r="J81" t="s">
        <v>812</v>
      </c>
      <c r="K81" t="s">
        <v>803</v>
      </c>
      <c r="L81" t="s">
        <v>803</v>
      </c>
      <c r="M81" t="s">
        <v>958</v>
      </c>
      <c r="N81" t="s">
        <v>959</v>
      </c>
      <c r="O81" t="s">
        <v>1026</v>
      </c>
      <c r="P81" t="s">
        <v>1027</v>
      </c>
      <c r="Q81">
        <v>40</v>
      </c>
    </row>
    <row r="82" spans="1:17">
      <c r="A82" t="s">
        <v>61</v>
      </c>
      <c r="B82" t="s">
        <v>379</v>
      </c>
      <c r="C82" t="s">
        <v>935</v>
      </c>
      <c r="D82" t="s">
        <v>379</v>
      </c>
      <c r="E82">
        <v>432</v>
      </c>
      <c r="F82" t="s">
        <v>1028</v>
      </c>
      <c r="G82">
        <v>220</v>
      </c>
      <c r="H82" t="s">
        <v>810</v>
      </c>
      <c r="I82" t="s">
        <v>811</v>
      </c>
      <c r="J82" t="s">
        <v>812</v>
      </c>
      <c r="K82" t="s">
        <v>803</v>
      </c>
      <c r="L82" t="s">
        <v>803</v>
      </c>
      <c r="M82" t="s">
        <v>958</v>
      </c>
      <c r="N82" t="s">
        <v>959</v>
      </c>
      <c r="O82" t="s">
        <v>1029</v>
      </c>
      <c r="P82" t="s">
        <v>1030</v>
      </c>
      <c r="Q82">
        <v>432</v>
      </c>
    </row>
    <row r="83" spans="1:17">
      <c r="A83" t="s">
        <v>62</v>
      </c>
      <c r="B83" t="s">
        <v>541</v>
      </c>
      <c r="C83" t="s">
        <v>1031</v>
      </c>
      <c r="D83" t="s">
        <v>541</v>
      </c>
      <c r="E83">
        <v>1500</v>
      </c>
      <c r="F83" t="s">
        <v>1032</v>
      </c>
      <c r="G83">
        <v>330</v>
      </c>
      <c r="H83" t="s">
        <v>810</v>
      </c>
      <c r="I83" t="s">
        <v>811</v>
      </c>
      <c r="J83" t="s">
        <v>812</v>
      </c>
      <c r="K83" t="s">
        <v>803</v>
      </c>
      <c r="L83" t="s">
        <v>803</v>
      </c>
      <c r="M83" t="s">
        <v>958</v>
      </c>
      <c r="N83" t="s">
        <v>959</v>
      </c>
      <c r="O83" s="1">
        <v>42089</v>
      </c>
      <c r="P83" t="s">
        <v>1033</v>
      </c>
      <c r="Q83">
        <v>1500</v>
      </c>
    </row>
    <row r="84" spans="1:17">
      <c r="A84" t="s">
        <v>63</v>
      </c>
      <c r="B84" t="s">
        <v>541</v>
      </c>
      <c r="C84" t="s">
        <v>1031</v>
      </c>
      <c r="D84" t="s">
        <v>541</v>
      </c>
      <c r="E84">
        <v>1500</v>
      </c>
      <c r="F84" t="s">
        <v>1032</v>
      </c>
      <c r="G84">
        <v>330</v>
      </c>
      <c r="H84" t="s">
        <v>810</v>
      </c>
      <c r="I84" t="s">
        <v>811</v>
      </c>
      <c r="J84" t="s">
        <v>812</v>
      </c>
      <c r="K84" t="s">
        <v>803</v>
      </c>
      <c r="L84" t="s">
        <v>803</v>
      </c>
      <c r="M84" t="s">
        <v>958</v>
      </c>
      <c r="N84" t="s">
        <v>959</v>
      </c>
      <c r="O84" s="1">
        <v>42089</v>
      </c>
      <c r="P84" t="s">
        <v>1034</v>
      </c>
      <c r="Q84">
        <v>1500</v>
      </c>
    </row>
    <row r="85" spans="1:17">
      <c r="A85" t="s">
        <v>64</v>
      </c>
      <c r="B85" t="s">
        <v>1035</v>
      </c>
      <c r="C85" t="s">
        <v>839</v>
      </c>
      <c r="D85" t="s">
        <v>342</v>
      </c>
      <c r="E85">
        <v>150</v>
      </c>
      <c r="F85" t="s">
        <v>1036</v>
      </c>
      <c r="G85">
        <v>220</v>
      </c>
      <c r="H85" t="s">
        <v>810</v>
      </c>
      <c r="I85" t="s">
        <v>811</v>
      </c>
      <c r="J85" t="s">
        <v>812</v>
      </c>
      <c r="K85" t="s">
        <v>803</v>
      </c>
      <c r="L85" t="s">
        <v>803</v>
      </c>
      <c r="M85" t="s">
        <v>958</v>
      </c>
      <c r="N85" t="s">
        <v>959</v>
      </c>
      <c r="O85" s="1">
        <v>42089</v>
      </c>
      <c r="P85" t="s">
        <v>1037</v>
      </c>
      <c r="Q85">
        <v>150</v>
      </c>
    </row>
    <row r="86" spans="1:17">
      <c r="A86" t="s">
        <v>65</v>
      </c>
      <c r="B86" t="s">
        <v>1038</v>
      </c>
      <c r="C86" t="s">
        <v>839</v>
      </c>
      <c r="D86" t="s">
        <v>501</v>
      </c>
      <c r="E86">
        <v>300</v>
      </c>
      <c r="F86" t="s">
        <v>1039</v>
      </c>
      <c r="G86">
        <v>220</v>
      </c>
      <c r="H86" t="s">
        <v>810</v>
      </c>
      <c r="I86" t="s">
        <v>811</v>
      </c>
      <c r="J86" t="s">
        <v>812</v>
      </c>
      <c r="K86" t="s">
        <v>803</v>
      </c>
      <c r="L86" t="s">
        <v>803</v>
      </c>
      <c r="M86" t="s">
        <v>958</v>
      </c>
      <c r="N86" t="s">
        <v>959</v>
      </c>
      <c r="O86" s="1">
        <v>42089</v>
      </c>
      <c r="P86" t="s">
        <v>1040</v>
      </c>
      <c r="Q86">
        <v>300</v>
      </c>
    </row>
    <row r="87" spans="1:17">
      <c r="A87" t="s">
        <v>66</v>
      </c>
      <c r="B87" t="s">
        <v>1041</v>
      </c>
      <c r="C87" t="s">
        <v>839</v>
      </c>
      <c r="D87" t="s">
        <v>749</v>
      </c>
      <c r="E87">
        <v>31</v>
      </c>
      <c r="F87" t="s">
        <v>1042</v>
      </c>
      <c r="G87">
        <v>220</v>
      </c>
      <c r="H87" t="s">
        <v>810</v>
      </c>
      <c r="I87" t="s">
        <v>811</v>
      </c>
      <c r="J87" t="s">
        <v>812</v>
      </c>
      <c r="K87" t="s">
        <v>803</v>
      </c>
      <c r="L87" t="s">
        <v>803</v>
      </c>
      <c r="M87" t="s">
        <v>958</v>
      </c>
      <c r="N87" t="s">
        <v>959</v>
      </c>
      <c r="O87" s="1">
        <v>42089</v>
      </c>
      <c r="P87" t="s">
        <v>1043</v>
      </c>
      <c r="Q87">
        <v>62</v>
      </c>
    </row>
    <row r="88" spans="1:17">
      <c r="A88" t="s">
        <v>66</v>
      </c>
      <c r="B88" t="s">
        <v>1041</v>
      </c>
      <c r="C88" t="s">
        <v>839</v>
      </c>
      <c r="D88" t="s">
        <v>751</v>
      </c>
      <c r="E88">
        <v>31</v>
      </c>
      <c r="F88" t="s">
        <v>1044</v>
      </c>
      <c r="G88">
        <v>220</v>
      </c>
      <c r="H88" t="s">
        <v>810</v>
      </c>
      <c r="I88" t="s">
        <v>811</v>
      </c>
      <c r="J88" t="s">
        <v>812</v>
      </c>
      <c r="K88" t="s">
        <v>803</v>
      </c>
      <c r="L88" t="s">
        <v>803</v>
      </c>
      <c r="M88" t="s">
        <v>958</v>
      </c>
      <c r="N88" t="s">
        <v>959</v>
      </c>
      <c r="O88" s="1">
        <v>42089</v>
      </c>
      <c r="P88" t="s">
        <v>1043</v>
      </c>
      <c r="Q88">
        <v>62</v>
      </c>
    </row>
    <row r="89" spans="1:17">
      <c r="A89" t="s">
        <v>67</v>
      </c>
      <c r="B89" t="s">
        <v>1038</v>
      </c>
      <c r="C89" t="s">
        <v>839</v>
      </c>
      <c r="D89" t="s">
        <v>501</v>
      </c>
      <c r="E89">
        <v>300</v>
      </c>
      <c r="F89" t="s">
        <v>1039</v>
      </c>
      <c r="G89">
        <v>220</v>
      </c>
      <c r="H89" t="s">
        <v>810</v>
      </c>
      <c r="I89" t="s">
        <v>811</v>
      </c>
      <c r="J89" t="s">
        <v>812</v>
      </c>
      <c r="K89" t="s">
        <v>803</v>
      </c>
      <c r="L89" t="s">
        <v>803</v>
      </c>
      <c r="M89" t="s">
        <v>958</v>
      </c>
      <c r="N89" t="s">
        <v>959</v>
      </c>
      <c r="O89" s="1">
        <v>42089</v>
      </c>
      <c r="P89" t="s">
        <v>1045</v>
      </c>
      <c r="Q89">
        <v>300</v>
      </c>
    </row>
    <row r="90" spans="1:17">
      <c r="A90" t="s">
        <v>68</v>
      </c>
      <c r="B90" t="s">
        <v>318</v>
      </c>
      <c r="C90" t="s">
        <v>839</v>
      </c>
      <c r="D90" t="s">
        <v>318</v>
      </c>
      <c r="E90">
        <v>30</v>
      </c>
      <c r="F90" t="s">
        <v>1046</v>
      </c>
      <c r="G90">
        <v>66</v>
      </c>
      <c r="H90" t="s">
        <v>823</v>
      </c>
      <c r="I90" t="s">
        <v>803</v>
      </c>
      <c r="J90" t="s">
        <v>804</v>
      </c>
      <c r="K90" t="s">
        <v>811</v>
      </c>
      <c r="L90" t="s">
        <v>803</v>
      </c>
      <c r="M90" t="s">
        <v>958</v>
      </c>
      <c r="N90" t="s">
        <v>959</v>
      </c>
      <c r="O90" s="1">
        <v>42089</v>
      </c>
      <c r="P90" t="s">
        <v>1047</v>
      </c>
      <c r="Q90">
        <v>30</v>
      </c>
    </row>
    <row r="91" spans="1:17">
      <c r="A91" t="s">
        <v>69</v>
      </c>
      <c r="B91" t="s">
        <v>1048</v>
      </c>
      <c r="C91" t="s">
        <v>839</v>
      </c>
      <c r="D91" t="s">
        <v>1048</v>
      </c>
      <c r="E91">
        <v>13</v>
      </c>
      <c r="F91" t="s">
        <v>1049</v>
      </c>
      <c r="G91">
        <v>22</v>
      </c>
      <c r="H91" t="s">
        <v>823</v>
      </c>
      <c r="I91" t="s">
        <v>803</v>
      </c>
      <c r="J91" t="s">
        <v>804</v>
      </c>
      <c r="K91" t="s">
        <v>811</v>
      </c>
      <c r="L91" t="s">
        <v>803</v>
      </c>
      <c r="M91" t="s">
        <v>958</v>
      </c>
      <c r="N91" t="s">
        <v>959</v>
      </c>
      <c r="O91" s="1">
        <v>42089</v>
      </c>
      <c r="P91" t="s">
        <v>1050</v>
      </c>
      <c r="Q91">
        <v>13</v>
      </c>
    </row>
    <row r="92" spans="1:17">
      <c r="A92" t="s">
        <v>70</v>
      </c>
      <c r="B92" t="s">
        <v>1051</v>
      </c>
      <c r="C92" t="s">
        <v>839</v>
      </c>
      <c r="D92" t="s">
        <v>355</v>
      </c>
      <c r="E92">
        <v>60</v>
      </c>
      <c r="F92" t="s">
        <v>1052</v>
      </c>
      <c r="G92">
        <v>220</v>
      </c>
      <c r="H92" t="s">
        <v>810</v>
      </c>
      <c r="I92" t="s">
        <v>811</v>
      </c>
      <c r="J92" t="s">
        <v>812</v>
      </c>
      <c r="K92" t="s">
        <v>803</v>
      </c>
      <c r="L92" t="s">
        <v>803</v>
      </c>
      <c r="M92" t="s">
        <v>958</v>
      </c>
      <c r="N92" t="s">
        <v>959</v>
      </c>
      <c r="O92" s="1">
        <v>42089</v>
      </c>
      <c r="P92" t="s">
        <v>1053</v>
      </c>
      <c r="Q92">
        <v>120</v>
      </c>
    </row>
    <row r="93" spans="1:17">
      <c r="A93" t="s">
        <v>70</v>
      </c>
      <c r="B93" t="s">
        <v>1051</v>
      </c>
      <c r="C93" t="s">
        <v>839</v>
      </c>
      <c r="D93" t="s">
        <v>357</v>
      </c>
      <c r="E93">
        <v>60</v>
      </c>
      <c r="F93" t="s">
        <v>1054</v>
      </c>
      <c r="G93">
        <v>220</v>
      </c>
      <c r="H93" t="s">
        <v>810</v>
      </c>
      <c r="I93" t="s">
        <v>811</v>
      </c>
      <c r="J93" t="s">
        <v>812</v>
      </c>
      <c r="K93" t="s">
        <v>803</v>
      </c>
      <c r="L93" t="s">
        <v>803</v>
      </c>
      <c r="M93" t="s">
        <v>958</v>
      </c>
      <c r="N93" t="s">
        <v>959</v>
      </c>
      <c r="O93" s="1">
        <v>42089</v>
      </c>
      <c r="P93" t="s">
        <v>1053</v>
      </c>
      <c r="Q93">
        <v>120</v>
      </c>
    </row>
    <row r="94" spans="1:17">
      <c r="A94" t="s">
        <v>71</v>
      </c>
      <c r="B94" t="s">
        <v>182</v>
      </c>
      <c r="C94" t="s">
        <v>839</v>
      </c>
      <c r="D94" t="s">
        <v>182</v>
      </c>
      <c r="E94">
        <v>170</v>
      </c>
      <c r="F94" t="s">
        <v>1055</v>
      </c>
      <c r="G94">
        <v>66</v>
      </c>
      <c r="H94" t="s">
        <v>830</v>
      </c>
      <c r="I94" t="s">
        <v>811</v>
      </c>
      <c r="J94" t="s">
        <v>812</v>
      </c>
      <c r="K94" t="s">
        <v>803</v>
      </c>
      <c r="L94" t="s">
        <v>803</v>
      </c>
      <c r="M94" t="s">
        <v>874</v>
      </c>
      <c r="N94" t="s">
        <v>832</v>
      </c>
      <c r="O94" s="1">
        <v>42089</v>
      </c>
      <c r="P94" t="s">
        <v>1056</v>
      </c>
      <c r="Q94">
        <v>170</v>
      </c>
    </row>
    <row r="95" spans="1:17">
      <c r="A95" t="s">
        <v>72</v>
      </c>
      <c r="B95" t="s">
        <v>1057</v>
      </c>
      <c r="C95" t="s">
        <v>1058</v>
      </c>
      <c r="D95" t="s">
        <v>549</v>
      </c>
      <c r="E95">
        <v>500</v>
      </c>
      <c r="F95" t="s">
        <v>1059</v>
      </c>
      <c r="G95">
        <v>220</v>
      </c>
      <c r="H95" t="s">
        <v>810</v>
      </c>
      <c r="I95" t="s">
        <v>811</v>
      </c>
      <c r="J95" t="s">
        <v>812</v>
      </c>
      <c r="K95" t="s">
        <v>803</v>
      </c>
      <c r="L95" t="s">
        <v>803</v>
      </c>
      <c r="M95" t="s">
        <v>874</v>
      </c>
      <c r="N95" t="s">
        <v>814</v>
      </c>
      <c r="O95" s="1">
        <v>42089</v>
      </c>
      <c r="P95" t="s">
        <v>1060</v>
      </c>
      <c r="Q95">
        <v>500</v>
      </c>
    </row>
    <row r="96" spans="1:17">
      <c r="A96" t="s">
        <v>73</v>
      </c>
      <c r="B96" t="s">
        <v>1061</v>
      </c>
      <c r="C96" t="s">
        <v>1031</v>
      </c>
      <c r="D96" t="s">
        <v>458</v>
      </c>
      <c r="E96">
        <v>312</v>
      </c>
      <c r="F96" t="s">
        <v>1062</v>
      </c>
      <c r="G96">
        <v>220</v>
      </c>
      <c r="H96" t="s">
        <v>830</v>
      </c>
      <c r="I96" t="s">
        <v>811</v>
      </c>
      <c r="J96" t="s">
        <v>812</v>
      </c>
      <c r="K96" t="s">
        <v>803</v>
      </c>
      <c r="L96" t="s">
        <v>803</v>
      </c>
      <c r="M96" t="s">
        <v>874</v>
      </c>
      <c r="N96" t="s">
        <v>832</v>
      </c>
      <c r="O96" s="1">
        <v>42089</v>
      </c>
      <c r="P96" t="s">
        <v>1063</v>
      </c>
      <c r="Q96">
        <v>312</v>
      </c>
    </row>
    <row r="97" spans="1:17">
      <c r="A97" t="s">
        <v>74</v>
      </c>
      <c r="B97" t="s">
        <v>1064</v>
      </c>
      <c r="C97" t="s">
        <v>1065</v>
      </c>
      <c r="D97" t="s">
        <v>489</v>
      </c>
      <c r="E97">
        <v>560</v>
      </c>
      <c r="F97" t="s">
        <v>1066</v>
      </c>
      <c r="G97">
        <v>500</v>
      </c>
      <c r="H97" t="s">
        <v>810</v>
      </c>
      <c r="I97" t="s">
        <v>811</v>
      </c>
      <c r="J97" t="s">
        <v>812</v>
      </c>
      <c r="K97" t="s">
        <v>803</v>
      </c>
      <c r="L97" t="s">
        <v>803</v>
      </c>
      <c r="M97" t="s">
        <v>813</v>
      </c>
      <c r="N97" t="s">
        <v>814</v>
      </c>
      <c r="O97" s="1">
        <v>42089</v>
      </c>
      <c r="P97" t="s">
        <v>1067</v>
      </c>
      <c r="Q97">
        <v>2210</v>
      </c>
    </row>
    <row r="98" spans="1:17">
      <c r="A98" t="s">
        <v>74</v>
      </c>
      <c r="B98" t="s">
        <v>1064</v>
      </c>
      <c r="C98" t="s">
        <v>1065</v>
      </c>
      <c r="D98" t="s">
        <v>491</v>
      </c>
      <c r="E98">
        <v>530</v>
      </c>
      <c r="F98" t="s">
        <v>1068</v>
      </c>
      <c r="G98">
        <v>500</v>
      </c>
      <c r="H98" t="s">
        <v>810</v>
      </c>
      <c r="I98" t="s">
        <v>811</v>
      </c>
      <c r="J98" t="s">
        <v>812</v>
      </c>
      <c r="K98" t="s">
        <v>803</v>
      </c>
      <c r="L98" t="s">
        <v>803</v>
      </c>
      <c r="M98" t="s">
        <v>813</v>
      </c>
      <c r="N98" t="s">
        <v>814</v>
      </c>
      <c r="O98" s="1">
        <v>42089</v>
      </c>
      <c r="P98" t="s">
        <v>1067</v>
      </c>
      <c r="Q98">
        <v>2210</v>
      </c>
    </row>
    <row r="99" spans="1:17">
      <c r="A99" t="s">
        <v>74</v>
      </c>
      <c r="B99" t="s">
        <v>1064</v>
      </c>
      <c r="C99" t="s">
        <v>1065</v>
      </c>
      <c r="D99" t="s">
        <v>492</v>
      </c>
      <c r="E99">
        <v>560</v>
      </c>
      <c r="F99" t="s">
        <v>1069</v>
      </c>
      <c r="G99">
        <v>500</v>
      </c>
      <c r="H99" t="s">
        <v>810</v>
      </c>
      <c r="I99" t="s">
        <v>811</v>
      </c>
      <c r="J99" t="s">
        <v>812</v>
      </c>
      <c r="K99" t="s">
        <v>803</v>
      </c>
      <c r="L99" t="s">
        <v>803</v>
      </c>
      <c r="M99" t="s">
        <v>813</v>
      </c>
      <c r="N99" t="s">
        <v>814</v>
      </c>
      <c r="O99" s="1">
        <v>42089</v>
      </c>
      <c r="P99" t="s">
        <v>1067</v>
      </c>
      <c r="Q99">
        <v>2210</v>
      </c>
    </row>
    <row r="100" spans="1:17">
      <c r="A100" t="s">
        <v>74</v>
      </c>
      <c r="B100" t="s">
        <v>1064</v>
      </c>
      <c r="C100" t="s">
        <v>1065</v>
      </c>
      <c r="D100" t="s">
        <v>493</v>
      </c>
      <c r="E100">
        <v>560</v>
      </c>
      <c r="F100" t="s">
        <v>1070</v>
      </c>
      <c r="G100">
        <v>500</v>
      </c>
      <c r="H100" t="s">
        <v>810</v>
      </c>
      <c r="I100" t="s">
        <v>811</v>
      </c>
      <c r="J100" t="s">
        <v>812</v>
      </c>
      <c r="K100" t="s">
        <v>803</v>
      </c>
      <c r="L100" t="s">
        <v>803</v>
      </c>
      <c r="M100" t="s">
        <v>813</v>
      </c>
      <c r="N100" t="s">
        <v>814</v>
      </c>
      <c r="O100" s="1">
        <v>42089</v>
      </c>
      <c r="P100" t="s">
        <v>1067</v>
      </c>
      <c r="Q100">
        <v>2210</v>
      </c>
    </row>
    <row r="101" spans="1:17">
      <c r="A101" t="s">
        <v>75</v>
      </c>
      <c r="B101" t="s">
        <v>1071</v>
      </c>
      <c r="C101" t="s">
        <v>1072</v>
      </c>
      <c r="D101" t="s">
        <v>483</v>
      </c>
      <c r="E101">
        <v>500</v>
      </c>
      <c r="F101" t="s">
        <v>1073</v>
      </c>
      <c r="G101">
        <v>500</v>
      </c>
      <c r="H101" t="s">
        <v>810</v>
      </c>
      <c r="I101" t="s">
        <v>811</v>
      </c>
      <c r="J101" t="s">
        <v>812</v>
      </c>
      <c r="K101" t="s">
        <v>803</v>
      </c>
      <c r="L101" t="s">
        <v>803</v>
      </c>
      <c r="M101" t="s">
        <v>813</v>
      </c>
      <c r="N101" t="s">
        <v>814</v>
      </c>
      <c r="O101" s="1">
        <v>42089</v>
      </c>
      <c r="P101" t="s">
        <v>1074</v>
      </c>
      <c r="Q101">
        <v>1000</v>
      </c>
    </row>
    <row r="102" spans="1:17">
      <c r="A102" t="s">
        <v>75</v>
      </c>
      <c r="B102" t="s">
        <v>1071</v>
      </c>
      <c r="C102" t="s">
        <v>1072</v>
      </c>
      <c r="D102" t="s">
        <v>485</v>
      </c>
      <c r="E102">
        <v>500</v>
      </c>
      <c r="F102" t="s">
        <v>1075</v>
      </c>
      <c r="G102">
        <v>500</v>
      </c>
      <c r="H102" t="s">
        <v>810</v>
      </c>
      <c r="I102" t="s">
        <v>811</v>
      </c>
      <c r="J102" t="s">
        <v>812</v>
      </c>
      <c r="K102" t="s">
        <v>803</v>
      </c>
      <c r="L102" t="s">
        <v>803</v>
      </c>
      <c r="M102" t="s">
        <v>813</v>
      </c>
      <c r="N102" t="s">
        <v>814</v>
      </c>
      <c r="O102" s="1">
        <v>42089</v>
      </c>
      <c r="P102" t="s">
        <v>1074</v>
      </c>
      <c r="Q102">
        <v>1000</v>
      </c>
    </row>
    <row r="103" spans="1:17">
      <c r="A103" t="s">
        <v>76</v>
      </c>
      <c r="B103" t="s">
        <v>1076</v>
      </c>
      <c r="C103" t="s">
        <v>1077</v>
      </c>
      <c r="D103" t="s">
        <v>518</v>
      </c>
      <c r="E103">
        <v>90</v>
      </c>
      <c r="F103" t="s">
        <v>1078</v>
      </c>
      <c r="G103">
        <v>275</v>
      </c>
      <c r="H103" t="s">
        <v>810</v>
      </c>
      <c r="I103" t="s">
        <v>811</v>
      </c>
      <c r="J103" t="s">
        <v>812</v>
      </c>
      <c r="K103" t="s">
        <v>803</v>
      </c>
      <c r="L103" t="s">
        <v>803</v>
      </c>
      <c r="M103" t="s">
        <v>813</v>
      </c>
      <c r="N103" t="s">
        <v>814</v>
      </c>
      <c r="O103" s="1">
        <v>42089</v>
      </c>
      <c r="P103" t="s">
        <v>1079</v>
      </c>
      <c r="Q103">
        <v>195</v>
      </c>
    </row>
    <row r="104" spans="1:17">
      <c r="A104" t="s">
        <v>76</v>
      </c>
      <c r="B104" t="s">
        <v>1076</v>
      </c>
      <c r="C104" t="s">
        <v>1077</v>
      </c>
      <c r="D104" t="s">
        <v>1080</v>
      </c>
      <c r="E104">
        <v>30</v>
      </c>
      <c r="F104" t="s">
        <v>1081</v>
      </c>
      <c r="G104">
        <v>275</v>
      </c>
      <c r="H104" t="s">
        <v>810</v>
      </c>
      <c r="I104" t="s">
        <v>811</v>
      </c>
      <c r="J104" t="s">
        <v>812</v>
      </c>
      <c r="K104" t="s">
        <v>803</v>
      </c>
      <c r="L104" t="s">
        <v>803</v>
      </c>
      <c r="M104" t="s">
        <v>813</v>
      </c>
      <c r="N104" t="s">
        <v>814</v>
      </c>
      <c r="O104" s="1">
        <v>42089</v>
      </c>
      <c r="P104" t="s">
        <v>1079</v>
      </c>
      <c r="Q104">
        <v>195</v>
      </c>
    </row>
    <row r="105" spans="1:17">
      <c r="A105" t="s">
        <v>76</v>
      </c>
      <c r="B105" t="s">
        <v>1076</v>
      </c>
      <c r="C105" t="s">
        <v>1077</v>
      </c>
      <c r="D105" t="s">
        <v>1082</v>
      </c>
      <c r="E105">
        <v>75</v>
      </c>
      <c r="F105" t="s">
        <v>1083</v>
      </c>
      <c r="G105">
        <v>275</v>
      </c>
      <c r="H105" t="s">
        <v>810</v>
      </c>
      <c r="I105" t="s">
        <v>811</v>
      </c>
      <c r="J105" t="s">
        <v>812</v>
      </c>
      <c r="K105" t="s">
        <v>803</v>
      </c>
      <c r="L105" t="s">
        <v>803</v>
      </c>
      <c r="M105" t="s">
        <v>813</v>
      </c>
      <c r="N105" t="s">
        <v>814</v>
      </c>
      <c r="O105" s="1">
        <v>42089</v>
      </c>
      <c r="P105" t="s">
        <v>1079</v>
      </c>
      <c r="Q105">
        <v>195</v>
      </c>
    </row>
    <row r="106" spans="1:17">
      <c r="A106" t="s">
        <v>77</v>
      </c>
      <c r="B106" t="s">
        <v>1084</v>
      </c>
      <c r="C106" t="s">
        <v>1058</v>
      </c>
      <c r="D106" t="s">
        <v>429</v>
      </c>
      <c r="E106">
        <v>51</v>
      </c>
      <c r="F106" t="s">
        <v>1085</v>
      </c>
      <c r="G106">
        <v>220</v>
      </c>
      <c r="H106" t="s">
        <v>830</v>
      </c>
      <c r="I106" t="s">
        <v>811</v>
      </c>
      <c r="J106" t="s">
        <v>812</v>
      </c>
      <c r="K106" t="s">
        <v>803</v>
      </c>
      <c r="L106" t="s">
        <v>803</v>
      </c>
      <c r="M106" t="s">
        <v>874</v>
      </c>
      <c r="N106" t="s">
        <v>832</v>
      </c>
      <c r="O106" s="1">
        <v>42089</v>
      </c>
      <c r="P106" t="s">
        <v>1086</v>
      </c>
      <c r="Q106">
        <v>204</v>
      </c>
    </row>
    <row r="107" spans="1:17">
      <c r="A107" t="s">
        <v>77</v>
      </c>
      <c r="B107" t="s">
        <v>1084</v>
      </c>
      <c r="C107" t="s">
        <v>1058</v>
      </c>
      <c r="D107" t="s">
        <v>431</v>
      </c>
      <c r="E107">
        <v>51</v>
      </c>
      <c r="F107" t="s">
        <v>1087</v>
      </c>
      <c r="G107">
        <v>220</v>
      </c>
      <c r="H107" t="s">
        <v>830</v>
      </c>
      <c r="I107" t="s">
        <v>811</v>
      </c>
      <c r="J107" t="s">
        <v>812</v>
      </c>
      <c r="K107" t="s">
        <v>803</v>
      </c>
      <c r="L107" t="s">
        <v>803</v>
      </c>
      <c r="M107" t="s">
        <v>874</v>
      </c>
      <c r="N107" t="s">
        <v>832</v>
      </c>
      <c r="O107" s="1">
        <v>42089</v>
      </c>
      <c r="P107" t="s">
        <v>1086</v>
      </c>
      <c r="Q107">
        <v>204</v>
      </c>
    </row>
    <row r="108" spans="1:17">
      <c r="A108" t="s">
        <v>77</v>
      </c>
      <c r="B108" t="s">
        <v>1084</v>
      </c>
      <c r="C108" t="s">
        <v>1058</v>
      </c>
      <c r="D108" t="s">
        <v>432</v>
      </c>
      <c r="E108">
        <v>51</v>
      </c>
      <c r="F108" t="s">
        <v>1088</v>
      </c>
      <c r="G108">
        <v>220</v>
      </c>
      <c r="H108" t="s">
        <v>830</v>
      </c>
      <c r="I108" t="s">
        <v>811</v>
      </c>
      <c r="J108" t="s">
        <v>812</v>
      </c>
      <c r="K108" t="s">
        <v>803</v>
      </c>
      <c r="L108" t="s">
        <v>803</v>
      </c>
      <c r="M108" t="s">
        <v>874</v>
      </c>
      <c r="N108" t="s">
        <v>832</v>
      </c>
      <c r="O108" s="1">
        <v>42089</v>
      </c>
      <c r="P108" t="s">
        <v>1086</v>
      </c>
      <c r="Q108">
        <v>204</v>
      </c>
    </row>
    <row r="109" spans="1:17">
      <c r="A109" t="s">
        <v>77</v>
      </c>
      <c r="B109" t="s">
        <v>1084</v>
      </c>
      <c r="C109" t="s">
        <v>1058</v>
      </c>
      <c r="D109" t="s">
        <v>433</v>
      </c>
      <c r="E109">
        <v>51</v>
      </c>
      <c r="F109" t="s">
        <v>1089</v>
      </c>
      <c r="G109">
        <v>220</v>
      </c>
      <c r="H109" t="s">
        <v>830</v>
      </c>
      <c r="I109" t="s">
        <v>811</v>
      </c>
      <c r="J109" t="s">
        <v>812</v>
      </c>
      <c r="K109" t="s">
        <v>803</v>
      </c>
      <c r="L109" t="s">
        <v>803</v>
      </c>
      <c r="M109" t="s">
        <v>874</v>
      </c>
      <c r="N109" t="s">
        <v>832</v>
      </c>
      <c r="O109" s="1">
        <v>42089</v>
      </c>
      <c r="P109" t="s">
        <v>1086</v>
      </c>
      <c r="Q109">
        <v>204</v>
      </c>
    </row>
    <row r="110" spans="1:17">
      <c r="A110" t="s">
        <v>78</v>
      </c>
      <c r="B110" t="s">
        <v>1090</v>
      </c>
      <c r="C110" t="s">
        <v>1058</v>
      </c>
      <c r="D110" t="s">
        <v>434</v>
      </c>
      <c r="E110">
        <v>76</v>
      </c>
      <c r="F110" t="s">
        <v>1091</v>
      </c>
      <c r="G110">
        <v>220</v>
      </c>
      <c r="H110" t="s">
        <v>830</v>
      </c>
      <c r="I110" t="s">
        <v>811</v>
      </c>
      <c r="J110" t="s">
        <v>812</v>
      </c>
      <c r="K110" t="s">
        <v>803</v>
      </c>
      <c r="L110" t="s">
        <v>803</v>
      </c>
      <c r="M110" t="s">
        <v>874</v>
      </c>
      <c r="N110" t="s">
        <v>832</v>
      </c>
      <c r="O110" s="1">
        <v>42089</v>
      </c>
      <c r="P110" t="s">
        <v>1086</v>
      </c>
      <c r="Q110">
        <v>228</v>
      </c>
    </row>
    <row r="111" spans="1:17">
      <c r="A111" t="s">
        <v>78</v>
      </c>
      <c r="B111" t="s">
        <v>1090</v>
      </c>
      <c r="C111" t="s">
        <v>1058</v>
      </c>
      <c r="D111" t="s">
        <v>436</v>
      </c>
      <c r="E111">
        <v>76</v>
      </c>
      <c r="F111" t="s">
        <v>1092</v>
      </c>
      <c r="G111">
        <v>220</v>
      </c>
      <c r="H111" t="s">
        <v>830</v>
      </c>
      <c r="I111" t="s">
        <v>811</v>
      </c>
      <c r="J111" t="s">
        <v>812</v>
      </c>
      <c r="K111" t="s">
        <v>803</v>
      </c>
      <c r="L111" t="s">
        <v>803</v>
      </c>
      <c r="M111" t="s">
        <v>874</v>
      </c>
      <c r="N111" t="s">
        <v>832</v>
      </c>
      <c r="O111" s="1">
        <v>42089</v>
      </c>
      <c r="P111" t="s">
        <v>1086</v>
      </c>
      <c r="Q111">
        <v>228</v>
      </c>
    </row>
    <row r="112" spans="1:17">
      <c r="A112" t="s">
        <v>78</v>
      </c>
      <c r="B112" t="s">
        <v>1090</v>
      </c>
      <c r="C112" t="s">
        <v>1058</v>
      </c>
      <c r="D112" t="s">
        <v>437</v>
      </c>
      <c r="E112">
        <v>76</v>
      </c>
      <c r="F112" t="s">
        <v>1093</v>
      </c>
      <c r="G112">
        <v>220</v>
      </c>
      <c r="H112" t="s">
        <v>830</v>
      </c>
      <c r="I112" t="s">
        <v>811</v>
      </c>
      <c r="J112" t="s">
        <v>812</v>
      </c>
      <c r="K112" t="s">
        <v>803</v>
      </c>
      <c r="L112" t="s">
        <v>803</v>
      </c>
      <c r="M112" t="s">
        <v>874</v>
      </c>
      <c r="N112" t="s">
        <v>832</v>
      </c>
      <c r="O112" s="1">
        <v>42089</v>
      </c>
      <c r="P112" t="s">
        <v>1086</v>
      </c>
      <c r="Q112">
        <v>228</v>
      </c>
    </row>
    <row r="113" spans="1:17">
      <c r="A113" t="s">
        <v>79</v>
      </c>
      <c r="B113" t="s">
        <v>713</v>
      </c>
      <c r="C113" t="s">
        <v>1031</v>
      </c>
      <c r="D113" t="s">
        <v>713</v>
      </c>
      <c r="E113">
        <v>300</v>
      </c>
      <c r="F113" t="s">
        <v>1094</v>
      </c>
      <c r="G113">
        <v>500</v>
      </c>
      <c r="H113" t="s">
        <v>830</v>
      </c>
      <c r="I113" t="s">
        <v>811</v>
      </c>
      <c r="J113" t="s">
        <v>812</v>
      </c>
      <c r="K113" t="s">
        <v>803</v>
      </c>
      <c r="L113" t="s">
        <v>803</v>
      </c>
      <c r="M113" t="s">
        <v>874</v>
      </c>
      <c r="N113" t="s">
        <v>832</v>
      </c>
      <c r="O113" s="1">
        <v>42089</v>
      </c>
      <c r="P113" t="s">
        <v>1095</v>
      </c>
      <c r="Q113">
        <v>300</v>
      </c>
    </row>
    <row r="114" spans="1:17">
      <c r="A114" t="s">
        <v>80</v>
      </c>
      <c r="B114" t="s">
        <v>1096</v>
      </c>
      <c r="C114" t="s">
        <v>1097</v>
      </c>
      <c r="D114" t="s">
        <v>412</v>
      </c>
      <c r="E114">
        <v>220</v>
      </c>
      <c r="F114" t="s">
        <v>1098</v>
      </c>
      <c r="G114">
        <v>220</v>
      </c>
      <c r="H114" t="s">
        <v>810</v>
      </c>
      <c r="I114" t="s">
        <v>811</v>
      </c>
      <c r="J114" t="s">
        <v>812</v>
      </c>
      <c r="K114" t="s">
        <v>803</v>
      </c>
      <c r="L114" t="s">
        <v>803</v>
      </c>
      <c r="M114" t="s">
        <v>813</v>
      </c>
      <c r="N114" t="s">
        <v>814</v>
      </c>
      <c r="O114" s="1">
        <v>42089</v>
      </c>
      <c r="P114" t="s">
        <v>1099</v>
      </c>
      <c r="Q114">
        <v>1640</v>
      </c>
    </row>
    <row r="115" spans="1:17">
      <c r="A115" t="s">
        <v>80</v>
      </c>
      <c r="B115" t="s">
        <v>1096</v>
      </c>
      <c r="C115" t="s">
        <v>1097</v>
      </c>
      <c r="D115" t="s">
        <v>414</v>
      </c>
      <c r="E115">
        <v>220</v>
      </c>
      <c r="F115" t="s">
        <v>1100</v>
      </c>
      <c r="G115">
        <v>220</v>
      </c>
      <c r="H115" t="s">
        <v>810</v>
      </c>
      <c r="I115" t="s">
        <v>811</v>
      </c>
      <c r="J115" t="s">
        <v>812</v>
      </c>
      <c r="K115" t="s">
        <v>803</v>
      </c>
      <c r="L115" t="s">
        <v>803</v>
      </c>
      <c r="M115" t="s">
        <v>813</v>
      </c>
      <c r="N115" t="s">
        <v>814</v>
      </c>
      <c r="O115" s="1">
        <v>42089</v>
      </c>
      <c r="P115" t="s">
        <v>1099</v>
      </c>
      <c r="Q115">
        <v>1640</v>
      </c>
    </row>
    <row r="116" spans="1:17">
      <c r="A116" t="s">
        <v>80</v>
      </c>
      <c r="B116" t="s">
        <v>1096</v>
      </c>
      <c r="C116" t="s">
        <v>1097</v>
      </c>
      <c r="D116" t="s">
        <v>415</v>
      </c>
      <c r="E116">
        <v>200</v>
      </c>
      <c r="F116" t="s">
        <v>1101</v>
      </c>
      <c r="G116">
        <v>220</v>
      </c>
      <c r="H116" t="s">
        <v>810</v>
      </c>
      <c r="I116" t="s">
        <v>811</v>
      </c>
      <c r="J116" t="s">
        <v>812</v>
      </c>
      <c r="K116" t="s">
        <v>803</v>
      </c>
      <c r="L116" t="s">
        <v>803</v>
      </c>
      <c r="M116" t="s">
        <v>813</v>
      </c>
      <c r="N116" t="s">
        <v>814</v>
      </c>
      <c r="O116" s="1">
        <v>42089</v>
      </c>
      <c r="P116" t="s">
        <v>1099</v>
      </c>
      <c r="Q116">
        <v>1640</v>
      </c>
    </row>
    <row r="117" spans="1:17">
      <c r="A117" t="s">
        <v>80</v>
      </c>
      <c r="B117" t="s">
        <v>1096</v>
      </c>
      <c r="C117" t="s">
        <v>1097</v>
      </c>
      <c r="D117" t="s">
        <v>416</v>
      </c>
      <c r="E117">
        <v>200</v>
      </c>
      <c r="F117" t="s">
        <v>1102</v>
      </c>
      <c r="G117">
        <v>220</v>
      </c>
      <c r="H117" t="s">
        <v>810</v>
      </c>
      <c r="I117" t="s">
        <v>811</v>
      </c>
      <c r="J117" t="s">
        <v>812</v>
      </c>
      <c r="K117" t="s">
        <v>803</v>
      </c>
      <c r="L117" t="s">
        <v>803</v>
      </c>
      <c r="M117" t="s">
        <v>813</v>
      </c>
      <c r="N117" t="s">
        <v>814</v>
      </c>
      <c r="O117" s="1">
        <v>42089</v>
      </c>
      <c r="P117" t="s">
        <v>1099</v>
      </c>
      <c r="Q117">
        <v>1640</v>
      </c>
    </row>
    <row r="118" spans="1:17">
      <c r="A118" t="s">
        <v>80</v>
      </c>
      <c r="B118" t="s">
        <v>1096</v>
      </c>
      <c r="C118" t="s">
        <v>1097</v>
      </c>
      <c r="D118" t="s">
        <v>417</v>
      </c>
      <c r="E118">
        <v>200</v>
      </c>
      <c r="F118" t="s">
        <v>1103</v>
      </c>
      <c r="G118">
        <v>220</v>
      </c>
      <c r="H118" t="s">
        <v>810</v>
      </c>
      <c r="I118" t="s">
        <v>811</v>
      </c>
      <c r="J118" t="s">
        <v>812</v>
      </c>
      <c r="K118" t="s">
        <v>803</v>
      </c>
      <c r="L118" t="s">
        <v>803</v>
      </c>
      <c r="M118" t="s">
        <v>813</v>
      </c>
      <c r="N118" t="s">
        <v>814</v>
      </c>
      <c r="O118" s="1">
        <v>42089</v>
      </c>
      <c r="P118" t="s">
        <v>1099</v>
      </c>
      <c r="Q118">
        <v>1640</v>
      </c>
    </row>
    <row r="119" spans="1:17">
      <c r="A119" t="s">
        <v>80</v>
      </c>
      <c r="B119" t="s">
        <v>1096</v>
      </c>
      <c r="C119" t="s">
        <v>1097</v>
      </c>
      <c r="D119" t="s">
        <v>418</v>
      </c>
      <c r="E119">
        <v>200</v>
      </c>
      <c r="F119" t="s">
        <v>1104</v>
      </c>
      <c r="G119">
        <v>220</v>
      </c>
      <c r="H119" t="s">
        <v>810</v>
      </c>
      <c r="I119" t="s">
        <v>811</v>
      </c>
      <c r="J119" t="s">
        <v>812</v>
      </c>
      <c r="K119" t="s">
        <v>803</v>
      </c>
      <c r="L119" t="s">
        <v>803</v>
      </c>
      <c r="M119" t="s">
        <v>813</v>
      </c>
      <c r="N119" t="s">
        <v>814</v>
      </c>
      <c r="O119" s="1">
        <v>42089</v>
      </c>
      <c r="P119" t="s">
        <v>1099</v>
      </c>
      <c r="Q119">
        <v>1640</v>
      </c>
    </row>
    <row r="120" spans="1:17">
      <c r="A120" t="s">
        <v>80</v>
      </c>
      <c r="B120" t="s">
        <v>1096</v>
      </c>
      <c r="C120" t="s">
        <v>1097</v>
      </c>
      <c r="D120" t="s">
        <v>419</v>
      </c>
      <c r="E120">
        <v>200</v>
      </c>
      <c r="F120" t="s">
        <v>1105</v>
      </c>
      <c r="G120">
        <v>220</v>
      </c>
      <c r="H120" t="s">
        <v>810</v>
      </c>
      <c r="I120" t="s">
        <v>811</v>
      </c>
      <c r="J120" t="s">
        <v>812</v>
      </c>
      <c r="K120" t="s">
        <v>803</v>
      </c>
      <c r="L120" t="s">
        <v>803</v>
      </c>
      <c r="M120" t="s">
        <v>813</v>
      </c>
      <c r="N120" t="s">
        <v>814</v>
      </c>
      <c r="O120" s="1">
        <v>42089</v>
      </c>
      <c r="P120" t="s">
        <v>1099</v>
      </c>
      <c r="Q120">
        <v>1640</v>
      </c>
    </row>
    <row r="121" spans="1:17">
      <c r="A121" t="s">
        <v>80</v>
      </c>
      <c r="B121" t="s">
        <v>1096</v>
      </c>
      <c r="C121" t="s">
        <v>1097</v>
      </c>
      <c r="D121" t="s">
        <v>420</v>
      </c>
      <c r="E121">
        <v>200</v>
      </c>
      <c r="F121" t="s">
        <v>1106</v>
      </c>
      <c r="G121">
        <v>220</v>
      </c>
      <c r="H121" t="s">
        <v>810</v>
      </c>
      <c r="I121" t="s">
        <v>811</v>
      </c>
      <c r="J121" t="s">
        <v>812</v>
      </c>
      <c r="K121" t="s">
        <v>803</v>
      </c>
      <c r="L121" t="s">
        <v>803</v>
      </c>
      <c r="M121" t="s">
        <v>813</v>
      </c>
      <c r="N121" t="s">
        <v>814</v>
      </c>
      <c r="O121" s="1">
        <v>42089</v>
      </c>
      <c r="P121" t="s">
        <v>1099</v>
      </c>
      <c r="Q121">
        <v>1640</v>
      </c>
    </row>
    <row r="122" spans="1:17">
      <c r="A122" t="s">
        <v>81</v>
      </c>
      <c r="B122" t="s">
        <v>1107</v>
      </c>
      <c r="C122" t="s">
        <v>1108</v>
      </c>
      <c r="D122" t="s">
        <v>777</v>
      </c>
      <c r="E122">
        <v>360</v>
      </c>
      <c r="F122" t="s">
        <v>1109</v>
      </c>
      <c r="G122">
        <v>220</v>
      </c>
      <c r="H122" t="s">
        <v>810</v>
      </c>
      <c r="I122" t="s">
        <v>811</v>
      </c>
      <c r="J122" t="s">
        <v>812</v>
      </c>
      <c r="K122" t="s">
        <v>803</v>
      </c>
      <c r="L122" t="s">
        <v>803</v>
      </c>
      <c r="M122" t="s">
        <v>813</v>
      </c>
      <c r="N122" t="s">
        <v>814</v>
      </c>
      <c r="O122" s="1">
        <v>42089</v>
      </c>
      <c r="P122" t="s">
        <v>1110</v>
      </c>
      <c r="Q122">
        <v>1480</v>
      </c>
    </row>
    <row r="123" spans="1:17">
      <c r="A123" t="s">
        <v>81</v>
      </c>
      <c r="B123" t="s">
        <v>1107</v>
      </c>
      <c r="C123" t="s">
        <v>1108</v>
      </c>
      <c r="D123" t="s">
        <v>779</v>
      </c>
      <c r="E123">
        <v>360</v>
      </c>
      <c r="F123" t="s">
        <v>1111</v>
      </c>
      <c r="G123">
        <v>220</v>
      </c>
      <c r="H123" t="s">
        <v>810</v>
      </c>
      <c r="I123" t="s">
        <v>811</v>
      </c>
      <c r="J123" t="s">
        <v>812</v>
      </c>
      <c r="K123" t="s">
        <v>803</v>
      </c>
      <c r="L123" t="s">
        <v>803</v>
      </c>
      <c r="M123" t="s">
        <v>813</v>
      </c>
      <c r="N123" t="s">
        <v>814</v>
      </c>
      <c r="O123" s="1">
        <v>42089</v>
      </c>
      <c r="P123" t="s">
        <v>1110</v>
      </c>
      <c r="Q123">
        <v>1480</v>
      </c>
    </row>
    <row r="124" spans="1:17">
      <c r="A124" t="s">
        <v>81</v>
      </c>
      <c r="B124" t="s">
        <v>1107</v>
      </c>
      <c r="C124" t="s">
        <v>1108</v>
      </c>
      <c r="D124" t="s">
        <v>780</v>
      </c>
      <c r="E124">
        <v>380</v>
      </c>
      <c r="F124" t="s">
        <v>1112</v>
      </c>
      <c r="G124">
        <v>220</v>
      </c>
      <c r="H124" t="s">
        <v>810</v>
      </c>
      <c r="I124" t="s">
        <v>811</v>
      </c>
      <c r="J124" t="s">
        <v>812</v>
      </c>
      <c r="K124" t="s">
        <v>803</v>
      </c>
      <c r="L124" t="s">
        <v>803</v>
      </c>
      <c r="M124" t="s">
        <v>813</v>
      </c>
      <c r="N124" t="s">
        <v>814</v>
      </c>
      <c r="O124" s="1">
        <v>42089</v>
      </c>
      <c r="P124" t="s">
        <v>1110</v>
      </c>
      <c r="Q124">
        <v>1480</v>
      </c>
    </row>
    <row r="125" spans="1:17">
      <c r="A125" t="s">
        <v>81</v>
      </c>
      <c r="B125" t="s">
        <v>1107</v>
      </c>
      <c r="C125" t="s">
        <v>1108</v>
      </c>
      <c r="D125" t="s">
        <v>781</v>
      </c>
      <c r="E125">
        <v>380</v>
      </c>
      <c r="F125" t="s">
        <v>1113</v>
      </c>
      <c r="G125">
        <v>220</v>
      </c>
      <c r="H125" t="s">
        <v>810</v>
      </c>
      <c r="I125" t="s">
        <v>811</v>
      </c>
      <c r="J125" t="s">
        <v>812</v>
      </c>
      <c r="K125" t="s">
        <v>803</v>
      </c>
      <c r="L125" t="s">
        <v>803</v>
      </c>
      <c r="M125" t="s">
        <v>813</v>
      </c>
      <c r="N125" t="s">
        <v>814</v>
      </c>
      <c r="O125" s="1">
        <v>42089</v>
      </c>
      <c r="P125" t="s">
        <v>1110</v>
      </c>
      <c r="Q125">
        <v>1480</v>
      </c>
    </row>
    <row r="126" spans="1:17">
      <c r="A126" t="s">
        <v>82</v>
      </c>
      <c r="B126" t="s">
        <v>1114</v>
      </c>
      <c r="C126" t="s">
        <v>1115</v>
      </c>
      <c r="D126" t="s">
        <v>236</v>
      </c>
      <c r="E126">
        <v>47</v>
      </c>
      <c r="F126" t="s">
        <v>1116</v>
      </c>
      <c r="G126">
        <v>66</v>
      </c>
      <c r="H126" t="s">
        <v>830</v>
      </c>
      <c r="I126" t="s">
        <v>811</v>
      </c>
      <c r="J126" t="s">
        <v>812</v>
      </c>
      <c r="K126" t="s">
        <v>803</v>
      </c>
      <c r="L126" t="s">
        <v>803</v>
      </c>
      <c r="M126" t="s">
        <v>874</v>
      </c>
      <c r="N126" t="s">
        <v>832</v>
      </c>
      <c r="O126" s="1">
        <v>42089</v>
      </c>
      <c r="P126" t="s">
        <v>1117</v>
      </c>
      <c r="Q126">
        <v>94</v>
      </c>
    </row>
    <row r="127" spans="1:17">
      <c r="A127" t="s">
        <v>82</v>
      </c>
      <c r="B127" t="s">
        <v>1114</v>
      </c>
      <c r="C127" t="s">
        <v>1115</v>
      </c>
      <c r="D127" t="s">
        <v>238</v>
      </c>
      <c r="E127">
        <v>47</v>
      </c>
      <c r="F127" t="s">
        <v>1118</v>
      </c>
      <c r="G127">
        <v>66</v>
      </c>
      <c r="H127" t="s">
        <v>830</v>
      </c>
      <c r="I127" t="s">
        <v>811</v>
      </c>
      <c r="J127" t="s">
        <v>812</v>
      </c>
      <c r="K127" t="s">
        <v>803</v>
      </c>
      <c r="L127" t="s">
        <v>803</v>
      </c>
      <c r="M127" t="s">
        <v>874</v>
      </c>
      <c r="N127" t="s">
        <v>832</v>
      </c>
      <c r="O127" s="1">
        <v>42089</v>
      </c>
      <c r="P127" t="s">
        <v>1117</v>
      </c>
      <c r="Q127">
        <v>94</v>
      </c>
    </row>
    <row r="128" spans="1:17">
      <c r="A128" t="s">
        <v>83</v>
      </c>
      <c r="B128" t="s">
        <v>681</v>
      </c>
      <c r="C128" t="s">
        <v>1119</v>
      </c>
      <c r="D128" t="s">
        <v>681</v>
      </c>
      <c r="E128">
        <v>21</v>
      </c>
      <c r="F128" t="s">
        <v>1120</v>
      </c>
      <c r="G128">
        <v>66</v>
      </c>
      <c r="H128" t="s">
        <v>823</v>
      </c>
      <c r="I128" t="s">
        <v>811</v>
      </c>
      <c r="J128" t="s">
        <v>804</v>
      </c>
      <c r="K128" t="s">
        <v>803</v>
      </c>
      <c r="L128" t="s">
        <v>803</v>
      </c>
      <c r="M128" t="s">
        <v>824</v>
      </c>
      <c r="N128" t="s">
        <v>825</v>
      </c>
      <c r="O128" s="1">
        <v>42089</v>
      </c>
      <c r="P128" t="s">
        <v>1121</v>
      </c>
      <c r="Q128">
        <v>21</v>
      </c>
    </row>
    <row r="129" spans="1:17">
      <c r="A129" t="s">
        <v>84</v>
      </c>
      <c r="B129" t="s">
        <v>1122</v>
      </c>
      <c r="C129" t="s">
        <v>1123</v>
      </c>
      <c r="D129" t="s">
        <v>204</v>
      </c>
      <c r="E129">
        <v>106</v>
      </c>
      <c r="F129" t="s">
        <v>1124</v>
      </c>
      <c r="G129">
        <v>66</v>
      </c>
      <c r="H129" t="s">
        <v>810</v>
      </c>
      <c r="I129" t="s">
        <v>811</v>
      </c>
      <c r="J129" t="s">
        <v>841</v>
      </c>
      <c r="K129" t="s">
        <v>811</v>
      </c>
      <c r="L129" t="s">
        <v>811</v>
      </c>
      <c r="M129" t="s">
        <v>824</v>
      </c>
      <c r="N129" t="s">
        <v>825</v>
      </c>
      <c r="O129" s="1">
        <v>42089</v>
      </c>
      <c r="P129" t="s">
        <v>1125</v>
      </c>
      <c r="Q129">
        <v>106</v>
      </c>
    </row>
    <row r="130" spans="1:17">
      <c r="A130" t="s">
        <v>85</v>
      </c>
      <c r="B130" t="s">
        <v>191</v>
      </c>
      <c r="C130" t="s">
        <v>1126</v>
      </c>
      <c r="D130" t="s">
        <v>191</v>
      </c>
      <c r="E130">
        <v>165</v>
      </c>
      <c r="F130" t="s">
        <v>1127</v>
      </c>
      <c r="G130">
        <v>220</v>
      </c>
      <c r="H130" t="s">
        <v>810</v>
      </c>
      <c r="I130" t="s">
        <v>811</v>
      </c>
      <c r="J130" t="s">
        <v>812</v>
      </c>
      <c r="K130" t="s">
        <v>803</v>
      </c>
      <c r="L130" t="s">
        <v>803</v>
      </c>
      <c r="M130" t="s">
        <v>813</v>
      </c>
      <c r="N130" t="s">
        <v>814</v>
      </c>
      <c r="O130" s="1">
        <v>42089</v>
      </c>
      <c r="P130" t="s">
        <v>1128</v>
      </c>
      <c r="Q130">
        <v>165</v>
      </c>
    </row>
    <row r="131" spans="1:17">
      <c r="A131" t="s">
        <v>86</v>
      </c>
      <c r="B131" t="s">
        <v>1129</v>
      </c>
      <c r="C131" t="s">
        <v>1130</v>
      </c>
      <c r="D131" t="s">
        <v>507</v>
      </c>
      <c r="E131">
        <v>131</v>
      </c>
      <c r="F131" t="s">
        <v>1131</v>
      </c>
      <c r="G131">
        <v>220</v>
      </c>
      <c r="H131" t="s">
        <v>810</v>
      </c>
      <c r="I131" t="s">
        <v>811</v>
      </c>
      <c r="J131" t="s">
        <v>841</v>
      </c>
      <c r="K131" t="s">
        <v>811</v>
      </c>
      <c r="L131" t="s">
        <v>811</v>
      </c>
      <c r="M131" t="s">
        <v>824</v>
      </c>
      <c r="N131" t="s">
        <v>825</v>
      </c>
      <c r="O131" s="1">
        <v>42089</v>
      </c>
      <c r="P131" t="s">
        <v>1132</v>
      </c>
      <c r="Q131">
        <v>131</v>
      </c>
    </row>
    <row r="132" spans="1:17">
      <c r="A132" t="s">
        <v>87</v>
      </c>
      <c r="B132" t="s">
        <v>727</v>
      </c>
      <c r="C132" t="s">
        <v>1133</v>
      </c>
      <c r="D132" t="s">
        <v>727</v>
      </c>
      <c r="E132">
        <v>192</v>
      </c>
      <c r="F132" t="s">
        <v>1134</v>
      </c>
      <c r="G132">
        <v>220</v>
      </c>
      <c r="H132" t="s">
        <v>823</v>
      </c>
      <c r="I132" t="s">
        <v>811</v>
      </c>
      <c r="J132" t="s">
        <v>804</v>
      </c>
      <c r="K132" t="s">
        <v>811</v>
      </c>
      <c r="L132" t="s">
        <v>803</v>
      </c>
      <c r="M132" t="s">
        <v>824</v>
      </c>
      <c r="N132" t="s">
        <v>825</v>
      </c>
      <c r="O132" s="1">
        <v>42089</v>
      </c>
      <c r="P132" t="s">
        <v>1135</v>
      </c>
      <c r="Q132">
        <v>192</v>
      </c>
    </row>
    <row r="133" spans="1:17">
      <c r="A133" t="s">
        <v>88</v>
      </c>
      <c r="B133" t="s">
        <v>1136</v>
      </c>
      <c r="C133" t="s">
        <v>1137</v>
      </c>
      <c r="D133" t="s">
        <v>311</v>
      </c>
      <c r="E133">
        <v>53</v>
      </c>
      <c r="F133" t="s">
        <v>1138</v>
      </c>
      <c r="G133">
        <v>66</v>
      </c>
      <c r="H133" t="s">
        <v>823</v>
      </c>
      <c r="I133" t="s">
        <v>803</v>
      </c>
      <c r="J133" t="s">
        <v>804</v>
      </c>
      <c r="K133" t="s">
        <v>811</v>
      </c>
      <c r="L133" t="s">
        <v>803</v>
      </c>
      <c r="M133" t="s">
        <v>824</v>
      </c>
      <c r="N133" t="s">
        <v>825</v>
      </c>
      <c r="O133" s="1">
        <v>42089</v>
      </c>
      <c r="P133" t="s">
        <v>1139</v>
      </c>
      <c r="Q133">
        <v>53</v>
      </c>
    </row>
    <row r="134" spans="1:17">
      <c r="A134" t="s">
        <v>89</v>
      </c>
      <c r="B134" t="s">
        <v>1140</v>
      </c>
      <c r="C134" t="s">
        <v>839</v>
      </c>
      <c r="D134" t="s">
        <v>559</v>
      </c>
      <c r="E134">
        <v>67</v>
      </c>
      <c r="F134" t="s">
        <v>1141</v>
      </c>
      <c r="G134">
        <v>66</v>
      </c>
      <c r="H134" t="s">
        <v>810</v>
      </c>
      <c r="I134" t="s">
        <v>811</v>
      </c>
      <c r="J134" t="s">
        <v>841</v>
      </c>
      <c r="K134" t="s">
        <v>811</v>
      </c>
      <c r="L134" t="s">
        <v>811</v>
      </c>
      <c r="M134" t="s">
        <v>824</v>
      </c>
      <c r="N134" t="s">
        <v>825</v>
      </c>
      <c r="O134" s="1">
        <v>42089</v>
      </c>
      <c r="P134" t="s">
        <v>1142</v>
      </c>
      <c r="Q134">
        <v>67</v>
      </c>
    </row>
    <row r="135" spans="1:17">
      <c r="A135" t="s">
        <v>90</v>
      </c>
      <c r="B135" t="s">
        <v>1143</v>
      </c>
      <c r="C135" t="s">
        <v>1144</v>
      </c>
      <c r="D135" t="s">
        <v>516</v>
      </c>
      <c r="E135">
        <v>20</v>
      </c>
      <c r="F135" t="s">
        <v>1145</v>
      </c>
      <c r="G135">
        <v>66</v>
      </c>
      <c r="H135" t="s">
        <v>823</v>
      </c>
      <c r="I135" t="s">
        <v>811</v>
      </c>
      <c r="J135" t="s">
        <v>804</v>
      </c>
      <c r="K135" t="s">
        <v>811</v>
      </c>
      <c r="L135" t="s">
        <v>803</v>
      </c>
      <c r="M135" t="s">
        <v>824</v>
      </c>
      <c r="N135" t="s">
        <v>825</v>
      </c>
      <c r="O135" s="1">
        <v>42089</v>
      </c>
      <c r="P135" t="s">
        <v>1146</v>
      </c>
      <c r="Q135">
        <v>20</v>
      </c>
    </row>
    <row r="136" spans="1:17">
      <c r="A136" t="s">
        <v>91</v>
      </c>
      <c r="B136" t="s">
        <v>1147</v>
      </c>
      <c r="C136" t="s">
        <v>839</v>
      </c>
      <c r="D136" t="s">
        <v>494</v>
      </c>
      <c r="E136">
        <v>420</v>
      </c>
      <c r="F136" t="s">
        <v>1148</v>
      </c>
      <c r="G136">
        <v>500</v>
      </c>
      <c r="H136" t="s">
        <v>810</v>
      </c>
      <c r="I136" t="s">
        <v>811</v>
      </c>
      <c r="J136" t="s">
        <v>841</v>
      </c>
      <c r="K136" t="s">
        <v>811</v>
      </c>
      <c r="L136" t="s">
        <v>811</v>
      </c>
      <c r="M136" t="s">
        <v>824</v>
      </c>
      <c r="N136" t="s">
        <v>825</v>
      </c>
      <c r="O136" s="1">
        <v>42089</v>
      </c>
      <c r="P136" t="s">
        <v>1149</v>
      </c>
      <c r="Q136">
        <v>420</v>
      </c>
    </row>
    <row r="137" spans="1:17">
      <c r="A137" t="s">
        <v>92</v>
      </c>
      <c r="B137" t="s">
        <v>1150</v>
      </c>
      <c r="C137" t="s">
        <v>889</v>
      </c>
      <c r="D137" t="s">
        <v>526</v>
      </c>
      <c r="E137">
        <v>283</v>
      </c>
      <c r="F137" t="s">
        <v>1151</v>
      </c>
      <c r="G137">
        <v>500</v>
      </c>
      <c r="H137" t="s">
        <v>830</v>
      </c>
      <c r="I137" t="s">
        <v>811</v>
      </c>
      <c r="J137" t="s">
        <v>812</v>
      </c>
      <c r="K137" t="s">
        <v>803</v>
      </c>
      <c r="L137" t="s">
        <v>803</v>
      </c>
      <c r="M137" t="s">
        <v>874</v>
      </c>
      <c r="N137" t="s">
        <v>832</v>
      </c>
      <c r="O137" s="1">
        <v>42089</v>
      </c>
      <c r="P137" t="s">
        <v>1152</v>
      </c>
      <c r="Q137">
        <v>566</v>
      </c>
    </row>
    <row r="138" spans="1:17">
      <c r="A138" t="s">
        <v>92</v>
      </c>
      <c r="B138" t="s">
        <v>1150</v>
      </c>
      <c r="C138" t="s">
        <v>889</v>
      </c>
      <c r="D138" t="s">
        <v>528</v>
      </c>
      <c r="E138">
        <v>283</v>
      </c>
      <c r="F138" t="s">
        <v>1153</v>
      </c>
      <c r="G138">
        <v>500</v>
      </c>
      <c r="H138" t="s">
        <v>830</v>
      </c>
      <c r="I138" t="s">
        <v>811</v>
      </c>
      <c r="J138" t="s">
        <v>812</v>
      </c>
      <c r="K138" t="s">
        <v>803</v>
      </c>
      <c r="L138" t="s">
        <v>803</v>
      </c>
      <c r="M138" t="s">
        <v>874</v>
      </c>
      <c r="N138" t="s">
        <v>832</v>
      </c>
      <c r="O138" s="1">
        <v>42089</v>
      </c>
      <c r="P138" t="s">
        <v>1152</v>
      </c>
      <c r="Q138">
        <v>566</v>
      </c>
    </row>
    <row r="139" spans="1:17">
      <c r="A139" t="s">
        <v>93</v>
      </c>
      <c r="B139" t="s">
        <v>1154</v>
      </c>
      <c r="C139" t="s">
        <v>1155</v>
      </c>
      <c r="D139" t="s">
        <v>324</v>
      </c>
      <c r="E139">
        <v>18</v>
      </c>
      <c r="F139" t="s">
        <v>1156</v>
      </c>
      <c r="G139">
        <v>66</v>
      </c>
      <c r="H139" t="s">
        <v>823</v>
      </c>
      <c r="I139" t="s">
        <v>811</v>
      </c>
      <c r="J139" t="s">
        <v>804</v>
      </c>
      <c r="K139" t="s">
        <v>811</v>
      </c>
      <c r="L139" t="s">
        <v>803</v>
      </c>
      <c r="M139" t="s">
        <v>824</v>
      </c>
      <c r="N139" t="s">
        <v>825</v>
      </c>
      <c r="O139" s="1">
        <v>42089</v>
      </c>
      <c r="P139" t="s">
        <v>1157</v>
      </c>
      <c r="Q139">
        <v>18</v>
      </c>
    </row>
    <row r="140" spans="1:17">
      <c r="A140" t="s">
        <v>94</v>
      </c>
      <c r="B140" t="s">
        <v>1158</v>
      </c>
      <c r="C140" t="s">
        <v>1155</v>
      </c>
      <c r="D140" t="s">
        <v>773</v>
      </c>
      <c r="E140">
        <v>30</v>
      </c>
      <c r="F140" t="s">
        <v>1159</v>
      </c>
      <c r="G140">
        <v>66</v>
      </c>
      <c r="H140" t="s">
        <v>823</v>
      </c>
      <c r="I140" t="s">
        <v>811</v>
      </c>
      <c r="J140" t="s">
        <v>804</v>
      </c>
      <c r="K140" t="s">
        <v>811</v>
      </c>
      <c r="L140" t="s">
        <v>803</v>
      </c>
      <c r="M140" t="s">
        <v>824</v>
      </c>
      <c r="N140" t="s">
        <v>825</v>
      </c>
      <c r="O140" s="1">
        <v>42089</v>
      </c>
      <c r="P140" t="s">
        <v>1160</v>
      </c>
      <c r="Q140">
        <v>30</v>
      </c>
    </row>
    <row r="141" spans="1:17">
      <c r="A141" t="s">
        <v>95</v>
      </c>
      <c r="B141" t="s">
        <v>579</v>
      </c>
      <c r="C141" t="s">
        <v>1161</v>
      </c>
      <c r="D141" t="s">
        <v>579</v>
      </c>
      <c r="E141">
        <v>148</v>
      </c>
      <c r="F141" t="s">
        <v>1162</v>
      </c>
      <c r="G141">
        <v>500</v>
      </c>
      <c r="H141" t="s">
        <v>823</v>
      </c>
      <c r="I141" t="s">
        <v>803</v>
      </c>
      <c r="J141" t="s">
        <v>804</v>
      </c>
      <c r="K141" t="s">
        <v>811</v>
      </c>
      <c r="L141" t="s">
        <v>803</v>
      </c>
      <c r="M141" t="s">
        <v>824</v>
      </c>
      <c r="N141" t="s">
        <v>825</v>
      </c>
      <c r="O141" s="1">
        <v>42089</v>
      </c>
      <c r="P141" t="s">
        <v>1163</v>
      </c>
      <c r="Q141">
        <v>148</v>
      </c>
    </row>
    <row r="142" spans="1:17">
      <c r="A142" t="s">
        <v>96</v>
      </c>
      <c r="B142" t="s">
        <v>579</v>
      </c>
      <c r="C142" t="s">
        <v>1161</v>
      </c>
      <c r="D142" t="s">
        <v>579</v>
      </c>
      <c r="E142">
        <v>148</v>
      </c>
      <c r="F142" t="s">
        <v>1162</v>
      </c>
      <c r="G142">
        <v>500</v>
      </c>
      <c r="H142" t="s">
        <v>823</v>
      </c>
      <c r="I142" t="s">
        <v>803</v>
      </c>
      <c r="J142" t="s">
        <v>804</v>
      </c>
      <c r="K142" t="s">
        <v>811</v>
      </c>
      <c r="L142" t="s">
        <v>803</v>
      </c>
      <c r="M142" t="s">
        <v>824</v>
      </c>
      <c r="N142" t="s">
        <v>825</v>
      </c>
      <c r="O142" s="1">
        <v>42089</v>
      </c>
      <c r="P142" t="s">
        <v>1164</v>
      </c>
      <c r="Q142">
        <v>148</v>
      </c>
    </row>
    <row r="143" spans="1:17">
      <c r="A143" t="s">
        <v>97</v>
      </c>
      <c r="B143" t="s">
        <v>1165</v>
      </c>
      <c r="C143" t="s">
        <v>1166</v>
      </c>
      <c r="D143" t="s">
        <v>460</v>
      </c>
      <c r="E143">
        <v>500</v>
      </c>
      <c r="F143" t="s">
        <v>1167</v>
      </c>
      <c r="G143">
        <v>330</v>
      </c>
      <c r="H143" t="s">
        <v>810</v>
      </c>
      <c r="I143" t="s">
        <v>811</v>
      </c>
      <c r="J143" t="s">
        <v>812</v>
      </c>
      <c r="K143" t="s">
        <v>803</v>
      </c>
      <c r="L143" t="s">
        <v>803</v>
      </c>
      <c r="M143" t="s">
        <v>1168</v>
      </c>
      <c r="N143" t="s">
        <v>814</v>
      </c>
      <c r="O143" s="1">
        <v>42089</v>
      </c>
      <c r="P143" t="s">
        <v>1169</v>
      </c>
      <c r="Q143">
        <v>2000</v>
      </c>
    </row>
    <row r="144" spans="1:17">
      <c r="A144" t="s">
        <v>97</v>
      </c>
      <c r="B144" t="s">
        <v>1165</v>
      </c>
      <c r="C144" t="s">
        <v>1166</v>
      </c>
      <c r="D144" t="s">
        <v>462</v>
      </c>
      <c r="E144">
        <v>500</v>
      </c>
      <c r="F144" t="s">
        <v>1170</v>
      </c>
      <c r="G144">
        <v>330</v>
      </c>
      <c r="H144" t="s">
        <v>810</v>
      </c>
      <c r="I144" t="s">
        <v>811</v>
      </c>
      <c r="J144" t="s">
        <v>812</v>
      </c>
      <c r="K144" t="s">
        <v>803</v>
      </c>
      <c r="L144" t="s">
        <v>803</v>
      </c>
      <c r="M144" t="s">
        <v>1168</v>
      </c>
      <c r="N144" t="s">
        <v>814</v>
      </c>
      <c r="O144" s="1">
        <v>42089</v>
      </c>
      <c r="P144" t="s">
        <v>1169</v>
      </c>
      <c r="Q144">
        <v>2000</v>
      </c>
    </row>
    <row r="145" spans="1:17">
      <c r="A145" t="s">
        <v>97</v>
      </c>
      <c r="B145" t="s">
        <v>1165</v>
      </c>
      <c r="C145" t="s">
        <v>1166</v>
      </c>
      <c r="D145" t="s">
        <v>463</v>
      </c>
      <c r="E145">
        <v>500</v>
      </c>
      <c r="F145" t="s">
        <v>1171</v>
      </c>
      <c r="G145">
        <v>330</v>
      </c>
      <c r="H145" t="s">
        <v>810</v>
      </c>
      <c r="I145" t="s">
        <v>811</v>
      </c>
      <c r="J145" t="s">
        <v>812</v>
      </c>
      <c r="K145" t="s">
        <v>803</v>
      </c>
      <c r="L145" t="s">
        <v>803</v>
      </c>
      <c r="M145" t="s">
        <v>1168</v>
      </c>
      <c r="N145" t="s">
        <v>814</v>
      </c>
      <c r="O145" s="1">
        <v>42089</v>
      </c>
      <c r="P145" t="s">
        <v>1169</v>
      </c>
      <c r="Q145">
        <v>2000</v>
      </c>
    </row>
    <row r="146" spans="1:17">
      <c r="A146" t="s">
        <v>97</v>
      </c>
      <c r="B146" t="s">
        <v>1165</v>
      </c>
      <c r="C146" t="s">
        <v>1166</v>
      </c>
      <c r="D146" t="s">
        <v>464</v>
      </c>
      <c r="E146">
        <v>500</v>
      </c>
      <c r="F146" t="s">
        <v>1172</v>
      </c>
      <c r="G146">
        <v>330</v>
      </c>
      <c r="H146" t="s">
        <v>810</v>
      </c>
      <c r="I146" t="s">
        <v>811</v>
      </c>
      <c r="J146" t="s">
        <v>812</v>
      </c>
      <c r="K146" t="s">
        <v>803</v>
      </c>
      <c r="L146" t="s">
        <v>803</v>
      </c>
      <c r="M146" t="s">
        <v>1168</v>
      </c>
      <c r="N146" t="s">
        <v>814</v>
      </c>
      <c r="O146" s="1">
        <v>42089</v>
      </c>
      <c r="P146" t="s">
        <v>1169</v>
      </c>
      <c r="Q146">
        <v>2000</v>
      </c>
    </row>
    <row r="147" spans="1:17">
      <c r="A147" t="s">
        <v>98</v>
      </c>
      <c r="B147" t="s">
        <v>1173</v>
      </c>
      <c r="C147" t="s">
        <v>1166</v>
      </c>
      <c r="D147" t="s">
        <v>278</v>
      </c>
      <c r="E147">
        <v>660</v>
      </c>
      <c r="F147" t="s">
        <v>1174</v>
      </c>
      <c r="G147">
        <v>330</v>
      </c>
      <c r="H147" t="s">
        <v>810</v>
      </c>
      <c r="I147" t="s">
        <v>811</v>
      </c>
      <c r="J147" t="s">
        <v>812</v>
      </c>
      <c r="K147" t="s">
        <v>803</v>
      </c>
      <c r="L147" t="s">
        <v>803</v>
      </c>
      <c r="M147" t="s">
        <v>1168</v>
      </c>
      <c r="N147" t="s">
        <v>814</v>
      </c>
      <c r="O147" s="1">
        <v>42089</v>
      </c>
      <c r="P147" t="s">
        <v>1175</v>
      </c>
      <c r="Q147">
        <v>2640</v>
      </c>
    </row>
    <row r="148" spans="1:17">
      <c r="A148" t="s">
        <v>98</v>
      </c>
      <c r="B148" t="s">
        <v>1173</v>
      </c>
      <c r="C148" t="s">
        <v>1166</v>
      </c>
      <c r="D148" t="s">
        <v>281</v>
      </c>
      <c r="E148">
        <v>660</v>
      </c>
      <c r="F148" t="s">
        <v>1176</v>
      </c>
      <c r="G148">
        <v>330</v>
      </c>
      <c r="H148" t="s">
        <v>810</v>
      </c>
      <c r="I148" t="s">
        <v>811</v>
      </c>
      <c r="J148" t="s">
        <v>812</v>
      </c>
      <c r="K148" t="s">
        <v>803</v>
      </c>
      <c r="L148" t="s">
        <v>803</v>
      </c>
      <c r="M148" t="s">
        <v>1168</v>
      </c>
      <c r="N148" t="s">
        <v>814</v>
      </c>
      <c r="O148" s="1">
        <v>42089</v>
      </c>
      <c r="P148" t="s">
        <v>1175</v>
      </c>
      <c r="Q148">
        <v>2640</v>
      </c>
    </row>
    <row r="149" spans="1:17">
      <c r="A149" t="s">
        <v>98</v>
      </c>
      <c r="B149" t="s">
        <v>1173</v>
      </c>
      <c r="C149" t="s">
        <v>1166</v>
      </c>
      <c r="D149" t="s">
        <v>282</v>
      </c>
      <c r="E149">
        <v>660</v>
      </c>
      <c r="F149" t="s">
        <v>1177</v>
      </c>
      <c r="G149">
        <v>500</v>
      </c>
      <c r="H149" t="s">
        <v>810</v>
      </c>
      <c r="I149" t="s">
        <v>811</v>
      </c>
      <c r="J149" t="s">
        <v>812</v>
      </c>
      <c r="K149" t="s">
        <v>803</v>
      </c>
      <c r="L149" t="s">
        <v>803</v>
      </c>
      <c r="M149" t="s">
        <v>1168</v>
      </c>
      <c r="N149" t="s">
        <v>814</v>
      </c>
      <c r="O149" s="1">
        <v>42089</v>
      </c>
      <c r="P149" t="s">
        <v>1175</v>
      </c>
      <c r="Q149">
        <v>2640</v>
      </c>
    </row>
    <row r="150" spans="1:17">
      <c r="A150" t="s">
        <v>98</v>
      </c>
      <c r="B150" t="s">
        <v>1173</v>
      </c>
      <c r="C150" t="s">
        <v>1166</v>
      </c>
      <c r="D150" t="s">
        <v>283</v>
      </c>
      <c r="E150">
        <v>660</v>
      </c>
      <c r="F150" t="s">
        <v>1178</v>
      </c>
      <c r="G150">
        <v>500</v>
      </c>
      <c r="H150" t="s">
        <v>810</v>
      </c>
      <c r="I150" t="s">
        <v>811</v>
      </c>
      <c r="J150" t="s">
        <v>812</v>
      </c>
      <c r="K150" t="s">
        <v>803</v>
      </c>
      <c r="L150" t="s">
        <v>803</v>
      </c>
      <c r="M150" t="s">
        <v>1168</v>
      </c>
      <c r="N150" t="s">
        <v>814</v>
      </c>
      <c r="O150" s="1">
        <v>42089</v>
      </c>
      <c r="P150" t="s">
        <v>1175</v>
      </c>
      <c r="Q150">
        <v>2640</v>
      </c>
    </row>
    <row r="151" spans="1:17">
      <c r="A151" t="s">
        <v>99</v>
      </c>
      <c r="B151" t="s">
        <v>1179</v>
      </c>
      <c r="C151" t="s">
        <v>1166</v>
      </c>
      <c r="D151" t="s">
        <v>409</v>
      </c>
      <c r="E151">
        <v>50</v>
      </c>
      <c r="F151" t="s">
        <v>1180</v>
      </c>
      <c r="G151">
        <v>33</v>
      </c>
      <c r="H151" t="s">
        <v>810</v>
      </c>
      <c r="I151" t="s">
        <v>811</v>
      </c>
      <c r="J151" t="s">
        <v>812</v>
      </c>
      <c r="K151" t="s">
        <v>803</v>
      </c>
      <c r="L151" t="s">
        <v>803</v>
      </c>
      <c r="M151" t="s">
        <v>1181</v>
      </c>
      <c r="N151" t="s">
        <v>832</v>
      </c>
      <c r="O151" s="1">
        <v>42089</v>
      </c>
      <c r="P151" t="s">
        <v>1182</v>
      </c>
      <c r="Q151">
        <v>50</v>
      </c>
    </row>
    <row r="152" spans="1:17">
      <c r="A152" t="s">
        <v>100</v>
      </c>
      <c r="B152" t="s">
        <v>1183</v>
      </c>
      <c r="C152" t="s">
        <v>1184</v>
      </c>
      <c r="D152" t="s">
        <v>1183</v>
      </c>
      <c r="E152">
        <v>150</v>
      </c>
      <c r="F152" t="s">
        <v>1185</v>
      </c>
      <c r="G152">
        <v>132</v>
      </c>
      <c r="H152" t="s">
        <v>823</v>
      </c>
      <c r="I152" t="s">
        <v>811</v>
      </c>
      <c r="J152" t="s">
        <v>804</v>
      </c>
      <c r="K152" t="s">
        <v>803</v>
      </c>
      <c r="L152" t="s">
        <v>803</v>
      </c>
      <c r="M152" t="s">
        <v>1186</v>
      </c>
      <c r="N152" t="s">
        <v>814</v>
      </c>
      <c r="O152" s="1">
        <v>42089</v>
      </c>
      <c r="P152" t="s">
        <v>1187</v>
      </c>
      <c r="Q152">
        <v>150</v>
      </c>
    </row>
    <row r="153" spans="1:17">
      <c r="A153" t="s">
        <v>101</v>
      </c>
      <c r="B153" t="s">
        <v>1188</v>
      </c>
      <c r="C153" t="s">
        <v>889</v>
      </c>
      <c r="D153" t="s">
        <v>360</v>
      </c>
      <c r="E153">
        <v>720</v>
      </c>
      <c r="F153" t="s">
        <v>1189</v>
      </c>
      <c r="G153">
        <v>330</v>
      </c>
      <c r="H153" t="s">
        <v>810</v>
      </c>
      <c r="I153" t="s">
        <v>811</v>
      </c>
      <c r="J153" t="s">
        <v>812</v>
      </c>
      <c r="K153" t="s">
        <v>803</v>
      </c>
      <c r="L153" t="s">
        <v>803</v>
      </c>
      <c r="M153" t="s">
        <v>1168</v>
      </c>
      <c r="N153" t="s">
        <v>814</v>
      </c>
      <c r="O153" s="1">
        <v>42089</v>
      </c>
      <c r="P153" t="s">
        <v>1190</v>
      </c>
      <c r="Q153">
        <v>2880</v>
      </c>
    </row>
    <row r="154" spans="1:17">
      <c r="A154" t="s">
        <v>101</v>
      </c>
      <c r="B154" t="s">
        <v>1188</v>
      </c>
      <c r="C154" t="s">
        <v>889</v>
      </c>
      <c r="D154" t="s">
        <v>362</v>
      </c>
      <c r="E154">
        <v>720</v>
      </c>
      <c r="F154" t="s">
        <v>1191</v>
      </c>
      <c r="G154">
        <v>330</v>
      </c>
      <c r="H154" t="s">
        <v>810</v>
      </c>
      <c r="I154" t="s">
        <v>811</v>
      </c>
      <c r="J154" t="s">
        <v>812</v>
      </c>
      <c r="K154" t="s">
        <v>803</v>
      </c>
      <c r="L154" t="s">
        <v>803</v>
      </c>
      <c r="M154" t="s">
        <v>1168</v>
      </c>
      <c r="N154" t="s">
        <v>814</v>
      </c>
      <c r="O154" s="1">
        <v>42089</v>
      </c>
      <c r="P154" t="s">
        <v>1190</v>
      </c>
      <c r="Q154">
        <v>2880</v>
      </c>
    </row>
    <row r="155" spans="1:17">
      <c r="A155" t="s">
        <v>101</v>
      </c>
      <c r="B155" t="s">
        <v>1188</v>
      </c>
      <c r="C155" t="s">
        <v>889</v>
      </c>
      <c r="D155" t="s">
        <v>363</v>
      </c>
      <c r="E155">
        <v>720</v>
      </c>
      <c r="F155" t="s">
        <v>1192</v>
      </c>
      <c r="G155">
        <v>500</v>
      </c>
      <c r="H155" t="s">
        <v>810</v>
      </c>
      <c r="I155" t="s">
        <v>811</v>
      </c>
      <c r="J155" t="s">
        <v>812</v>
      </c>
      <c r="K155" t="s">
        <v>803</v>
      </c>
      <c r="L155" t="s">
        <v>803</v>
      </c>
      <c r="M155" t="s">
        <v>1168</v>
      </c>
      <c r="N155" t="s">
        <v>814</v>
      </c>
      <c r="O155" s="1">
        <v>42089</v>
      </c>
      <c r="P155" t="s">
        <v>1190</v>
      </c>
      <c r="Q155">
        <v>2880</v>
      </c>
    </row>
    <row r="156" spans="1:17">
      <c r="A156" t="s">
        <v>101</v>
      </c>
      <c r="B156" t="s">
        <v>1188</v>
      </c>
      <c r="C156" t="s">
        <v>889</v>
      </c>
      <c r="D156" t="s">
        <v>364</v>
      </c>
      <c r="E156">
        <v>720</v>
      </c>
      <c r="F156" t="s">
        <v>1193</v>
      </c>
      <c r="G156">
        <v>500</v>
      </c>
      <c r="H156" t="s">
        <v>810</v>
      </c>
      <c r="I156" t="s">
        <v>811</v>
      </c>
      <c r="J156" t="s">
        <v>812</v>
      </c>
      <c r="K156" t="s">
        <v>803</v>
      </c>
      <c r="L156" t="s">
        <v>803</v>
      </c>
      <c r="M156" t="s">
        <v>1168</v>
      </c>
      <c r="N156" t="s">
        <v>814</v>
      </c>
      <c r="O156" s="1">
        <v>42089</v>
      </c>
      <c r="P156" t="s">
        <v>1190</v>
      </c>
      <c r="Q156">
        <v>2880</v>
      </c>
    </row>
    <row r="157" spans="1:17">
      <c r="A157" t="s">
        <v>102</v>
      </c>
      <c r="B157" t="s">
        <v>1194</v>
      </c>
      <c r="C157" t="s">
        <v>1031</v>
      </c>
      <c r="D157" t="s">
        <v>306</v>
      </c>
      <c r="E157">
        <v>181</v>
      </c>
      <c r="F157" t="s">
        <v>1195</v>
      </c>
      <c r="G157">
        <v>330</v>
      </c>
      <c r="H157" t="s">
        <v>830</v>
      </c>
      <c r="I157" t="s">
        <v>811</v>
      </c>
      <c r="J157" t="s">
        <v>812</v>
      </c>
      <c r="K157" t="s">
        <v>803</v>
      </c>
      <c r="L157" t="s">
        <v>803</v>
      </c>
      <c r="M157" t="s">
        <v>874</v>
      </c>
      <c r="N157" t="s">
        <v>832</v>
      </c>
      <c r="O157" s="1">
        <v>42089</v>
      </c>
      <c r="P157" t="s">
        <v>1196</v>
      </c>
      <c r="Q157">
        <v>724</v>
      </c>
    </row>
    <row r="158" spans="1:17">
      <c r="A158" t="s">
        <v>102</v>
      </c>
      <c r="B158" t="s">
        <v>1194</v>
      </c>
      <c r="C158" t="s">
        <v>1031</v>
      </c>
      <c r="D158" t="s">
        <v>308</v>
      </c>
      <c r="E158">
        <v>181</v>
      </c>
      <c r="F158" t="s">
        <v>1197</v>
      </c>
      <c r="G158">
        <v>330</v>
      </c>
      <c r="H158" t="s">
        <v>830</v>
      </c>
      <c r="I158" t="s">
        <v>811</v>
      </c>
      <c r="J158" t="s">
        <v>812</v>
      </c>
      <c r="K158" t="s">
        <v>803</v>
      </c>
      <c r="L158" t="s">
        <v>803</v>
      </c>
      <c r="M158" t="s">
        <v>874</v>
      </c>
      <c r="N158" t="s">
        <v>832</v>
      </c>
      <c r="O158" s="1">
        <v>42089</v>
      </c>
      <c r="P158" t="s">
        <v>1196</v>
      </c>
      <c r="Q158">
        <v>724</v>
      </c>
    </row>
    <row r="159" spans="1:17">
      <c r="A159" t="s">
        <v>102</v>
      </c>
      <c r="B159" t="s">
        <v>1194</v>
      </c>
      <c r="C159" t="s">
        <v>1031</v>
      </c>
      <c r="D159" t="s">
        <v>309</v>
      </c>
      <c r="E159">
        <v>181</v>
      </c>
      <c r="F159" t="s">
        <v>1198</v>
      </c>
      <c r="G159">
        <v>330</v>
      </c>
      <c r="H159" t="s">
        <v>830</v>
      </c>
      <c r="I159" t="s">
        <v>811</v>
      </c>
      <c r="J159" t="s">
        <v>812</v>
      </c>
      <c r="K159" t="s">
        <v>803</v>
      </c>
      <c r="L159" t="s">
        <v>803</v>
      </c>
      <c r="M159" t="s">
        <v>874</v>
      </c>
      <c r="N159" t="s">
        <v>832</v>
      </c>
      <c r="O159" s="1">
        <v>42089</v>
      </c>
      <c r="P159" t="s">
        <v>1196</v>
      </c>
      <c r="Q159">
        <v>724</v>
      </c>
    </row>
    <row r="160" spans="1:17">
      <c r="A160" t="s">
        <v>102</v>
      </c>
      <c r="B160" t="s">
        <v>1194</v>
      </c>
      <c r="C160" t="s">
        <v>1031</v>
      </c>
      <c r="D160" t="s">
        <v>310</v>
      </c>
      <c r="E160">
        <v>181</v>
      </c>
      <c r="F160" t="s">
        <v>1199</v>
      </c>
      <c r="G160">
        <v>330</v>
      </c>
      <c r="H160" t="s">
        <v>830</v>
      </c>
      <c r="I160" t="s">
        <v>811</v>
      </c>
      <c r="J160" t="s">
        <v>812</v>
      </c>
      <c r="K160" t="s">
        <v>803</v>
      </c>
      <c r="L160" t="s">
        <v>803</v>
      </c>
      <c r="M160" t="s">
        <v>874</v>
      </c>
      <c r="N160" t="s">
        <v>832</v>
      </c>
      <c r="O160" s="1">
        <v>42089</v>
      </c>
      <c r="P160" t="s">
        <v>1196</v>
      </c>
      <c r="Q160">
        <v>724</v>
      </c>
    </row>
    <row r="161" spans="1:17">
      <c r="A161" t="s">
        <v>103</v>
      </c>
      <c r="B161" t="s">
        <v>1200</v>
      </c>
      <c r="C161" t="s">
        <v>1201</v>
      </c>
      <c r="D161" t="s">
        <v>710</v>
      </c>
      <c r="E161">
        <v>660</v>
      </c>
      <c r="F161" t="s">
        <v>1202</v>
      </c>
      <c r="G161">
        <v>330</v>
      </c>
      <c r="H161" t="s">
        <v>810</v>
      </c>
      <c r="I161" t="s">
        <v>811</v>
      </c>
      <c r="J161" t="s">
        <v>812</v>
      </c>
      <c r="K161" t="s">
        <v>803</v>
      </c>
      <c r="L161" t="s">
        <v>803</v>
      </c>
      <c r="M161" t="s">
        <v>1168</v>
      </c>
      <c r="N161" t="s">
        <v>814</v>
      </c>
      <c r="O161" s="1">
        <v>42089</v>
      </c>
      <c r="P161" t="s">
        <v>1203</v>
      </c>
      <c r="Q161">
        <v>1320</v>
      </c>
    </row>
    <row r="162" spans="1:17">
      <c r="A162" t="s">
        <v>103</v>
      </c>
      <c r="B162" t="s">
        <v>1200</v>
      </c>
      <c r="C162" t="s">
        <v>1201</v>
      </c>
      <c r="D162" t="s">
        <v>712</v>
      </c>
      <c r="E162">
        <v>660</v>
      </c>
      <c r="F162" t="s">
        <v>1204</v>
      </c>
      <c r="G162">
        <v>330</v>
      </c>
      <c r="H162" t="s">
        <v>810</v>
      </c>
      <c r="I162" t="s">
        <v>811</v>
      </c>
      <c r="J162" t="s">
        <v>812</v>
      </c>
      <c r="K162" t="s">
        <v>803</v>
      </c>
      <c r="L162" t="s">
        <v>803</v>
      </c>
      <c r="M162" t="s">
        <v>1168</v>
      </c>
      <c r="N162" t="s">
        <v>814</v>
      </c>
      <c r="O162" s="1">
        <v>42089</v>
      </c>
      <c r="P162" t="s">
        <v>1203</v>
      </c>
      <c r="Q162">
        <v>1320</v>
      </c>
    </row>
    <row r="163" spans="1:17">
      <c r="A163" t="s">
        <v>104</v>
      </c>
      <c r="B163" t="s">
        <v>1205</v>
      </c>
      <c r="C163" t="s">
        <v>843</v>
      </c>
      <c r="D163" t="s">
        <v>529</v>
      </c>
      <c r="E163">
        <v>700</v>
      </c>
      <c r="F163" t="s">
        <v>1206</v>
      </c>
      <c r="G163">
        <v>330</v>
      </c>
      <c r="H163" t="s">
        <v>810</v>
      </c>
      <c r="I163" t="s">
        <v>811</v>
      </c>
      <c r="J163" t="s">
        <v>812</v>
      </c>
      <c r="K163" t="s">
        <v>803</v>
      </c>
      <c r="L163" t="s">
        <v>803</v>
      </c>
      <c r="M163" t="s">
        <v>1168</v>
      </c>
      <c r="N163" t="s">
        <v>814</v>
      </c>
      <c r="O163" s="1">
        <v>42089</v>
      </c>
      <c r="P163" t="s">
        <v>1207</v>
      </c>
      <c r="Q163">
        <v>1400</v>
      </c>
    </row>
    <row r="164" spans="1:17">
      <c r="A164" t="s">
        <v>104</v>
      </c>
      <c r="B164" t="s">
        <v>1205</v>
      </c>
      <c r="C164" t="s">
        <v>843</v>
      </c>
      <c r="D164" t="s">
        <v>531</v>
      </c>
      <c r="E164">
        <v>700</v>
      </c>
      <c r="F164" t="s">
        <v>1208</v>
      </c>
      <c r="G164">
        <v>330</v>
      </c>
      <c r="H164" t="s">
        <v>810</v>
      </c>
      <c r="I164" t="s">
        <v>811</v>
      </c>
      <c r="J164" t="s">
        <v>812</v>
      </c>
      <c r="K164" t="s">
        <v>803</v>
      </c>
      <c r="L164" t="s">
        <v>803</v>
      </c>
      <c r="M164" t="s">
        <v>1168</v>
      </c>
      <c r="N164" t="s">
        <v>814</v>
      </c>
      <c r="O164" s="1">
        <v>42089</v>
      </c>
      <c r="P164" t="s">
        <v>1207</v>
      </c>
      <c r="Q164">
        <v>1400</v>
      </c>
    </row>
    <row r="165" spans="1:17">
      <c r="A165" t="s">
        <v>105</v>
      </c>
      <c r="B165" t="s">
        <v>1209</v>
      </c>
      <c r="C165" t="s">
        <v>1210</v>
      </c>
      <c r="D165" t="s">
        <v>625</v>
      </c>
      <c r="E165">
        <v>160</v>
      </c>
      <c r="F165" t="s">
        <v>1211</v>
      </c>
      <c r="G165">
        <v>33</v>
      </c>
      <c r="H165" t="s">
        <v>810</v>
      </c>
      <c r="I165" t="s">
        <v>803</v>
      </c>
      <c r="J165" t="s">
        <v>812</v>
      </c>
      <c r="K165" t="s">
        <v>803</v>
      </c>
      <c r="L165" t="s">
        <v>803</v>
      </c>
      <c r="M165" t="s">
        <v>874</v>
      </c>
      <c r="N165" t="s">
        <v>846</v>
      </c>
      <c r="O165" s="1">
        <v>42089</v>
      </c>
      <c r="P165" t="s">
        <v>1212</v>
      </c>
      <c r="Q165">
        <v>160</v>
      </c>
    </row>
    <row r="166" spans="1:17">
      <c r="A166" t="s">
        <v>106</v>
      </c>
      <c r="B166" t="s">
        <v>1213</v>
      </c>
      <c r="C166" t="s">
        <v>843</v>
      </c>
      <c r="D166" t="s">
        <v>654</v>
      </c>
      <c r="E166">
        <v>460</v>
      </c>
      <c r="F166" t="s">
        <v>1214</v>
      </c>
      <c r="G166">
        <v>132</v>
      </c>
      <c r="H166" t="s">
        <v>810</v>
      </c>
      <c r="I166" t="s">
        <v>811</v>
      </c>
      <c r="J166" t="s">
        <v>812</v>
      </c>
      <c r="K166" t="s">
        <v>803</v>
      </c>
      <c r="L166" t="s">
        <v>803</v>
      </c>
      <c r="M166" t="s">
        <v>874</v>
      </c>
      <c r="N166" t="s">
        <v>846</v>
      </c>
      <c r="O166" s="1">
        <v>42089</v>
      </c>
      <c r="P166" t="s">
        <v>1215</v>
      </c>
      <c r="Q166">
        <v>460</v>
      </c>
    </row>
    <row r="167" spans="1:17">
      <c r="A167" t="s">
        <v>107</v>
      </c>
      <c r="B167" t="s">
        <v>1216</v>
      </c>
      <c r="C167" t="s">
        <v>889</v>
      </c>
      <c r="D167" t="s">
        <v>620</v>
      </c>
      <c r="E167">
        <v>240</v>
      </c>
      <c r="F167" t="s">
        <v>1217</v>
      </c>
      <c r="G167">
        <v>330</v>
      </c>
      <c r="H167" t="s">
        <v>830</v>
      </c>
      <c r="I167" t="s">
        <v>811</v>
      </c>
      <c r="J167" t="s">
        <v>812</v>
      </c>
      <c r="K167" t="s">
        <v>803</v>
      </c>
      <c r="L167" t="s">
        <v>803</v>
      </c>
      <c r="M167" t="s">
        <v>958</v>
      </c>
      <c r="N167" t="s">
        <v>959</v>
      </c>
      <c r="O167" s="1">
        <v>42089</v>
      </c>
      <c r="P167" t="s">
        <v>1218</v>
      </c>
      <c r="Q167">
        <v>480</v>
      </c>
    </row>
    <row r="168" spans="1:17">
      <c r="A168" t="s">
        <v>107</v>
      </c>
      <c r="B168" t="s">
        <v>1216</v>
      </c>
      <c r="C168" t="s">
        <v>889</v>
      </c>
      <c r="D168" t="s">
        <v>623</v>
      </c>
      <c r="E168">
        <v>240</v>
      </c>
      <c r="F168" t="s">
        <v>1219</v>
      </c>
      <c r="G168">
        <v>330</v>
      </c>
      <c r="H168" t="s">
        <v>1220</v>
      </c>
      <c r="I168" t="s">
        <v>803</v>
      </c>
      <c r="J168" t="s">
        <v>812</v>
      </c>
      <c r="K168" t="s">
        <v>803</v>
      </c>
      <c r="L168" t="s">
        <v>803</v>
      </c>
      <c r="M168" t="s">
        <v>805</v>
      </c>
      <c r="N168" t="s">
        <v>805</v>
      </c>
      <c r="O168" s="1">
        <v>42089</v>
      </c>
      <c r="P168" t="s">
        <v>1218</v>
      </c>
      <c r="Q168">
        <v>480</v>
      </c>
    </row>
    <row r="169" spans="1:17">
      <c r="A169" t="s">
        <v>108</v>
      </c>
      <c r="B169" t="s">
        <v>1216</v>
      </c>
      <c r="C169" t="s">
        <v>889</v>
      </c>
      <c r="D169" t="s">
        <v>620</v>
      </c>
      <c r="E169">
        <v>240</v>
      </c>
      <c r="F169" t="s">
        <v>1217</v>
      </c>
      <c r="G169">
        <v>330</v>
      </c>
      <c r="H169" t="s">
        <v>830</v>
      </c>
      <c r="I169" t="s">
        <v>811</v>
      </c>
      <c r="J169" t="s">
        <v>812</v>
      </c>
      <c r="K169" t="s">
        <v>803</v>
      </c>
      <c r="L169" t="s">
        <v>803</v>
      </c>
      <c r="M169" t="s">
        <v>958</v>
      </c>
      <c r="N169" t="s">
        <v>959</v>
      </c>
      <c r="O169" s="1">
        <v>42089</v>
      </c>
      <c r="P169" t="s">
        <v>1221</v>
      </c>
      <c r="Q169">
        <v>480</v>
      </c>
    </row>
    <row r="170" spans="1:17">
      <c r="A170" t="s">
        <v>108</v>
      </c>
      <c r="B170" t="s">
        <v>1216</v>
      </c>
      <c r="C170" t="s">
        <v>889</v>
      </c>
      <c r="D170" t="s">
        <v>623</v>
      </c>
      <c r="E170">
        <v>240</v>
      </c>
      <c r="F170" t="s">
        <v>1219</v>
      </c>
      <c r="G170">
        <v>330</v>
      </c>
      <c r="H170" t="s">
        <v>1220</v>
      </c>
      <c r="I170" t="s">
        <v>803</v>
      </c>
      <c r="J170" t="s">
        <v>812</v>
      </c>
      <c r="K170" t="s">
        <v>803</v>
      </c>
      <c r="L170" t="s">
        <v>803</v>
      </c>
      <c r="M170" t="s">
        <v>805</v>
      </c>
      <c r="N170" t="s">
        <v>805</v>
      </c>
      <c r="O170" s="1">
        <v>42089</v>
      </c>
      <c r="P170" t="s">
        <v>1221</v>
      </c>
      <c r="Q170">
        <v>480</v>
      </c>
    </row>
    <row r="171" spans="1:17">
      <c r="A171" t="s">
        <v>109</v>
      </c>
      <c r="B171" t="s">
        <v>1222</v>
      </c>
      <c r="C171" t="s">
        <v>1223</v>
      </c>
      <c r="D171" t="s">
        <v>656</v>
      </c>
      <c r="E171">
        <v>106</v>
      </c>
      <c r="F171" t="s">
        <v>1224</v>
      </c>
      <c r="G171">
        <v>132</v>
      </c>
      <c r="H171" t="s">
        <v>810</v>
      </c>
      <c r="I171" t="s">
        <v>811</v>
      </c>
      <c r="J171" t="s">
        <v>841</v>
      </c>
      <c r="K171" t="s">
        <v>811</v>
      </c>
      <c r="L171" t="s">
        <v>811</v>
      </c>
      <c r="M171" t="s">
        <v>824</v>
      </c>
      <c r="N171" t="s">
        <v>825</v>
      </c>
      <c r="O171" s="1">
        <v>42089</v>
      </c>
      <c r="P171" t="s">
        <v>1225</v>
      </c>
      <c r="Q171">
        <v>106</v>
      </c>
    </row>
    <row r="172" spans="1:17">
      <c r="A172" t="s">
        <v>110</v>
      </c>
      <c r="B172" t="s">
        <v>1226</v>
      </c>
      <c r="C172" t="s">
        <v>1227</v>
      </c>
      <c r="D172" t="s">
        <v>390</v>
      </c>
      <c r="E172">
        <v>166</v>
      </c>
      <c r="F172" t="s">
        <v>1228</v>
      </c>
      <c r="G172">
        <v>330</v>
      </c>
      <c r="H172" t="s">
        <v>810</v>
      </c>
      <c r="I172" t="s">
        <v>811</v>
      </c>
      <c r="J172" t="s">
        <v>841</v>
      </c>
      <c r="K172" t="s">
        <v>811</v>
      </c>
      <c r="L172" t="s">
        <v>811</v>
      </c>
      <c r="M172" t="s">
        <v>824</v>
      </c>
      <c r="N172" t="s">
        <v>825</v>
      </c>
      <c r="O172" s="1">
        <v>42089</v>
      </c>
      <c r="P172" t="s">
        <v>1229</v>
      </c>
      <c r="Q172">
        <v>166</v>
      </c>
    </row>
    <row r="173" spans="1:17">
      <c r="A173" t="s">
        <v>111</v>
      </c>
      <c r="B173" t="s">
        <v>1230</v>
      </c>
      <c r="C173" t="s">
        <v>1231</v>
      </c>
      <c r="D173" t="s">
        <v>392</v>
      </c>
      <c r="E173">
        <v>47</v>
      </c>
      <c r="F173" t="s">
        <v>1232</v>
      </c>
      <c r="G173">
        <v>132</v>
      </c>
      <c r="H173" t="s">
        <v>810</v>
      </c>
      <c r="I173" t="s">
        <v>811</v>
      </c>
      <c r="J173" t="s">
        <v>841</v>
      </c>
      <c r="K173" t="s">
        <v>811</v>
      </c>
      <c r="L173" t="s">
        <v>811</v>
      </c>
      <c r="M173" t="s">
        <v>824</v>
      </c>
      <c r="N173" t="s">
        <v>825</v>
      </c>
      <c r="O173" s="1">
        <v>42089</v>
      </c>
      <c r="P173" t="s">
        <v>1233</v>
      </c>
      <c r="Q173">
        <v>47</v>
      </c>
    </row>
    <row r="174" spans="1:17">
      <c r="A174" t="s">
        <v>112</v>
      </c>
      <c r="B174" t="s">
        <v>1234</v>
      </c>
      <c r="C174" t="s">
        <v>889</v>
      </c>
      <c r="D174" t="s">
        <v>338</v>
      </c>
      <c r="E174">
        <v>30</v>
      </c>
      <c r="F174" t="s">
        <v>1235</v>
      </c>
      <c r="G174">
        <v>132</v>
      </c>
      <c r="H174" t="s">
        <v>823</v>
      </c>
      <c r="I174" t="s">
        <v>811</v>
      </c>
      <c r="J174" t="s">
        <v>804</v>
      </c>
      <c r="K174" t="s">
        <v>811</v>
      </c>
      <c r="L174" t="s">
        <v>803</v>
      </c>
      <c r="M174" t="s">
        <v>824</v>
      </c>
      <c r="N174" t="s">
        <v>825</v>
      </c>
      <c r="O174" s="1">
        <v>42089</v>
      </c>
      <c r="P174" t="s">
        <v>1236</v>
      </c>
      <c r="Q174">
        <v>30</v>
      </c>
    </row>
    <row r="175" spans="1:17">
      <c r="A175" t="s">
        <v>113</v>
      </c>
      <c r="B175" t="s">
        <v>1237</v>
      </c>
      <c r="C175" t="s">
        <v>1238</v>
      </c>
      <c r="D175" t="s">
        <v>756</v>
      </c>
      <c r="E175">
        <v>48</v>
      </c>
      <c r="F175" t="s">
        <v>1239</v>
      </c>
      <c r="G175">
        <v>330</v>
      </c>
      <c r="H175" t="s">
        <v>810</v>
      </c>
      <c r="I175" t="s">
        <v>811</v>
      </c>
      <c r="J175" t="s">
        <v>841</v>
      </c>
      <c r="K175" t="s">
        <v>811</v>
      </c>
      <c r="L175" t="s">
        <v>811</v>
      </c>
      <c r="M175" t="s">
        <v>824</v>
      </c>
      <c r="N175" t="s">
        <v>825</v>
      </c>
      <c r="O175" s="1">
        <v>42089</v>
      </c>
      <c r="P175" t="s">
        <v>1240</v>
      </c>
      <c r="Q175">
        <v>48</v>
      </c>
    </row>
    <row r="176" spans="1:17">
      <c r="A176" t="s">
        <v>114</v>
      </c>
      <c r="B176" t="s">
        <v>293</v>
      </c>
      <c r="C176" t="s">
        <v>1241</v>
      </c>
      <c r="D176" t="s">
        <v>293</v>
      </c>
      <c r="E176">
        <v>140</v>
      </c>
      <c r="F176" t="s">
        <v>1242</v>
      </c>
      <c r="G176">
        <v>330</v>
      </c>
      <c r="H176" t="s">
        <v>823</v>
      </c>
      <c r="I176" t="s">
        <v>811</v>
      </c>
      <c r="J176" t="s">
        <v>804</v>
      </c>
      <c r="K176" t="s">
        <v>811</v>
      </c>
      <c r="L176" t="s">
        <v>803</v>
      </c>
      <c r="M176" t="s">
        <v>824</v>
      </c>
      <c r="N176" t="s">
        <v>825</v>
      </c>
      <c r="O176" s="1">
        <v>42089</v>
      </c>
      <c r="P176" t="s">
        <v>1243</v>
      </c>
      <c r="Q176">
        <v>140</v>
      </c>
    </row>
    <row r="177" spans="1:17">
      <c r="A177" t="s">
        <v>115</v>
      </c>
      <c r="B177" t="s">
        <v>1244</v>
      </c>
      <c r="C177" t="s">
        <v>1245</v>
      </c>
      <c r="D177" t="s">
        <v>612</v>
      </c>
      <c r="E177">
        <v>20</v>
      </c>
      <c r="F177" t="s">
        <v>1246</v>
      </c>
      <c r="G177">
        <v>11</v>
      </c>
      <c r="H177" t="s">
        <v>823</v>
      </c>
      <c r="I177" t="s">
        <v>811</v>
      </c>
      <c r="J177" t="s">
        <v>804</v>
      </c>
      <c r="K177" t="s">
        <v>811</v>
      </c>
      <c r="L177" t="s">
        <v>803</v>
      </c>
      <c r="M177" t="s">
        <v>1247</v>
      </c>
      <c r="N177" t="s">
        <v>1248</v>
      </c>
      <c r="O177" s="1">
        <v>42089</v>
      </c>
      <c r="P177" t="s">
        <v>1249</v>
      </c>
      <c r="Q177">
        <v>20</v>
      </c>
    </row>
    <row r="178" spans="1:17">
      <c r="A178" t="s">
        <v>116</v>
      </c>
      <c r="B178" t="s">
        <v>274</v>
      </c>
      <c r="C178" t="s">
        <v>1250</v>
      </c>
      <c r="D178" t="s">
        <v>274</v>
      </c>
      <c r="E178">
        <v>27</v>
      </c>
      <c r="F178" t="s">
        <v>1251</v>
      </c>
      <c r="G178">
        <v>132</v>
      </c>
      <c r="H178" t="s">
        <v>823</v>
      </c>
      <c r="I178" t="s">
        <v>811</v>
      </c>
      <c r="J178" t="s">
        <v>804</v>
      </c>
      <c r="K178" t="s">
        <v>803</v>
      </c>
      <c r="L178" t="s">
        <v>803</v>
      </c>
      <c r="M178" t="s">
        <v>958</v>
      </c>
      <c r="N178" t="s">
        <v>959</v>
      </c>
      <c r="O178" s="1">
        <v>42089</v>
      </c>
      <c r="P178" t="s">
        <v>1252</v>
      </c>
      <c r="Q178">
        <v>27</v>
      </c>
    </row>
    <row r="179" spans="1:17">
      <c r="A179" t="s">
        <v>117</v>
      </c>
      <c r="B179" t="s">
        <v>1253</v>
      </c>
      <c r="C179" t="s">
        <v>1254</v>
      </c>
      <c r="D179" t="s">
        <v>705</v>
      </c>
      <c r="E179">
        <v>166</v>
      </c>
      <c r="F179" t="s">
        <v>1255</v>
      </c>
      <c r="G179">
        <v>132</v>
      </c>
      <c r="H179" t="s">
        <v>830</v>
      </c>
      <c r="I179" t="s">
        <v>811</v>
      </c>
      <c r="J179" t="s">
        <v>812</v>
      </c>
      <c r="K179" t="s">
        <v>803</v>
      </c>
      <c r="L179" t="s">
        <v>803</v>
      </c>
      <c r="M179" t="s">
        <v>874</v>
      </c>
      <c r="N179" t="s">
        <v>832</v>
      </c>
      <c r="O179" s="1">
        <v>42089</v>
      </c>
      <c r="P179" t="s">
        <v>1256</v>
      </c>
      <c r="Q179">
        <v>664</v>
      </c>
    </row>
    <row r="180" spans="1:17">
      <c r="A180" t="s">
        <v>117</v>
      </c>
      <c r="B180" t="s">
        <v>1253</v>
      </c>
      <c r="C180" t="s">
        <v>1254</v>
      </c>
      <c r="D180" t="s">
        <v>707</v>
      </c>
      <c r="E180">
        <v>166</v>
      </c>
      <c r="F180" t="s">
        <v>1257</v>
      </c>
      <c r="G180">
        <v>132</v>
      </c>
      <c r="H180" t="s">
        <v>830</v>
      </c>
      <c r="I180" t="s">
        <v>811</v>
      </c>
      <c r="J180" t="s">
        <v>812</v>
      </c>
      <c r="K180" t="s">
        <v>803</v>
      </c>
      <c r="L180" t="s">
        <v>803</v>
      </c>
      <c r="M180" t="s">
        <v>874</v>
      </c>
      <c r="N180" t="s">
        <v>832</v>
      </c>
      <c r="O180" s="1">
        <v>42089</v>
      </c>
      <c r="P180" t="s">
        <v>1256</v>
      </c>
      <c r="Q180">
        <v>664</v>
      </c>
    </row>
    <row r="181" spans="1:17">
      <c r="A181" t="s">
        <v>117</v>
      </c>
      <c r="B181" t="s">
        <v>1253</v>
      </c>
      <c r="C181" t="s">
        <v>1254</v>
      </c>
      <c r="D181" t="s">
        <v>708</v>
      </c>
      <c r="E181">
        <v>166</v>
      </c>
      <c r="F181" t="s">
        <v>1258</v>
      </c>
      <c r="G181">
        <v>132</v>
      </c>
      <c r="H181" t="s">
        <v>830</v>
      </c>
      <c r="I181" t="s">
        <v>811</v>
      </c>
      <c r="J181" t="s">
        <v>812</v>
      </c>
      <c r="K181" t="s">
        <v>803</v>
      </c>
      <c r="L181" t="s">
        <v>803</v>
      </c>
      <c r="M181" t="s">
        <v>874</v>
      </c>
      <c r="N181" t="s">
        <v>832</v>
      </c>
      <c r="O181" s="1">
        <v>42089</v>
      </c>
      <c r="P181" t="s">
        <v>1256</v>
      </c>
      <c r="Q181">
        <v>664</v>
      </c>
    </row>
    <row r="182" spans="1:17">
      <c r="A182" t="s">
        <v>117</v>
      </c>
      <c r="B182" t="s">
        <v>1253</v>
      </c>
      <c r="C182" t="s">
        <v>1254</v>
      </c>
      <c r="D182" t="s">
        <v>709</v>
      </c>
      <c r="E182">
        <v>166</v>
      </c>
      <c r="F182" t="s">
        <v>1259</v>
      </c>
      <c r="G182">
        <v>132</v>
      </c>
      <c r="H182" t="s">
        <v>830</v>
      </c>
      <c r="I182" t="s">
        <v>811</v>
      </c>
      <c r="J182" t="s">
        <v>812</v>
      </c>
      <c r="K182" t="s">
        <v>803</v>
      </c>
      <c r="L182" t="s">
        <v>803</v>
      </c>
      <c r="M182" t="s">
        <v>874</v>
      </c>
      <c r="N182" t="s">
        <v>832</v>
      </c>
      <c r="O182" s="1">
        <v>42089</v>
      </c>
      <c r="P182" t="s">
        <v>1256</v>
      </c>
      <c r="Q182">
        <v>664</v>
      </c>
    </row>
    <row r="183" spans="1:17">
      <c r="A183" t="s">
        <v>118</v>
      </c>
      <c r="B183" t="s">
        <v>1260</v>
      </c>
      <c r="C183" t="s">
        <v>1031</v>
      </c>
      <c r="D183" t="s">
        <v>241</v>
      </c>
      <c r="E183">
        <v>80</v>
      </c>
      <c r="F183" t="s">
        <v>1261</v>
      </c>
      <c r="G183">
        <v>132</v>
      </c>
      <c r="H183" t="s">
        <v>810</v>
      </c>
      <c r="I183" t="s">
        <v>811</v>
      </c>
      <c r="J183" t="s">
        <v>812</v>
      </c>
      <c r="K183" t="s">
        <v>803</v>
      </c>
      <c r="L183" t="s">
        <v>803</v>
      </c>
      <c r="M183" t="s">
        <v>958</v>
      </c>
      <c r="N183" t="s">
        <v>959</v>
      </c>
      <c r="O183" t="s">
        <v>1262</v>
      </c>
      <c r="P183" t="s">
        <v>1263</v>
      </c>
      <c r="Q183">
        <v>80</v>
      </c>
    </row>
    <row r="184" spans="1:17">
      <c r="A184" t="s">
        <v>119</v>
      </c>
      <c r="B184" t="s">
        <v>1264</v>
      </c>
      <c r="C184" t="s">
        <v>1031</v>
      </c>
      <c r="D184" t="s">
        <v>696</v>
      </c>
      <c r="E184">
        <v>1500</v>
      </c>
      <c r="F184" t="s">
        <v>1265</v>
      </c>
      <c r="G184">
        <v>330</v>
      </c>
      <c r="H184" t="s">
        <v>810</v>
      </c>
      <c r="I184" t="s">
        <v>811</v>
      </c>
      <c r="J184" t="s">
        <v>812</v>
      </c>
      <c r="K184" t="s">
        <v>803</v>
      </c>
      <c r="L184" t="s">
        <v>803</v>
      </c>
      <c r="M184" t="s">
        <v>958</v>
      </c>
      <c r="N184" t="s">
        <v>959</v>
      </c>
      <c r="O184" s="1">
        <v>42089</v>
      </c>
      <c r="P184" t="s">
        <v>1266</v>
      </c>
      <c r="Q184">
        <v>1500</v>
      </c>
    </row>
    <row r="185" spans="1:17">
      <c r="A185" t="s">
        <v>120</v>
      </c>
      <c r="B185" t="s">
        <v>1267</v>
      </c>
      <c r="C185" t="s">
        <v>1031</v>
      </c>
      <c r="D185" t="s">
        <v>1268</v>
      </c>
      <c r="E185">
        <v>71</v>
      </c>
      <c r="F185" t="s">
        <v>1269</v>
      </c>
      <c r="G185">
        <v>330</v>
      </c>
      <c r="H185" t="s">
        <v>823</v>
      </c>
      <c r="I185" t="s">
        <v>803</v>
      </c>
      <c r="K185" t="s">
        <v>803</v>
      </c>
      <c r="L185" t="s">
        <v>803</v>
      </c>
      <c r="M185" t="s">
        <v>958</v>
      </c>
      <c r="N185" t="s">
        <v>959</v>
      </c>
      <c r="P185" t="s">
        <v>1270</v>
      </c>
      <c r="Q185">
        <v>284</v>
      </c>
    </row>
    <row r="186" spans="1:17">
      <c r="A186" t="s">
        <v>120</v>
      </c>
      <c r="B186" t="s">
        <v>1267</v>
      </c>
      <c r="C186" t="s">
        <v>1031</v>
      </c>
      <c r="D186" t="s">
        <v>1271</v>
      </c>
      <c r="E186">
        <v>71</v>
      </c>
      <c r="F186" t="s">
        <v>1272</v>
      </c>
      <c r="G186">
        <v>330</v>
      </c>
      <c r="H186" t="s">
        <v>823</v>
      </c>
      <c r="I186" t="s">
        <v>803</v>
      </c>
      <c r="K186" t="s">
        <v>803</v>
      </c>
      <c r="L186" t="s">
        <v>803</v>
      </c>
      <c r="M186" t="s">
        <v>958</v>
      </c>
      <c r="N186" t="s">
        <v>959</v>
      </c>
      <c r="P186" t="s">
        <v>1270</v>
      </c>
      <c r="Q186">
        <v>284</v>
      </c>
    </row>
    <row r="187" spans="1:17">
      <c r="A187" t="s">
        <v>120</v>
      </c>
      <c r="B187" t="s">
        <v>1267</v>
      </c>
      <c r="C187" t="s">
        <v>1031</v>
      </c>
      <c r="D187" t="s">
        <v>1273</v>
      </c>
      <c r="E187">
        <v>71</v>
      </c>
      <c r="F187" t="s">
        <v>1274</v>
      </c>
      <c r="G187">
        <v>330</v>
      </c>
      <c r="H187" t="s">
        <v>823</v>
      </c>
      <c r="I187" t="s">
        <v>803</v>
      </c>
      <c r="K187" t="s">
        <v>803</v>
      </c>
      <c r="L187" t="s">
        <v>803</v>
      </c>
      <c r="M187" t="s">
        <v>958</v>
      </c>
      <c r="N187" t="s">
        <v>959</v>
      </c>
      <c r="P187" t="s">
        <v>1270</v>
      </c>
      <c r="Q187">
        <v>284</v>
      </c>
    </row>
    <row r="188" spans="1:17">
      <c r="A188" t="s">
        <v>120</v>
      </c>
      <c r="B188" t="s">
        <v>1267</v>
      </c>
      <c r="C188" t="s">
        <v>1031</v>
      </c>
      <c r="D188" t="s">
        <v>1275</v>
      </c>
      <c r="E188">
        <v>71</v>
      </c>
      <c r="F188" t="s">
        <v>1276</v>
      </c>
      <c r="G188">
        <v>330</v>
      </c>
      <c r="H188" t="s">
        <v>823</v>
      </c>
      <c r="I188" t="s">
        <v>803</v>
      </c>
      <c r="K188" t="s">
        <v>803</v>
      </c>
      <c r="L188" t="s">
        <v>803</v>
      </c>
      <c r="M188" t="s">
        <v>958</v>
      </c>
      <c r="N188" t="s">
        <v>959</v>
      </c>
      <c r="P188" t="s">
        <v>1270</v>
      </c>
      <c r="Q188">
        <v>284</v>
      </c>
    </row>
    <row r="189" spans="1:17">
      <c r="A189" t="s">
        <v>121</v>
      </c>
      <c r="B189" t="s">
        <v>1277</v>
      </c>
      <c r="C189" t="s">
        <v>1031</v>
      </c>
      <c r="D189" t="s">
        <v>703</v>
      </c>
      <c r="E189">
        <v>616</v>
      </c>
      <c r="F189" t="s">
        <v>1278</v>
      </c>
      <c r="G189">
        <v>330</v>
      </c>
      <c r="H189" t="s">
        <v>810</v>
      </c>
      <c r="I189" t="s">
        <v>811</v>
      </c>
      <c r="J189" t="s">
        <v>812</v>
      </c>
      <c r="K189" t="s">
        <v>803</v>
      </c>
      <c r="L189" t="s">
        <v>803</v>
      </c>
      <c r="M189" t="s">
        <v>958</v>
      </c>
      <c r="N189" t="s">
        <v>959</v>
      </c>
      <c r="O189" s="1">
        <v>42089</v>
      </c>
      <c r="P189" t="s">
        <v>1279</v>
      </c>
      <c r="Q189">
        <v>616</v>
      </c>
    </row>
    <row r="190" spans="1:17">
      <c r="A190" t="s">
        <v>122</v>
      </c>
      <c r="B190" t="s">
        <v>1280</v>
      </c>
      <c r="C190" t="s">
        <v>1031</v>
      </c>
      <c r="D190" t="s">
        <v>393</v>
      </c>
      <c r="E190">
        <v>60</v>
      </c>
      <c r="F190" t="s">
        <v>1281</v>
      </c>
      <c r="G190">
        <v>132</v>
      </c>
      <c r="H190" t="s">
        <v>830</v>
      </c>
      <c r="I190" t="s">
        <v>811</v>
      </c>
      <c r="J190" t="s">
        <v>812</v>
      </c>
      <c r="K190" t="s">
        <v>803</v>
      </c>
      <c r="L190" t="s">
        <v>803</v>
      </c>
      <c r="M190" t="s">
        <v>958</v>
      </c>
      <c r="N190" t="s">
        <v>959</v>
      </c>
      <c r="O190" s="1">
        <v>42089</v>
      </c>
      <c r="P190" t="s">
        <v>1282</v>
      </c>
      <c r="Q190">
        <v>60</v>
      </c>
    </row>
    <row r="191" spans="1:17">
      <c r="A191" t="s">
        <v>123</v>
      </c>
      <c r="B191" t="s">
        <v>1283</v>
      </c>
      <c r="C191" t="s">
        <v>1284</v>
      </c>
      <c r="D191" t="s">
        <v>247</v>
      </c>
      <c r="E191">
        <v>113</v>
      </c>
      <c r="F191" t="s">
        <v>1285</v>
      </c>
      <c r="G191">
        <v>132</v>
      </c>
      <c r="H191" t="s">
        <v>810</v>
      </c>
      <c r="I191" t="s">
        <v>811</v>
      </c>
      <c r="J191" t="s">
        <v>841</v>
      </c>
      <c r="K191" t="s">
        <v>811</v>
      </c>
      <c r="L191" t="s">
        <v>811</v>
      </c>
      <c r="M191" t="s">
        <v>824</v>
      </c>
      <c r="N191" t="s">
        <v>825</v>
      </c>
      <c r="O191" s="1">
        <v>42089</v>
      </c>
      <c r="P191" t="s">
        <v>1286</v>
      </c>
      <c r="Q191">
        <v>113</v>
      </c>
    </row>
    <row r="192" spans="1:17">
      <c r="A192" t="s">
        <v>124</v>
      </c>
      <c r="B192" t="s">
        <v>407</v>
      </c>
      <c r="C192" t="s">
        <v>1250</v>
      </c>
      <c r="D192" t="s">
        <v>407</v>
      </c>
      <c r="E192">
        <v>29</v>
      </c>
      <c r="F192" t="s">
        <v>1287</v>
      </c>
      <c r="G192">
        <v>132</v>
      </c>
      <c r="H192" t="s">
        <v>830</v>
      </c>
      <c r="I192" t="s">
        <v>811</v>
      </c>
      <c r="J192" t="s">
        <v>812</v>
      </c>
      <c r="K192" t="s">
        <v>803</v>
      </c>
      <c r="L192" t="s">
        <v>803</v>
      </c>
      <c r="M192" t="s">
        <v>958</v>
      </c>
      <c r="N192" t="s">
        <v>959</v>
      </c>
      <c r="O192" s="1">
        <v>42089</v>
      </c>
      <c r="P192" t="s">
        <v>1288</v>
      </c>
      <c r="Q192">
        <v>29</v>
      </c>
    </row>
    <row r="193" spans="1:17">
      <c r="A193" t="s">
        <v>125</v>
      </c>
      <c r="B193" t="s">
        <v>1289</v>
      </c>
      <c r="C193" t="s">
        <v>839</v>
      </c>
      <c r="D193" t="s">
        <v>554</v>
      </c>
      <c r="E193">
        <v>102</v>
      </c>
      <c r="F193" t="s">
        <v>1290</v>
      </c>
      <c r="G193">
        <v>132</v>
      </c>
      <c r="H193" t="s">
        <v>810</v>
      </c>
      <c r="I193" t="s">
        <v>811</v>
      </c>
      <c r="J193" t="s">
        <v>841</v>
      </c>
      <c r="K193" t="s">
        <v>811</v>
      </c>
      <c r="L193" t="s">
        <v>811</v>
      </c>
      <c r="M193" t="s">
        <v>1247</v>
      </c>
      <c r="N193" t="s">
        <v>1248</v>
      </c>
      <c r="O193" s="1">
        <v>42089</v>
      </c>
      <c r="P193" t="s">
        <v>1291</v>
      </c>
      <c r="Q193">
        <v>102</v>
      </c>
    </row>
    <row r="194" spans="1:17">
      <c r="A194" t="s">
        <v>126</v>
      </c>
      <c r="B194" t="s">
        <v>1292</v>
      </c>
      <c r="C194" t="s">
        <v>1293</v>
      </c>
      <c r="D194" t="s">
        <v>368</v>
      </c>
      <c r="E194">
        <v>50</v>
      </c>
      <c r="F194" t="s">
        <v>1294</v>
      </c>
      <c r="G194">
        <v>22</v>
      </c>
      <c r="H194" t="s">
        <v>823</v>
      </c>
      <c r="I194" t="s">
        <v>811</v>
      </c>
      <c r="J194" t="s">
        <v>804</v>
      </c>
      <c r="K194" t="s">
        <v>811</v>
      </c>
      <c r="L194" t="s">
        <v>803</v>
      </c>
      <c r="M194" t="s">
        <v>831</v>
      </c>
      <c r="N194" t="s">
        <v>832</v>
      </c>
      <c r="O194" s="1">
        <v>42089</v>
      </c>
      <c r="P194" t="s">
        <v>1295</v>
      </c>
      <c r="Q194">
        <v>50</v>
      </c>
    </row>
    <row r="195" spans="1:17">
      <c r="A195" t="s">
        <v>127</v>
      </c>
      <c r="B195" t="s">
        <v>1296</v>
      </c>
      <c r="C195" t="s">
        <v>1297</v>
      </c>
      <c r="D195" t="s">
        <v>221</v>
      </c>
      <c r="E195">
        <v>30</v>
      </c>
      <c r="F195" t="s">
        <v>1298</v>
      </c>
      <c r="G195">
        <v>132</v>
      </c>
      <c r="H195" t="s">
        <v>830</v>
      </c>
      <c r="I195" t="s">
        <v>811</v>
      </c>
      <c r="J195" t="s">
        <v>812</v>
      </c>
      <c r="K195" t="s">
        <v>803</v>
      </c>
      <c r="L195" t="s">
        <v>803</v>
      </c>
      <c r="M195" t="s">
        <v>958</v>
      </c>
      <c r="N195" t="s">
        <v>1299</v>
      </c>
      <c r="O195" s="1">
        <v>42089</v>
      </c>
      <c r="P195" t="s">
        <v>1300</v>
      </c>
      <c r="Q195">
        <v>60</v>
      </c>
    </row>
    <row r="196" spans="1:17">
      <c r="A196" t="s">
        <v>127</v>
      </c>
      <c r="B196" t="s">
        <v>1296</v>
      </c>
      <c r="C196" t="s">
        <v>1297</v>
      </c>
      <c r="D196" t="s">
        <v>224</v>
      </c>
      <c r="E196">
        <v>30</v>
      </c>
      <c r="F196" t="s">
        <v>1301</v>
      </c>
      <c r="G196">
        <v>132</v>
      </c>
      <c r="H196" t="s">
        <v>830</v>
      </c>
      <c r="I196" t="s">
        <v>811</v>
      </c>
      <c r="J196" t="s">
        <v>812</v>
      </c>
      <c r="K196" t="s">
        <v>803</v>
      </c>
      <c r="L196" t="s">
        <v>803</v>
      </c>
      <c r="M196" t="s">
        <v>958</v>
      </c>
      <c r="N196" t="s">
        <v>1299</v>
      </c>
      <c r="O196" s="1">
        <v>42089</v>
      </c>
      <c r="P196" t="s">
        <v>1300</v>
      </c>
      <c r="Q196">
        <v>60</v>
      </c>
    </row>
    <row r="197" spans="1:17">
      <c r="A197" t="s">
        <v>128</v>
      </c>
      <c r="B197" t="s">
        <v>1302</v>
      </c>
      <c r="C197" t="s">
        <v>1297</v>
      </c>
      <c r="D197" t="s">
        <v>442</v>
      </c>
      <c r="E197">
        <v>21</v>
      </c>
      <c r="F197" t="s">
        <v>1303</v>
      </c>
      <c r="G197">
        <v>132</v>
      </c>
      <c r="H197" t="s">
        <v>830</v>
      </c>
      <c r="I197" t="s">
        <v>811</v>
      </c>
      <c r="J197" t="s">
        <v>812</v>
      </c>
      <c r="K197" t="s">
        <v>803</v>
      </c>
      <c r="L197" t="s">
        <v>803</v>
      </c>
      <c r="M197" t="s">
        <v>958</v>
      </c>
      <c r="N197" t="s">
        <v>1299</v>
      </c>
      <c r="O197" s="1">
        <v>42089</v>
      </c>
      <c r="P197" t="s">
        <v>1304</v>
      </c>
      <c r="Q197">
        <v>84</v>
      </c>
    </row>
    <row r="198" spans="1:17">
      <c r="A198" t="s">
        <v>128</v>
      </c>
      <c r="B198" t="s">
        <v>1302</v>
      </c>
      <c r="C198" t="s">
        <v>1297</v>
      </c>
      <c r="D198" t="s">
        <v>444</v>
      </c>
      <c r="E198">
        <v>21</v>
      </c>
      <c r="F198" t="s">
        <v>1305</v>
      </c>
      <c r="G198">
        <v>132</v>
      </c>
      <c r="H198" t="s">
        <v>830</v>
      </c>
      <c r="I198" t="s">
        <v>811</v>
      </c>
      <c r="J198" t="s">
        <v>812</v>
      </c>
      <c r="K198" t="s">
        <v>803</v>
      </c>
      <c r="L198" t="s">
        <v>803</v>
      </c>
      <c r="M198" t="s">
        <v>958</v>
      </c>
      <c r="N198" t="s">
        <v>1299</v>
      </c>
      <c r="O198" s="1">
        <v>42089</v>
      </c>
      <c r="P198" t="s">
        <v>1304</v>
      </c>
      <c r="Q198">
        <v>84</v>
      </c>
    </row>
    <row r="199" spans="1:17">
      <c r="A199" t="s">
        <v>128</v>
      </c>
      <c r="B199" t="s">
        <v>1302</v>
      </c>
      <c r="C199" t="s">
        <v>1297</v>
      </c>
      <c r="D199" t="s">
        <v>445</v>
      </c>
      <c r="E199">
        <v>21</v>
      </c>
      <c r="F199" t="s">
        <v>1306</v>
      </c>
      <c r="G199">
        <v>132</v>
      </c>
      <c r="H199" t="s">
        <v>830</v>
      </c>
      <c r="I199" t="s">
        <v>811</v>
      </c>
      <c r="J199" t="s">
        <v>812</v>
      </c>
      <c r="K199" t="s">
        <v>803</v>
      </c>
      <c r="L199" t="s">
        <v>803</v>
      </c>
      <c r="M199" t="s">
        <v>958</v>
      </c>
      <c r="N199" t="s">
        <v>1299</v>
      </c>
      <c r="O199" s="1">
        <v>42089</v>
      </c>
      <c r="P199" t="s">
        <v>1304</v>
      </c>
      <c r="Q199">
        <v>84</v>
      </c>
    </row>
    <row r="200" spans="1:17">
      <c r="A200" t="s">
        <v>128</v>
      </c>
      <c r="B200" t="s">
        <v>1302</v>
      </c>
      <c r="C200" t="s">
        <v>1297</v>
      </c>
      <c r="D200" t="s">
        <v>446</v>
      </c>
      <c r="E200">
        <v>21</v>
      </c>
      <c r="F200" t="s">
        <v>1307</v>
      </c>
      <c r="G200">
        <v>132</v>
      </c>
      <c r="H200" t="s">
        <v>830</v>
      </c>
      <c r="I200" t="s">
        <v>811</v>
      </c>
      <c r="J200" t="s">
        <v>812</v>
      </c>
      <c r="K200" t="s">
        <v>803</v>
      </c>
      <c r="L200" t="s">
        <v>803</v>
      </c>
      <c r="M200" t="s">
        <v>958</v>
      </c>
      <c r="N200" t="s">
        <v>1299</v>
      </c>
      <c r="O200" s="1">
        <v>42089</v>
      </c>
      <c r="P200" t="s">
        <v>1304</v>
      </c>
      <c r="Q200">
        <v>84</v>
      </c>
    </row>
    <row r="201" spans="1:17">
      <c r="A201" t="s">
        <v>129</v>
      </c>
      <c r="B201" t="s">
        <v>770</v>
      </c>
      <c r="C201" t="s">
        <v>839</v>
      </c>
      <c r="D201" t="s">
        <v>770</v>
      </c>
      <c r="E201">
        <v>160</v>
      </c>
      <c r="F201" t="s">
        <v>1308</v>
      </c>
      <c r="G201">
        <v>132</v>
      </c>
      <c r="H201" t="s">
        <v>830</v>
      </c>
      <c r="I201" t="s">
        <v>811</v>
      </c>
      <c r="J201" t="s">
        <v>812</v>
      </c>
      <c r="K201" t="s">
        <v>803</v>
      </c>
      <c r="L201" t="s">
        <v>803</v>
      </c>
      <c r="M201" t="s">
        <v>874</v>
      </c>
      <c r="N201" t="s">
        <v>832</v>
      </c>
      <c r="O201" s="1">
        <v>42089</v>
      </c>
      <c r="P201" t="s">
        <v>1309</v>
      </c>
      <c r="Q201">
        <v>242</v>
      </c>
    </row>
    <row r="202" spans="1:17">
      <c r="A202" t="s">
        <v>129</v>
      </c>
      <c r="B202" t="s">
        <v>770</v>
      </c>
      <c r="C202" t="s">
        <v>839</v>
      </c>
      <c r="D202" t="s">
        <v>772</v>
      </c>
      <c r="E202">
        <v>82</v>
      </c>
      <c r="F202" t="s">
        <v>1310</v>
      </c>
      <c r="G202">
        <v>66</v>
      </c>
      <c r="H202" t="s">
        <v>810</v>
      </c>
      <c r="I202" t="s">
        <v>811</v>
      </c>
      <c r="J202" t="s">
        <v>812</v>
      </c>
      <c r="K202" t="s">
        <v>803</v>
      </c>
      <c r="L202" t="s">
        <v>803</v>
      </c>
      <c r="M202" t="s">
        <v>874</v>
      </c>
      <c r="N202" t="s">
        <v>832</v>
      </c>
      <c r="O202" s="1">
        <v>42089</v>
      </c>
      <c r="P202" t="s">
        <v>1309</v>
      </c>
      <c r="Q202">
        <v>242</v>
      </c>
    </row>
    <row r="203" spans="1:17">
      <c r="A203" t="s">
        <v>130</v>
      </c>
      <c r="B203" t="s">
        <v>1311</v>
      </c>
      <c r="C203" t="s">
        <v>889</v>
      </c>
      <c r="D203" t="s">
        <v>535</v>
      </c>
      <c r="E203">
        <v>144</v>
      </c>
      <c r="F203" t="s">
        <v>1312</v>
      </c>
      <c r="G203">
        <v>132</v>
      </c>
      <c r="H203" t="s">
        <v>830</v>
      </c>
      <c r="I203" t="s">
        <v>811</v>
      </c>
      <c r="J203" t="s">
        <v>812</v>
      </c>
      <c r="K203" t="s">
        <v>803</v>
      </c>
      <c r="L203" t="s">
        <v>803</v>
      </c>
      <c r="M203" t="s">
        <v>1181</v>
      </c>
      <c r="N203" t="s">
        <v>832</v>
      </c>
      <c r="O203" s="1">
        <v>42089</v>
      </c>
      <c r="P203" t="s">
        <v>1313</v>
      </c>
      <c r="Q203">
        <v>419</v>
      </c>
    </row>
    <row r="204" spans="1:17">
      <c r="A204" t="s">
        <v>130</v>
      </c>
      <c r="B204" t="s">
        <v>1311</v>
      </c>
      <c r="C204" t="s">
        <v>889</v>
      </c>
      <c r="D204" t="s">
        <v>537</v>
      </c>
      <c r="E204">
        <v>144</v>
      </c>
      <c r="F204" t="s">
        <v>1314</v>
      </c>
      <c r="G204">
        <v>132</v>
      </c>
      <c r="H204" t="s">
        <v>830</v>
      </c>
      <c r="I204" t="s">
        <v>811</v>
      </c>
      <c r="J204" t="s">
        <v>812</v>
      </c>
      <c r="K204" t="s">
        <v>803</v>
      </c>
      <c r="L204" t="s">
        <v>803</v>
      </c>
      <c r="M204" t="s">
        <v>1181</v>
      </c>
      <c r="N204" t="s">
        <v>832</v>
      </c>
      <c r="O204" s="1">
        <v>42089</v>
      </c>
      <c r="P204" t="s">
        <v>1313</v>
      </c>
      <c r="Q204">
        <v>419</v>
      </c>
    </row>
    <row r="205" spans="1:17">
      <c r="A205" t="s">
        <v>130</v>
      </c>
      <c r="B205" t="s">
        <v>1311</v>
      </c>
      <c r="C205" t="s">
        <v>889</v>
      </c>
      <c r="D205" t="s">
        <v>538</v>
      </c>
      <c r="E205">
        <v>131</v>
      </c>
      <c r="F205" t="s">
        <v>1315</v>
      </c>
      <c r="G205">
        <v>132</v>
      </c>
      <c r="H205" t="s">
        <v>830</v>
      </c>
      <c r="I205" t="s">
        <v>811</v>
      </c>
      <c r="J205" t="s">
        <v>812</v>
      </c>
      <c r="K205" t="s">
        <v>803</v>
      </c>
      <c r="L205" t="s">
        <v>803</v>
      </c>
      <c r="M205" t="s">
        <v>1181</v>
      </c>
      <c r="N205" t="s">
        <v>832</v>
      </c>
      <c r="O205" s="1">
        <v>42089</v>
      </c>
      <c r="P205" t="s">
        <v>1313</v>
      </c>
      <c r="Q205">
        <v>419</v>
      </c>
    </row>
    <row r="206" spans="1:17">
      <c r="A206" t="s">
        <v>131</v>
      </c>
      <c r="B206" t="s">
        <v>423</v>
      </c>
      <c r="C206" t="s">
        <v>1316</v>
      </c>
      <c r="D206" t="s">
        <v>423</v>
      </c>
      <c r="E206">
        <v>50</v>
      </c>
      <c r="F206" t="s">
        <v>1317</v>
      </c>
      <c r="G206">
        <v>132</v>
      </c>
      <c r="H206" t="s">
        <v>823</v>
      </c>
      <c r="I206" t="s">
        <v>803</v>
      </c>
      <c r="J206" t="s">
        <v>804</v>
      </c>
      <c r="K206" t="s">
        <v>803</v>
      </c>
      <c r="L206" t="s">
        <v>803</v>
      </c>
      <c r="M206" t="s">
        <v>1318</v>
      </c>
      <c r="N206" t="s">
        <v>814</v>
      </c>
      <c r="O206" s="1">
        <v>42089</v>
      </c>
      <c r="P206" t="s">
        <v>1319</v>
      </c>
      <c r="Q206">
        <v>50</v>
      </c>
    </row>
    <row r="207" spans="1:17">
      <c r="A207" t="s">
        <v>132</v>
      </c>
      <c r="B207" t="s">
        <v>1320</v>
      </c>
      <c r="C207" t="s">
        <v>1297</v>
      </c>
      <c r="D207" t="s">
        <v>495</v>
      </c>
      <c r="E207">
        <v>30</v>
      </c>
      <c r="F207" t="s">
        <v>1321</v>
      </c>
      <c r="G207">
        <v>33</v>
      </c>
      <c r="H207" t="s">
        <v>830</v>
      </c>
      <c r="I207" t="s">
        <v>811</v>
      </c>
      <c r="J207" t="s">
        <v>812</v>
      </c>
      <c r="K207" t="s">
        <v>803</v>
      </c>
      <c r="L207" t="s">
        <v>803</v>
      </c>
      <c r="M207" t="s">
        <v>831</v>
      </c>
      <c r="N207" t="s">
        <v>832</v>
      </c>
      <c r="O207" s="1">
        <v>42089</v>
      </c>
      <c r="P207" t="s">
        <v>1322</v>
      </c>
      <c r="Q207">
        <v>30</v>
      </c>
    </row>
    <row r="208" spans="1:17">
      <c r="A208" t="s">
        <v>133</v>
      </c>
      <c r="B208" t="s">
        <v>213</v>
      </c>
      <c r="C208" t="s">
        <v>1323</v>
      </c>
      <c r="D208" t="s">
        <v>213</v>
      </c>
      <c r="E208">
        <v>37</v>
      </c>
      <c r="F208" t="s">
        <v>1324</v>
      </c>
      <c r="G208">
        <v>132</v>
      </c>
      <c r="H208" t="s">
        <v>830</v>
      </c>
      <c r="I208" t="s">
        <v>811</v>
      </c>
      <c r="J208" t="s">
        <v>812</v>
      </c>
      <c r="K208" t="s">
        <v>803</v>
      </c>
      <c r="L208" t="s">
        <v>803</v>
      </c>
      <c r="M208" t="s">
        <v>874</v>
      </c>
      <c r="N208" t="s">
        <v>846</v>
      </c>
      <c r="O208" s="1">
        <v>42089</v>
      </c>
      <c r="P208" t="s">
        <v>1325</v>
      </c>
      <c r="Q208">
        <v>37</v>
      </c>
    </row>
    <row r="209" spans="1:17">
      <c r="A209" t="s">
        <v>134</v>
      </c>
      <c r="B209" t="s">
        <v>1326</v>
      </c>
      <c r="C209" t="s">
        <v>1297</v>
      </c>
      <c r="D209" t="s">
        <v>636</v>
      </c>
      <c r="E209">
        <v>365</v>
      </c>
      <c r="F209" t="s">
        <v>1327</v>
      </c>
      <c r="G209">
        <v>275</v>
      </c>
      <c r="H209" t="s">
        <v>810</v>
      </c>
      <c r="I209" t="s">
        <v>811</v>
      </c>
      <c r="J209" t="s">
        <v>812</v>
      </c>
      <c r="K209" t="s">
        <v>803</v>
      </c>
      <c r="L209" t="s">
        <v>803</v>
      </c>
      <c r="M209" t="s">
        <v>1168</v>
      </c>
      <c r="N209" t="s">
        <v>814</v>
      </c>
      <c r="O209" s="1">
        <v>42089</v>
      </c>
      <c r="P209" t="s">
        <v>1328</v>
      </c>
      <c r="Q209">
        <v>1460</v>
      </c>
    </row>
    <row r="210" spans="1:17">
      <c r="A210" t="s">
        <v>134</v>
      </c>
      <c r="B210" t="s">
        <v>1326</v>
      </c>
      <c r="C210" t="s">
        <v>1297</v>
      </c>
      <c r="D210" t="s">
        <v>638</v>
      </c>
      <c r="E210">
        <v>365</v>
      </c>
      <c r="F210" t="s">
        <v>1329</v>
      </c>
      <c r="G210">
        <v>275</v>
      </c>
      <c r="H210" t="s">
        <v>810</v>
      </c>
      <c r="I210" t="s">
        <v>811</v>
      </c>
      <c r="J210" t="s">
        <v>812</v>
      </c>
      <c r="K210" t="s">
        <v>803</v>
      </c>
      <c r="L210" t="s">
        <v>803</v>
      </c>
      <c r="M210" t="s">
        <v>1168</v>
      </c>
      <c r="N210" t="s">
        <v>814</v>
      </c>
      <c r="O210" s="1">
        <v>42089</v>
      </c>
      <c r="P210" t="s">
        <v>1328</v>
      </c>
      <c r="Q210">
        <v>1460</v>
      </c>
    </row>
    <row r="211" spans="1:17">
      <c r="A211" t="s">
        <v>134</v>
      </c>
      <c r="B211" t="s">
        <v>1326</v>
      </c>
      <c r="C211" t="s">
        <v>1297</v>
      </c>
      <c r="D211" t="s">
        <v>639</v>
      </c>
      <c r="E211">
        <v>365</v>
      </c>
      <c r="F211" t="s">
        <v>1330</v>
      </c>
      <c r="G211">
        <v>275</v>
      </c>
      <c r="H211" t="s">
        <v>810</v>
      </c>
      <c r="I211" t="s">
        <v>811</v>
      </c>
      <c r="J211" t="s">
        <v>812</v>
      </c>
      <c r="K211" t="s">
        <v>803</v>
      </c>
      <c r="L211" t="s">
        <v>803</v>
      </c>
      <c r="M211" t="s">
        <v>1168</v>
      </c>
      <c r="N211" t="s">
        <v>814</v>
      </c>
      <c r="O211" s="1">
        <v>42089</v>
      </c>
      <c r="P211" t="s">
        <v>1328</v>
      </c>
      <c r="Q211">
        <v>1460</v>
      </c>
    </row>
    <row r="212" spans="1:17">
      <c r="A212" t="s">
        <v>134</v>
      </c>
      <c r="B212" t="s">
        <v>1326</v>
      </c>
      <c r="C212" t="s">
        <v>1297</v>
      </c>
      <c r="D212" t="s">
        <v>640</v>
      </c>
      <c r="E212">
        <v>365</v>
      </c>
      <c r="F212" t="s">
        <v>1331</v>
      </c>
      <c r="G212">
        <v>275</v>
      </c>
      <c r="H212" t="s">
        <v>810</v>
      </c>
      <c r="I212" t="s">
        <v>811</v>
      </c>
      <c r="J212" t="s">
        <v>812</v>
      </c>
      <c r="K212" t="s">
        <v>803</v>
      </c>
      <c r="L212" t="s">
        <v>803</v>
      </c>
      <c r="M212" t="s">
        <v>1168</v>
      </c>
      <c r="N212" t="s">
        <v>814</v>
      </c>
      <c r="O212" s="1">
        <v>42089</v>
      </c>
      <c r="P212" t="s">
        <v>1328</v>
      </c>
      <c r="Q212">
        <v>1460</v>
      </c>
    </row>
    <row r="213" spans="1:17">
      <c r="A213" t="s">
        <v>135</v>
      </c>
      <c r="B213" t="s">
        <v>1332</v>
      </c>
      <c r="C213" t="s">
        <v>1333</v>
      </c>
      <c r="D213" t="s">
        <v>775</v>
      </c>
      <c r="E213">
        <v>154</v>
      </c>
      <c r="F213" t="s">
        <v>1334</v>
      </c>
      <c r="G213">
        <v>132</v>
      </c>
      <c r="H213" t="s">
        <v>810</v>
      </c>
      <c r="I213" t="s">
        <v>811</v>
      </c>
      <c r="J213" t="s">
        <v>812</v>
      </c>
      <c r="K213" t="s">
        <v>803</v>
      </c>
      <c r="L213" t="s">
        <v>803</v>
      </c>
      <c r="M213" t="s">
        <v>874</v>
      </c>
      <c r="N213" t="s">
        <v>846</v>
      </c>
      <c r="O213" s="1">
        <v>42089</v>
      </c>
      <c r="P213" t="s">
        <v>1335</v>
      </c>
      <c r="Q213">
        <v>154</v>
      </c>
    </row>
    <row r="214" spans="1:17">
      <c r="A214" t="s">
        <v>136</v>
      </c>
      <c r="B214" t="s">
        <v>1336</v>
      </c>
      <c r="C214" t="s">
        <v>1337</v>
      </c>
      <c r="D214" t="s">
        <v>383</v>
      </c>
      <c r="E214">
        <v>280</v>
      </c>
      <c r="F214" t="s">
        <v>1338</v>
      </c>
      <c r="G214">
        <v>275</v>
      </c>
      <c r="H214" t="s">
        <v>810</v>
      </c>
      <c r="I214" t="s">
        <v>811</v>
      </c>
      <c r="J214" t="s">
        <v>812</v>
      </c>
      <c r="K214" t="s">
        <v>803</v>
      </c>
      <c r="L214" t="s">
        <v>803</v>
      </c>
      <c r="M214" t="s">
        <v>1168</v>
      </c>
      <c r="N214" t="s">
        <v>814</v>
      </c>
      <c r="O214" s="1">
        <v>42089</v>
      </c>
      <c r="P214" t="s">
        <v>1339</v>
      </c>
      <c r="Q214">
        <v>1680</v>
      </c>
    </row>
    <row r="215" spans="1:17">
      <c r="A215" t="s">
        <v>136</v>
      </c>
      <c r="B215" t="s">
        <v>1336</v>
      </c>
      <c r="C215" t="s">
        <v>1337</v>
      </c>
      <c r="D215" t="s">
        <v>385</v>
      </c>
      <c r="E215">
        <v>280</v>
      </c>
      <c r="F215" t="s">
        <v>1340</v>
      </c>
      <c r="G215">
        <v>275</v>
      </c>
      <c r="H215" t="s">
        <v>810</v>
      </c>
      <c r="I215" t="s">
        <v>811</v>
      </c>
      <c r="J215" t="s">
        <v>812</v>
      </c>
      <c r="K215" t="s">
        <v>803</v>
      </c>
      <c r="L215" t="s">
        <v>803</v>
      </c>
      <c r="M215" t="s">
        <v>1168</v>
      </c>
      <c r="N215" t="s">
        <v>814</v>
      </c>
      <c r="O215" s="1">
        <v>42089</v>
      </c>
      <c r="P215" t="s">
        <v>1339</v>
      </c>
      <c r="Q215">
        <v>1680</v>
      </c>
    </row>
    <row r="216" spans="1:17">
      <c r="A216" t="s">
        <v>136</v>
      </c>
      <c r="B216" t="s">
        <v>1336</v>
      </c>
      <c r="C216" t="s">
        <v>1337</v>
      </c>
      <c r="D216" t="s">
        <v>386</v>
      </c>
      <c r="E216">
        <v>280</v>
      </c>
      <c r="F216" t="s">
        <v>1341</v>
      </c>
      <c r="G216">
        <v>132</v>
      </c>
      <c r="H216" t="s">
        <v>810</v>
      </c>
      <c r="I216" t="s">
        <v>811</v>
      </c>
      <c r="J216" t="s">
        <v>812</v>
      </c>
      <c r="K216" t="s">
        <v>803</v>
      </c>
      <c r="L216" t="s">
        <v>803</v>
      </c>
      <c r="M216" t="s">
        <v>1168</v>
      </c>
      <c r="N216" t="s">
        <v>814</v>
      </c>
      <c r="O216" s="1">
        <v>42089</v>
      </c>
      <c r="P216" t="s">
        <v>1339</v>
      </c>
      <c r="Q216">
        <v>1680</v>
      </c>
    </row>
    <row r="217" spans="1:17">
      <c r="A217" t="s">
        <v>136</v>
      </c>
      <c r="B217" t="s">
        <v>1336</v>
      </c>
      <c r="C217" t="s">
        <v>1337</v>
      </c>
      <c r="D217" t="s">
        <v>387</v>
      </c>
      <c r="E217">
        <v>280</v>
      </c>
      <c r="F217" t="s">
        <v>1342</v>
      </c>
      <c r="G217">
        <v>132</v>
      </c>
      <c r="H217" t="s">
        <v>810</v>
      </c>
      <c r="I217" t="s">
        <v>811</v>
      </c>
      <c r="J217" t="s">
        <v>812</v>
      </c>
      <c r="K217" t="s">
        <v>803</v>
      </c>
      <c r="L217" t="s">
        <v>803</v>
      </c>
      <c r="M217" t="s">
        <v>1168</v>
      </c>
      <c r="N217" t="s">
        <v>814</v>
      </c>
      <c r="O217" s="1">
        <v>42089</v>
      </c>
      <c r="P217" t="s">
        <v>1339</v>
      </c>
      <c r="Q217">
        <v>1680</v>
      </c>
    </row>
    <row r="218" spans="1:17">
      <c r="A218" t="s">
        <v>136</v>
      </c>
      <c r="B218" t="s">
        <v>1336</v>
      </c>
      <c r="C218" t="s">
        <v>1337</v>
      </c>
      <c r="D218" t="s">
        <v>388</v>
      </c>
      <c r="E218">
        <v>280</v>
      </c>
      <c r="F218" t="s">
        <v>1343</v>
      </c>
      <c r="G218">
        <v>275</v>
      </c>
      <c r="H218" t="s">
        <v>810</v>
      </c>
      <c r="I218" t="s">
        <v>811</v>
      </c>
      <c r="J218" t="s">
        <v>812</v>
      </c>
      <c r="K218" t="s">
        <v>803</v>
      </c>
      <c r="L218" t="s">
        <v>803</v>
      </c>
      <c r="M218" t="s">
        <v>1168</v>
      </c>
      <c r="N218" t="s">
        <v>814</v>
      </c>
      <c r="O218" s="1">
        <v>42089</v>
      </c>
      <c r="P218" t="s">
        <v>1339</v>
      </c>
      <c r="Q218">
        <v>1680</v>
      </c>
    </row>
    <row r="219" spans="1:17">
      <c r="A219" t="s">
        <v>136</v>
      </c>
      <c r="B219" t="s">
        <v>1336</v>
      </c>
      <c r="C219" t="s">
        <v>1337</v>
      </c>
      <c r="D219" t="s">
        <v>389</v>
      </c>
      <c r="E219">
        <v>280</v>
      </c>
      <c r="F219" t="s">
        <v>1344</v>
      </c>
      <c r="G219">
        <v>275</v>
      </c>
      <c r="H219" t="s">
        <v>810</v>
      </c>
      <c r="I219" t="s">
        <v>811</v>
      </c>
      <c r="J219" t="s">
        <v>812</v>
      </c>
      <c r="K219" t="s">
        <v>803</v>
      </c>
      <c r="L219" t="s">
        <v>803</v>
      </c>
      <c r="M219" t="s">
        <v>1168</v>
      </c>
      <c r="N219" t="s">
        <v>814</v>
      </c>
      <c r="O219" s="1">
        <v>42089</v>
      </c>
      <c r="P219" t="s">
        <v>1339</v>
      </c>
      <c r="Q219">
        <v>1680</v>
      </c>
    </row>
    <row r="220" spans="1:17">
      <c r="A220" t="s">
        <v>137</v>
      </c>
      <c r="B220" t="s">
        <v>1345</v>
      </c>
      <c r="C220" t="s">
        <v>1337</v>
      </c>
      <c r="D220" t="s">
        <v>1346</v>
      </c>
      <c r="E220">
        <v>30</v>
      </c>
      <c r="F220" t="s">
        <v>1347</v>
      </c>
      <c r="G220">
        <v>132</v>
      </c>
      <c r="H220" t="s">
        <v>823</v>
      </c>
      <c r="I220" t="s">
        <v>803</v>
      </c>
      <c r="J220" t="s">
        <v>804</v>
      </c>
      <c r="K220" t="s">
        <v>803</v>
      </c>
      <c r="L220" t="s">
        <v>803</v>
      </c>
      <c r="M220" t="s">
        <v>1168</v>
      </c>
      <c r="N220" t="s">
        <v>814</v>
      </c>
      <c r="O220" s="1">
        <v>42089</v>
      </c>
      <c r="P220" t="s">
        <v>1348</v>
      </c>
      <c r="Q220">
        <v>760</v>
      </c>
    </row>
    <row r="221" spans="1:17">
      <c r="A221" t="s">
        <v>137</v>
      </c>
      <c r="B221" t="s">
        <v>1345</v>
      </c>
      <c r="C221" t="s">
        <v>1337</v>
      </c>
      <c r="D221" t="s">
        <v>288</v>
      </c>
      <c r="E221">
        <v>30</v>
      </c>
      <c r="F221" t="s">
        <v>1349</v>
      </c>
      <c r="G221">
        <v>132</v>
      </c>
      <c r="H221" t="s">
        <v>823</v>
      </c>
      <c r="I221" t="s">
        <v>811</v>
      </c>
      <c r="J221" t="s">
        <v>804</v>
      </c>
      <c r="K221" t="s">
        <v>803</v>
      </c>
      <c r="L221" t="s">
        <v>803</v>
      </c>
      <c r="M221" t="s">
        <v>1168</v>
      </c>
      <c r="N221" t="s">
        <v>814</v>
      </c>
      <c r="O221" s="1">
        <v>42089</v>
      </c>
      <c r="P221" t="s">
        <v>1348</v>
      </c>
      <c r="Q221">
        <v>760</v>
      </c>
    </row>
    <row r="222" spans="1:17">
      <c r="A222" t="s">
        <v>137</v>
      </c>
      <c r="B222" t="s">
        <v>1345</v>
      </c>
      <c r="C222" t="s">
        <v>1337</v>
      </c>
      <c r="D222" t="s">
        <v>290</v>
      </c>
      <c r="E222">
        <v>350</v>
      </c>
      <c r="F222" t="s">
        <v>1350</v>
      </c>
      <c r="G222">
        <v>275</v>
      </c>
      <c r="H222" t="s">
        <v>810</v>
      </c>
      <c r="I222" t="s">
        <v>811</v>
      </c>
      <c r="J222" t="s">
        <v>812</v>
      </c>
      <c r="K222" t="s">
        <v>803</v>
      </c>
      <c r="L222" t="s">
        <v>803</v>
      </c>
      <c r="M222" t="s">
        <v>1168</v>
      </c>
      <c r="N222" t="s">
        <v>814</v>
      </c>
      <c r="O222" s="1">
        <v>42089</v>
      </c>
      <c r="P222" t="s">
        <v>1348</v>
      </c>
      <c r="Q222">
        <v>760</v>
      </c>
    </row>
    <row r="223" spans="1:17">
      <c r="A223" t="s">
        <v>137</v>
      </c>
      <c r="B223" t="s">
        <v>1345</v>
      </c>
      <c r="C223" t="s">
        <v>1337</v>
      </c>
      <c r="D223" t="s">
        <v>292</v>
      </c>
      <c r="E223">
        <v>350</v>
      </c>
      <c r="F223" t="s">
        <v>1351</v>
      </c>
      <c r="G223">
        <v>275</v>
      </c>
      <c r="H223" t="s">
        <v>810</v>
      </c>
      <c r="I223" t="s">
        <v>811</v>
      </c>
      <c r="J223" t="s">
        <v>812</v>
      </c>
      <c r="K223" t="s">
        <v>803</v>
      </c>
      <c r="L223" t="s">
        <v>803</v>
      </c>
      <c r="M223" t="s">
        <v>1168</v>
      </c>
      <c r="N223" t="s">
        <v>814</v>
      </c>
      <c r="O223" s="1">
        <v>42089</v>
      </c>
      <c r="P223" t="s">
        <v>1348</v>
      </c>
      <c r="Q223">
        <v>760</v>
      </c>
    </row>
    <row r="224" spans="1:17">
      <c r="A224" t="s">
        <v>138</v>
      </c>
      <c r="B224" t="s">
        <v>1345</v>
      </c>
      <c r="C224" t="s">
        <v>1337</v>
      </c>
      <c r="D224" t="s">
        <v>1346</v>
      </c>
      <c r="E224">
        <v>30</v>
      </c>
      <c r="F224" t="s">
        <v>1347</v>
      </c>
      <c r="G224">
        <v>132</v>
      </c>
      <c r="H224" t="s">
        <v>823</v>
      </c>
      <c r="I224" t="s">
        <v>803</v>
      </c>
      <c r="J224" t="s">
        <v>804</v>
      </c>
      <c r="K224" t="s">
        <v>803</v>
      </c>
      <c r="L224" t="s">
        <v>803</v>
      </c>
      <c r="M224" t="s">
        <v>1168</v>
      </c>
      <c r="N224" t="s">
        <v>814</v>
      </c>
      <c r="O224" s="1">
        <v>42089</v>
      </c>
      <c r="P224" t="s">
        <v>1352</v>
      </c>
      <c r="Q224">
        <v>760</v>
      </c>
    </row>
    <row r="225" spans="1:17">
      <c r="A225" t="s">
        <v>138</v>
      </c>
      <c r="B225" t="s">
        <v>1345</v>
      </c>
      <c r="C225" t="s">
        <v>1337</v>
      </c>
      <c r="D225" t="s">
        <v>288</v>
      </c>
      <c r="E225">
        <v>30</v>
      </c>
      <c r="F225" t="s">
        <v>1349</v>
      </c>
      <c r="G225">
        <v>132</v>
      </c>
      <c r="H225" t="s">
        <v>823</v>
      </c>
      <c r="I225" t="s">
        <v>811</v>
      </c>
      <c r="J225" t="s">
        <v>804</v>
      </c>
      <c r="K225" t="s">
        <v>803</v>
      </c>
      <c r="L225" t="s">
        <v>803</v>
      </c>
      <c r="M225" t="s">
        <v>1168</v>
      </c>
      <c r="N225" t="s">
        <v>814</v>
      </c>
      <c r="O225" s="1">
        <v>42089</v>
      </c>
      <c r="P225" t="s">
        <v>1352</v>
      </c>
      <c r="Q225">
        <v>760</v>
      </c>
    </row>
    <row r="226" spans="1:17">
      <c r="A226" t="s">
        <v>138</v>
      </c>
      <c r="B226" t="s">
        <v>1345</v>
      </c>
      <c r="C226" t="s">
        <v>1337</v>
      </c>
      <c r="D226" t="s">
        <v>290</v>
      </c>
      <c r="E226">
        <v>350</v>
      </c>
      <c r="F226" t="s">
        <v>1350</v>
      </c>
      <c r="G226">
        <v>275</v>
      </c>
      <c r="H226" t="s">
        <v>810</v>
      </c>
      <c r="I226" t="s">
        <v>811</v>
      </c>
      <c r="J226" t="s">
        <v>812</v>
      </c>
      <c r="K226" t="s">
        <v>803</v>
      </c>
      <c r="L226" t="s">
        <v>803</v>
      </c>
      <c r="M226" t="s">
        <v>1168</v>
      </c>
      <c r="N226" t="s">
        <v>814</v>
      </c>
      <c r="O226" s="1">
        <v>42089</v>
      </c>
      <c r="P226" t="s">
        <v>1352</v>
      </c>
      <c r="Q226">
        <v>760</v>
      </c>
    </row>
    <row r="227" spans="1:17">
      <c r="A227" t="s">
        <v>138</v>
      </c>
      <c r="B227" t="s">
        <v>1345</v>
      </c>
      <c r="C227" t="s">
        <v>1337</v>
      </c>
      <c r="D227" t="s">
        <v>292</v>
      </c>
      <c r="E227">
        <v>350</v>
      </c>
      <c r="F227" t="s">
        <v>1351</v>
      </c>
      <c r="G227">
        <v>275</v>
      </c>
      <c r="H227" t="s">
        <v>810</v>
      </c>
      <c r="I227" t="s">
        <v>811</v>
      </c>
      <c r="J227" t="s">
        <v>812</v>
      </c>
      <c r="K227" t="s">
        <v>803</v>
      </c>
      <c r="L227" t="s">
        <v>803</v>
      </c>
      <c r="M227" t="s">
        <v>1168</v>
      </c>
      <c r="N227" t="s">
        <v>814</v>
      </c>
      <c r="O227" s="1">
        <v>42089</v>
      </c>
      <c r="P227" t="s">
        <v>1352</v>
      </c>
      <c r="Q227">
        <v>760</v>
      </c>
    </row>
    <row r="228" spans="1:17">
      <c r="A228" t="s">
        <v>139</v>
      </c>
      <c r="B228" t="s">
        <v>1353</v>
      </c>
      <c r="C228" t="s">
        <v>1354</v>
      </c>
      <c r="D228" t="s">
        <v>332</v>
      </c>
      <c r="E228">
        <v>420</v>
      </c>
      <c r="F228" t="s">
        <v>1355</v>
      </c>
      <c r="G228">
        <v>275</v>
      </c>
      <c r="H228" t="s">
        <v>810</v>
      </c>
      <c r="I228" t="s">
        <v>811</v>
      </c>
      <c r="J228" t="s">
        <v>812</v>
      </c>
      <c r="K228" t="s">
        <v>803</v>
      </c>
      <c r="L228" t="s">
        <v>803</v>
      </c>
      <c r="M228" t="s">
        <v>1168</v>
      </c>
      <c r="N228" t="s">
        <v>1356</v>
      </c>
      <c r="O228" s="1">
        <v>42089</v>
      </c>
      <c r="P228" t="s">
        <v>1352</v>
      </c>
      <c r="Q228">
        <v>840</v>
      </c>
    </row>
    <row r="229" spans="1:17">
      <c r="A229" t="s">
        <v>139</v>
      </c>
      <c r="B229" t="s">
        <v>1353</v>
      </c>
      <c r="C229" t="s">
        <v>1354</v>
      </c>
      <c r="D229" t="s">
        <v>335</v>
      </c>
      <c r="E229">
        <v>420</v>
      </c>
      <c r="F229" t="s">
        <v>1357</v>
      </c>
      <c r="G229">
        <v>275</v>
      </c>
      <c r="H229" t="s">
        <v>810</v>
      </c>
      <c r="I229" t="s">
        <v>811</v>
      </c>
      <c r="J229" t="s">
        <v>812</v>
      </c>
      <c r="K229" t="s">
        <v>803</v>
      </c>
      <c r="L229" t="s">
        <v>803</v>
      </c>
      <c r="M229" t="s">
        <v>1168</v>
      </c>
      <c r="N229" t="s">
        <v>1356</v>
      </c>
      <c r="O229" s="1">
        <v>42089</v>
      </c>
      <c r="P229" t="s">
        <v>1352</v>
      </c>
      <c r="Q229">
        <v>840</v>
      </c>
    </row>
    <row r="230" spans="1:17">
      <c r="A230" t="s">
        <v>140</v>
      </c>
      <c r="B230" t="s">
        <v>1358</v>
      </c>
      <c r="C230" t="s">
        <v>889</v>
      </c>
      <c r="D230" t="s">
        <v>607</v>
      </c>
      <c r="E230">
        <v>40</v>
      </c>
      <c r="F230" t="s">
        <v>1359</v>
      </c>
      <c r="G230">
        <v>132</v>
      </c>
      <c r="H230" t="s">
        <v>830</v>
      </c>
      <c r="I230" t="s">
        <v>811</v>
      </c>
      <c r="J230" t="s">
        <v>812</v>
      </c>
      <c r="K230" t="s">
        <v>803</v>
      </c>
      <c r="L230" t="s">
        <v>803</v>
      </c>
      <c r="M230" t="s">
        <v>874</v>
      </c>
      <c r="N230" t="s">
        <v>832</v>
      </c>
      <c r="O230" s="1">
        <v>42089</v>
      </c>
      <c r="P230" t="s">
        <v>1360</v>
      </c>
      <c r="Q230">
        <v>80</v>
      </c>
    </row>
    <row r="231" spans="1:17">
      <c r="A231" t="s">
        <v>140</v>
      </c>
      <c r="B231" t="s">
        <v>1358</v>
      </c>
      <c r="C231" t="s">
        <v>889</v>
      </c>
      <c r="D231" t="s">
        <v>609</v>
      </c>
      <c r="E231">
        <v>40</v>
      </c>
      <c r="F231" t="s">
        <v>1361</v>
      </c>
      <c r="G231">
        <v>132</v>
      </c>
      <c r="H231" t="s">
        <v>830</v>
      </c>
      <c r="I231" t="s">
        <v>811</v>
      </c>
      <c r="J231" t="s">
        <v>812</v>
      </c>
      <c r="K231" t="s">
        <v>803</v>
      </c>
      <c r="L231" t="s">
        <v>803</v>
      </c>
      <c r="M231" t="s">
        <v>874</v>
      </c>
      <c r="N231" t="s">
        <v>832</v>
      </c>
      <c r="O231" s="1">
        <v>42089</v>
      </c>
      <c r="P231" t="s">
        <v>1360</v>
      </c>
      <c r="Q231">
        <v>80</v>
      </c>
    </row>
    <row r="232" spans="1:17">
      <c r="A232" t="s">
        <v>141</v>
      </c>
      <c r="B232" t="s">
        <v>336</v>
      </c>
      <c r="C232" t="s">
        <v>1362</v>
      </c>
      <c r="D232" t="s">
        <v>336</v>
      </c>
      <c r="E232">
        <v>144</v>
      </c>
      <c r="F232" t="s">
        <v>1363</v>
      </c>
      <c r="G232">
        <v>132</v>
      </c>
      <c r="H232" t="s">
        <v>810</v>
      </c>
      <c r="I232" t="s">
        <v>811</v>
      </c>
      <c r="J232" t="s">
        <v>812</v>
      </c>
      <c r="K232" t="s">
        <v>803</v>
      </c>
      <c r="L232" t="s">
        <v>803</v>
      </c>
      <c r="M232" t="s">
        <v>874</v>
      </c>
      <c r="N232" t="s">
        <v>846</v>
      </c>
      <c r="O232" s="1">
        <v>42089</v>
      </c>
      <c r="P232" t="s">
        <v>1364</v>
      </c>
      <c r="Q232">
        <v>144</v>
      </c>
    </row>
    <row r="233" spans="1:17">
      <c r="A233" t="s">
        <v>142</v>
      </c>
      <c r="B233" t="s">
        <v>1365</v>
      </c>
      <c r="C233" t="s">
        <v>1297</v>
      </c>
      <c r="D233" t="s">
        <v>679</v>
      </c>
      <c r="E233">
        <v>443</v>
      </c>
      <c r="F233" t="s">
        <v>1366</v>
      </c>
      <c r="G233">
        <v>275</v>
      </c>
      <c r="H233" t="s">
        <v>810</v>
      </c>
      <c r="I233" t="s">
        <v>811</v>
      </c>
      <c r="J233" t="s">
        <v>812</v>
      </c>
      <c r="K233" t="s">
        <v>803</v>
      </c>
      <c r="L233" t="s">
        <v>803</v>
      </c>
      <c r="M233" t="s">
        <v>1168</v>
      </c>
      <c r="N233" t="s">
        <v>1356</v>
      </c>
      <c r="O233" s="1">
        <v>42089</v>
      </c>
      <c r="P233" t="s">
        <v>1367</v>
      </c>
      <c r="Q233">
        <v>443</v>
      </c>
    </row>
    <row r="234" spans="1:17">
      <c r="A234" t="s">
        <v>143</v>
      </c>
      <c r="B234" t="s">
        <v>1368</v>
      </c>
      <c r="C234" t="s">
        <v>1297</v>
      </c>
      <c r="D234" t="s">
        <v>658</v>
      </c>
      <c r="E234">
        <v>350</v>
      </c>
      <c r="F234" t="s">
        <v>1369</v>
      </c>
      <c r="G234">
        <v>275</v>
      </c>
      <c r="H234" t="s">
        <v>810</v>
      </c>
      <c r="I234" t="s">
        <v>811</v>
      </c>
      <c r="J234" t="s">
        <v>812</v>
      </c>
      <c r="K234" t="s">
        <v>803</v>
      </c>
      <c r="L234" t="s">
        <v>803</v>
      </c>
      <c r="M234" t="s">
        <v>1168</v>
      </c>
      <c r="N234" t="s">
        <v>814</v>
      </c>
      <c r="O234" s="1">
        <v>42089</v>
      </c>
      <c r="P234" t="s">
        <v>1370</v>
      </c>
      <c r="Q234">
        <v>1400</v>
      </c>
    </row>
    <row r="235" spans="1:17">
      <c r="A235" t="s">
        <v>143</v>
      </c>
      <c r="B235" t="s">
        <v>1368</v>
      </c>
      <c r="C235" t="s">
        <v>1297</v>
      </c>
      <c r="D235" t="s">
        <v>660</v>
      </c>
      <c r="E235">
        <v>350</v>
      </c>
      <c r="F235" t="s">
        <v>1371</v>
      </c>
      <c r="G235">
        <v>275</v>
      </c>
      <c r="H235" t="s">
        <v>810</v>
      </c>
      <c r="I235" t="s">
        <v>811</v>
      </c>
      <c r="J235" t="s">
        <v>812</v>
      </c>
      <c r="K235" t="s">
        <v>803</v>
      </c>
      <c r="L235" t="s">
        <v>803</v>
      </c>
      <c r="M235" t="s">
        <v>1168</v>
      </c>
      <c r="N235" t="s">
        <v>814</v>
      </c>
      <c r="O235" s="1">
        <v>42089</v>
      </c>
      <c r="P235" t="s">
        <v>1370</v>
      </c>
      <c r="Q235">
        <v>1400</v>
      </c>
    </row>
    <row r="236" spans="1:17">
      <c r="A236" t="s">
        <v>143</v>
      </c>
      <c r="B236" t="s">
        <v>1368</v>
      </c>
      <c r="C236" t="s">
        <v>1297</v>
      </c>
      <c r="D236" t="s">
        <v>661</v>
      </c>
      <c r="E236">
        <v>350</v>
      </c>
      <c r="F236" t="s">
        <v>1372</v>
      </c>
      <c r="G236">
        <v>275</v>
      </c>
      <c r="H236" t="s">
        <v>810</v>
      </c>
      <c r="I236" t="s">
        <v>811</v>
      </c>
      <c r="J236" t="s">
        <v>812</v>
      </c>
      <c r="K236" t="s">
        <v>803</v>
      </c>
      <c r="L236" t="s">
        <v>803</v>
      </c>
      <c r="M236" t="s">
        <v>1168</v>
      </c>
      <c r="N236" t="s">
        <v>814</v>
      </c>
      <c r="O236" s="1">
        <v>42089</v>
      </c>
      <c r="P236" t="s">
        <v>1370</v>
      </c>
      <c r="Q236">
        <v>1400</v>
      </c>
    </row>
    <row r="237" spans="1:17">
      <c r="A237" t="s">
        <v>143</v>
      </c>
      <c r="B237" t="s">
        <v>1368</v>
      </c>
      <c r="C237" t="s">
        <v>1297</v>
      </c>
      <c r="D237" t="s">
        <v>662</v>
      </c>
      <c r="E237">
        <v>350</v>
      </c>
      <c r="F237" t="s">
        <v>1373</v>
      </c>
      <c r="G237">
        <v>275</v>
      </c>
      <c r="H237" t="s">
        <v>810</v>
      </c>
      <c r="I237" t="s">
        <v>811</v>
      </c>
      <c r="J237" t="s">
        <v>812</v>
      </c>
      <c r="K237" t="s">
        <v>803</v>
      </c>
      <c r="L237" t="s">
        <v>803</v>
      </c>
      <c r="M237" t="s">
        <v>1168</v>
      </c>
      <c r="N237" t="s">
        <v>814</v>
      </c>
      <c r="O237" s="1">
        <v>42089</v>
      </c>
      <c r="P237" t="s">
        <v>1370</v>
      </c>
      <c r="Q237">
        <v>1400</v>
      </c>
    </row>
    <row r="238" spans="1:17">
      <c r="A238" t="s">
        <v>144</v>
      </c>
      <c r="B238" t="s">
        <v>1374</v>
      </c>
      <c r="C238" t="s">
        <v>1337</v>
      </c>
      <c r="D238" t="s">
        <v>453</v>
      </c>
      <c r="E238">
        <v>744</v>
      </c>
      <c r="F238" t="s">
        <v>1375</v>
      </c>
      <c r="G238">
        <v>275</v>
      </c>
      <c r="H238" t="s">
        <v>810</v>
      </c>
      <c r="I238" t="s">
        <v>811</v>
      </c>
      <c r="J238" t="s">
        <v>812</v>
      </c>
      <c r="K238" t="s">
        <v>803</v>
      </c>
      <c r="L238" t="s">
        <v>803</v>
      </c>
      <c r="M238" t="s">
        <v>1168</v>
      </c>
      <c r="N238" t="s">
        <v>1356</v>
      </c>
      <c r="O238" s="1">
        <v>42089</v>
      </c>
      <c r="P238" t="s">
        <v>1376</v>
      </c>
      <c r="Q238">
        <v>744</v>
      </c>
    </row>
    <row r="239" spans="1:17">
      <c r="A239" t="s">
        <v>145</v>
      </c>
      <c r="B239" t="s">
        <v>1377</v>
      </c>
      <c r="C239" t="s">
        <v>1378</v>
      </c>
      <c r="D239" t="s">
        <v>255</v>
      </c>
      <c r="E239">
        <v>168</v>
      </c>
      <c r="F239" t="s">
        <v>1379</v>
      </c>
      <c r="G239">
        <v>275</v>
      </c>
      <c r="H239" t="s">
        <v>830</v>
      </c>
      <c r="I239" t="s">
        <v>811</v>
      </c>
      <c r="J239" t="s">
        <v>812</v>
      </c>
      <c r="K239" t="s">
        <v>803</v>
      </c>
      <c r="L239" t="s">
        <v>803</v>
      </c>
      <c r="M239" t="s">
        <v>1380</v>
      </c>
      <c r="N239" t="s">
        <v>832</v>
      </c>
      <c r="O239" s="1">
        <v>42089</v>
      </c>
      <c r="P239" t="s">
        <v>1381</v>
      </c>
      <c r="Q239">
        <v>504</v>
      </c>
    </row>
    <row r="240" spans="1:17">
      <c r="A240" t="s">
        <v>145</v>
      </c>
      <c r="B240" t="s">
        <v>1377</v>
      </c>
      <c r="C240" t="s">
        <v>1378</v>
      </c>
      <c r="D240" t="s">
        <v>258</v>
      </c>
      <c r="E240">
        <v>168</v>
      </c>
      <c r="F240" t="s">
        <v>1382</v>
      </c>
      <c r="G240">
        <v>275</v>
      </c>
      <c r="H240" t="s">
        <v>830</v>
      </c>
      <c r="I240" t="s">
        <v>811</v>
      </c>
      <c r="J240" t="s">
        <v>812</v>
      </c>
      <c r="K240" t="s">
        <v>803</v>
      </c>
      <c r="L240" t="s">
        <v>803</v>
      </c>
      <c r="M240" t="s">
        <v>1380</v>
      </c>
      <c r="N240" t="s">
        <v>832</v>
      </c>
      <c r="O240" s="1">
        <v>42089</v>
      </c>
      <c r="P240" t="s">
        <v>1381</v>
      </c>
      <c r="Q240">
        <v>504</v>
      </c>
    </row>
    <row r="241" spans="1:17">
      <c r="A241" t="s">
        <v>145</v>
      </c>
      <c r="B241" t="s">
        <v>1377</v>
      </c>
      <c r="C241" t="s">
        <v>1378</v>
      </c>
      <c r="D241" t="s">
        <v>259</v>
      </c>
      <c r="E241">
        <v>168</v>
      </c>
      <c r="F241" t="s">
        <v>1383</v>
      </c>
      <c r="G241">
        <v>275</v>
      </c>
      <c r="H241" t="s">
        <v>830</v>
      </c>
      <c r="I241" t="s">
        <v>811</v>
      </c>
      <c r="J241" t="s">
        <v>812</v>
      </c>
      <c r="K241" t="s">
        <v>803</v>
      </c>
      <c r="L241" t="s">
        <v>803</v>
      </c>
      <c r="M241" t="s">
        <v>1380</v>
      </c>
      <c r="N241" t="s">
        <v>832</v>
      </c>
      <c r="O241" s="1">
        <v>42089</v>
      </c>
      <c r="P241" t="s">
        <v>1381</v>
      </c>
      <c r="Q241">
        <v>504</v>
      </c>
    </row>
    <row r="242" spans="1:17">
      <c r="A242" t="s">
        <v>146</v>
      </c>
      <c r="B242" t="s">
        <v>1384</v>
      </c>
      <c r="C242" t="s">
        <v>1385</v>
      </c>
      <c r="D242" t="s">
        <v>260</v>
      </c>
      <c r="E242">
        <v>173</v>
      </c>
      <c r="F242" t="s">
        <v>1386</v>
      </c>
      <c r="G242">
        <v>275</v>
      </c>
      <c r="H242" t="s">
        <v>830</v>
      </c>
      <c r="I242" t="s">
        <v>811</v>
      </c>
      <c r="J242" t="s">
        <v>812</v>
      </c>
      <c r="K242" t="s">
        <v>803</v>
      </c>
      <c r="L242" t="s">
        <v>803</v>
      </c>
      <c r="M242" t="s">
        <v>1380</v>
      </c>
      <c r="N242" t="s">
        <v>832</v>
      </c>
      <c r="O242" s="1">
        <v>42089</v>
      </c>
      <c r="P242" t="s">
        <v>1381</v>
      </c>
      <c r="Q242">
        <v>519</v>
      </c>
    </row>
    <row r="243" spans="1:17">
      <c r="A243" t="s">
        <v>146</v>
      </c>
      <c r="B243" t="s">
        <v>1384</v>
      </c>
      <c r="C243" t="s">
        <v>1385</v>
      </c>
      <c r="D243" t="s">
        <v>262</v>
      </c>
      <c r="E243">
        <v>173</v>
      </c>
      <c r="F243" t="s">
        <v>1387</v>
      </c>
      <c r="G243">
        <v>275</v>
      </c>
      <c r="H243" t="s">
        <v>830</v>
      </c>
      <c r="I243" t="s">
        <v>811</v>
      </c>
      <c r="J243" t="s">
        <v>812</v>
      </c>
      <c r="K243" t="s">
        <v>803</v>
      </c>
      <c r="L243" t="s">
        <v>803</v>
      </c>
      <c r="M243" t="s">
        <v>1380</v>
      </c>
      <c r="N243" t="s">
        <v>832</v>
      </c>
      <c r="O243" s="1">
        <v>42089</v>
      </c>
      <c r="P243" t="s">
        <v>1381</v>
      </c>
      <c r="Q243">
        <v>519</v>
      </c>
    </row>
    <row r="244" spans="1:17">
      <c r="A244" t="s">
        <v>146</v>
      </c>
      <c r="B244" t="s">
        <v>1384</v>
      </c>
      <c r="C244" t="s">
        <v>1385</v>
      </c>
      <c r="D244" t="s">
        <v>263</v>
      </c>
      <c r="E244">
        <v>173</v>
      </c>
      <c r="F244" t="s">
        <v>1388</v>
      </c>
      <c r="G244">
        <v>275</v>
      </c>
      <c r="H244" t="s">
        <v>830</v>
      </c>
      <c r="I244" t="s">
        <v>811</v>
      </c>
      <c r="J244" t="s">
        <v>812</v>
      </c>
      <c r="K244" t="s">
        <v>803</v>
      </c>
      <c r="L244" t="s">
        <v>803</v>
      </c>
      <c r="M244" t="s">
        <v>1380</v>
      </c>
      <c r="N244" t="s">
        <v>832</v>
      </c>
      <c r="O244" s="1">
        <v>42089</v>
      </c>
      <c r="P244" t="s">
        <v>1381</v>
      </c>
      <c r="Q244">
        <v>519</v>
      </c>
    </row>
    <row r="245" spans="1:17">
      <c r="A245" t="s">
        <v>147</v>
      </c>
      <c r="B245" t="s">
        <v>344</v>
      </c>
      <c r="C245" t="s">
        <v>889</v>
      </c>
      <c r="D245" t="s">
        <v>344</v>
      </c>
      <c r="E245">
        <v>644</v>
      </c>
      <c r="F245" t="s">
        <v>1389</v>
      </c>
      <c r="G245">
        <v>275</v>
      </c>
      <c r="H245" t="s">
        <v>810</v>
      </c>
      <c r="I245" t="s">
        <v>811</v>
      </c>
      <c r="J245" t="s">
        <v>812</v>
      </c>
      <c r="K245" t="s">
        <v>803</v>
      </c>
      <c r="L245" t="s">
        <v>803</v>
      </c>
      <c r="M245" t="s">
        <v>874</v>
      </c>
      <c r="N245" t="s">
        <v>846</v>
      </c>
      <c r="O245" s="1">
        <v>42089</v>
      </c>
      <c r="P245" t="s">
        <v>1390</v>
      </c>
      <c r="Q245">
        <v>644</v>
      </c>
    </row>
    <row r="246" spans="1:17">
      <c r="A246" t="s">
        <v>148</v>
      </c>
      <c r="B246" t="s">
        <v>340</v>
      </c>
      <c r="C246" t="s">
        <v>889</v>
      </c>
      <c r="D246" t="s">
        <v>340</v>
      </c>
      <c r="E246">
        <v>33</v>
      </c>
      <c r="F246" t="s">
        <v>1391</v>
      </c>
      <c r="G246">
        <v>33</v>
      </c>
      <c r="H246" t="s">
        <v>823</v>
      </c>
      <c r="I246" t="s">
        <v>811</v>
      </c>
      <c r="J246" t="s">
        <v>804</v>
      </c>
      <c r="K246" t="s">
        <v>803</v>
      </c>
      <c r="L246" t="s">
        <v>803</v>
      </c>
      <c r="M246" t="s">
        <v>1380</v>
      </c>
      <c r="N246" t="s">
        <v>881</v>
      </c>
      <c r="O246" s="1">
        <v>42089</v>
      </c>
      <c r="P246" t="s">
        <v>1392</v>
      </c>
      <c r="Q246">
        <v>33</v>
      </c>
    </row>
    <row r="247" spans="1:17">
      <c r="A247" t="s">
        <v>149</v>
      </c>
      <c r="B247" t="s">
        <v>1393</v>
      </c>
      <c r="C247" t="s">
        <v>1394</v>
      </c>
      <c r="D247" t="s">
        <v>556</v>
      </c>
      <c r="E247">
        <v>141</v>
      </c>
      <c r="F247" t="s">
        <v>1395</v>
      </c>
      <c r="G247">
        <v>110</v>
      </c>
      <c r="H247" t="s">
        <v>830</v>
      </c>
      <c r="I247" t="s">
        <v>811</v>
      </c>
      <c r="J247" t="s">
        <v>812</v>
      </c>
      <c r="K247" t="s">
        <v>803</v>
      </c>
      <c r="L247" t="s">
        <v>803</v>
      </c>
      <c r="M247" t="s">
        <v>874</v>
      </c>
      <c r="N247" t="s">
        <v>832</v>
      </c>
      <c r="O247" s="1">
        <v>42089</v>
      </c>
      <c r="P247" t="s">
        <v>1396</v>
      </c>
      <c r="Q247">
        <v>282</v>
      </c>
    </row>
    <row r="248" spans="1:17">
      <c r="A248" t="s">
        <v>149</v>
      </c>
      <c r="B248" t="s">
        <v>1393</v>
      </c>
      <c r="C248" t="s">
        <v>1394</v>
      </c>
      <c r="D248" t="s">
        <v>558</v>
      </c>
      <c r="E248">
        <v>141</v>
      </c>
      <c r="F248" t="s">
        <v>1397</v>
      </c>
      <c r="G248">
        <v>110</v>
      </c>
      <c r="H248" t="s">
        <v>830</v>
      </c>
      <c r="I248" t="s">
        <v>811</v>
      </c>
      <c r="J248" t="s">
        <v>812</v>
      </c>
      <c r="K248" t="s">
        <v>803</v>
      </c>
      <c r="L248" t="s">
        <v>803</v>
      </c>
      <c r="M248" t="s">
        <v>874</v>
      </c>
      <c r="N248" t="s">
        <v>832</v>
      </c>
      <c r="O248" s="1">
        <v>42089</v>
      </c>
      <c r="P248" t="s">
        <v>1396</v>
      </c>
      <c r="Q248">
        <v>282</v>
      </c>
    </row>
    <row r="249" spans="1:17">
      <c r="A249" t="s">
        <v>150</v>
      </c>
      <c r="B249" t="s">
        <v>1398</v>
      </c>
      <c r="C249" t="s">
        <v>1337</v>
      </c>
      <c r="D249" t="s">
        <v>721</v>
      </c>
      <c r="E249">
        <v>250</v>
      </c>
      <c r="F249" t="s">
        <v>1399</v>
      </c>
      <c r="G249">
        <v>275</v>
      </c>
      <c r="H249" t="s">
        <v>830</v>
      </c>
      <c r="I249" t="s">
        <v>811</v>
      </c>
      <c r="J249" t="s">
        <v>812</v>
      </c>
      <c r="K249" t="s">
        <v>803</v>
      </c>
      <c r="L249" t="s">
        <v>803</v>
      </c>
      <c r="M249" t="s">
        <v>958</v>
      </c>
      <c r="N249" t="s">
        <v>1400</v>
      </c>
      <c r="O249" s="1">
        <v>42089</v>
      </c>
      <c r="P249" t="s">
        <v>1401</v>
      </c>
      <c r="Q249">
        <v>500</v>
      </c>
    </row>
    <row r="250" spans="1:17">
      <c r="A250" t="s">
        <v>150</v>
      </c>
      <c r="B250" t="s">
        <v>1398</v>
      </c>
      <c r="C250" t="s">
        <v>1337</v>
      </c>
      <c r="D250" t="s">
        <v>724</v>
      </c>
      <c r="E250">
        <v>250</v>
      </c>
      <c r="F250" t="s">
        <v>1402</v>
      </c>
      <c r="G250">
        <v>275</v>
      </c>
      <c r="H250" t="s">
        <v>830</v>
      </c>
      <c r="I250" t="s">
        <v>811</v>
      </c>
      <c r="J250" t="s">
        <v>812</v>
      </c>
      <c r="K250" t="s">
        <v>803</v>
      </c>
      <c r="L250" t="s">
        <v>803</v>
      </c>
      <c r="M250" t="s">
        <v>958</v>
      </c>
      <c r="N250" t="s">
        <v>1400</v>
      </c>
      <c r="O250" s="1">
        <v>42089</v>
      </c>
      <c r="P250" t="s">
        <v>1401</v>
      </c>
      <c r="Q250">
        <v>500</v>
      </c>
    </row>
    <row r="251" spans="1:17">
      <c r="A251" t="s">
        <v>151</v>
      </c>
      <c r="B251" t="s">
        <v>1403</v>
      </c>
      <c r="C251" t="s">
        <v>1297</v>
      </c>
      <c r="D251" t="s">
        <v>652</v>
      </c>
      <c r="E251">
        <v>385</v>
      </c>
      <c r="F251" t="s">
        <v>1404</v>
      </c>
      <c r="G251">
        <v>275</v>
      </c>
      <c r="H251" t="s">
        <v>810</v>
      </c>
      <c r="I251" t="s">
        <v>811</v>
      </c>
      <c r="J251" t="s">
        <v>812</v>
      </c>
      <c r="K251" t="s">
        <v>803</v>
      </c>
      <c r="L251" t="s">
        <v>803</v>
      </c>
      <c r="M251" t="s">
        <v>874</v>
      </c>
      <c r="N251" t="s">
        <v>846</v>
      </c>
      <c r="O251" s="1">
        <v>42089</v>
      </c>
      <c r="P251" t="s">
        <v>1405</v>
      </c>
      <c r="Q251">
        <v>385</v>
      </c>
    </row>
    <row r="252" spans="1:17">
      <c r="A252" t="s">
        <v>152</v>
      </c>
      <c r="B252" t="s">
        <v>1406</v>
      </c>
      <c r="C252" t="s">
        <v>1407</v>
      </c>
      <c r="D252" t="s">
        <v>532</v>
      </c>
      <c r="E252">
        <v>426</v>
      </c>
      <c r="F252" t="s">
        <v>1408</v>
      </c>
      <c r="G252">
        <v>330</v>
      </c>
      <c r="H252" t="s">
        <v>810</v>
      </c>
      <c r="I252" t="s">
        <v>811</v>
      </c>
      <c r="J252" t="s">
        <v>812</v>
      </c>
      <c r="K252" t="s">
        <v>803</v>
      </c>
      <c r="L252" t="s">
        <v>803</v>
      </c>
      <c r="M252" t="s">
        <v>1168</v>
      </c>
      <c r="N252" t="s">
        <v>1356</v>
      </c>
      <c r="O252" s="1">
        <v>42089</v>
      </c>
      <c r="P252" t="s">
        <v>1409</v>
      </c>
      <c r="Q252">
        <v>852</v>
      </c>
    </row>
    <row r="253" spans="1:17">
      <c r="A253" t="s">
        <v>152</v>
      </c>
      <c r="B253" t="s">
        <v>1406</v>
      </c>
      <c r="C253" t="s">
        <v>1407</v>
      </c>
      <c r="D253" t="s">
        <v>534</v>
      </c>
      <c r="E253">
        <v>426</v>
      </c>
      <c r="F253" t="s">
        <v>1410</v>
      </c>
      <c r="G253">
        <v>330</v>
      </c>
      <c r="H253" t="s">
        <v>810</v>
      </c>
      <c r="I253" t="s">
        <v>811</v>
      </c>
      <c r="J253" t="s">
        <v>812</v>
      </c>
      <c r="K253" t="s">
        <v>803</v>
      </c>
      <c r="L253" t="s">
        <v>803</v>
      </c>
      <c r="M253" t="s">
        <v>1168</v>
      </c>
      <c r="N253" t="s">
        <v>1356</v>
      </c>
      <c r="O253" s="1">
        <v>42089</v>
      </c>
      <c r="P253" t="s">
        <v>1409</v>
      </c>
      <c r="Q253">
        <v>852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>
    <tabColor theme="1"/>
  </sheetPr>
  <dimension ref="A1:M339"/>
  <sheetViews>
    <sheetView workbookViewId="0">
      <selection activeCell="B22" sqref="A1:M339"/>
    </sheetView>
  </sheetViews>
  <sheetFormatPr baseColWidth="10" defaultRowHeight="15" x14ac:dyDescent="0"/>
  <cols>
    <col min="1" max="1" width="12.1640625" bestFit="1" customWidth="1"/>
    <col min="2" max="2" width="50.33203125" bestFit="1" customWidth="1"/>
    <col min="3" max="3" width="6.5" bestFit="1" customWidth="1"/>
    <col min="4" max="4" width="21.83203125" bestFit="1" customWidth="1"/>
    <col min="5" max="5" width="11.1640625" bestFit="1" customWidth="1"/>
    <col min="6" max="6" width="14.1640625" bestFit="1" customWidth="1"/>
    <col min="7" max="7" width="18.1640625" bestFit="1" customWidth="1"/>
    <col min="8" max="8" width="21.6640625" bestFit="1" customWidth="1"/>
    <col min="9" max="9" width="16.83203125" bestFit="1" customWidth="1"/>
    <col min="10" max="10" width="30.5" bestFit="1" customWidth="1"/>
    <col min="11" max="11" width="7.6640625" bestFit="1" customWidth="1"/>
    <col min="12" max="12" width="8.5" bestFit="1" customWidth="1"/>
  </cols>
  <sheetData>
    <row r="1" spans="1:13">
      <c r="A1" t="s">
        <v>782</v>
      </c>
      <c r="B1" t="s">
        <v>153</v>
      </c>
      <c r="C1" t="s">
        <v>154</v>
      </c>
      <c r="D1" t="s">
        <v>155</v>
      </c>
      <c r="E1" t="s">
        <v>156</v>
      </c>
      <c r="F1" t="s">
        <v>157</v>
      </c>
      <c r="G1" t="s">
        <v>158</v>
      </c>
      <c r="H1" t="s">
        <v>159</v>
      </c>
      <c r="I1" t="s">
        <v>160</v>
      </c>
      <c r="J1" t="s">
        <v>161</v>
      </c>
      <c r="K1" t="s">
        <v>162</v>
      </c>
      <c r="L1" t="s">
        <v>163</v>
      </c>
      <c r="M1" t="s">
        <v>1411</v>
      </c>
    </row>
    <row r="2" spans="1:13" hidden="1">
      <c r="A2" t="s">
        <v>180</v>
      </c>
      <c r="B2" t="s">
        <v>181</v>
      </c>
      <c r="C2" t="s">
        <v>176</v>
      </c>
      <c r="D2" t="s">
        <v>167</v>
      </c>
      <c r="E2" t="s">
        <v>168</v>
      </c>
      <c r="F2" t="s">
        <v>177</v>
      </c>
      <c r="G2" t="s">
        <v>170</v>
      </c>
      <c r="H2" t="s">
        <v>178</v>
      </c>
      <c r="I2" t="s">
        <v>172</v>
      </c>
      <c r="J2" t="s">
        <v>179</v>
      </c>
      <c r="K2">
        <v>2.8</v>
      </c>
      <c r="L2">
        <v>2.8</v>
      </c>
      <c r="M2" t="e">
        <f>VLOOKUP(A2,final!D:D,1,FALSE)</f>
        <v>#N/A</v>
      </c>
    </row>
    <row r="3" spans="1:13">
      <c r="A3" t="s">
        <v>186</v>
      </c>
      <c r="B3" t="s">
        <v>187</v>
      </c>
      <c r="C3" t="s">
        <v>166</v>
      </c>
      <c r="D3" t="s">
        <v>167</v>
      </c>
      <c r="E3" t="s">
        <v>168</v>
      </c>
      <c r="F3" t="s">
        <v>177</v>
      </c>
      <c r="G3" t="s">
        <v>188</v>
      </c>
      <c r="H3" t="s">
        <v>188</v>
      </c>
      <c r="I3" t="s">
        <v>172</v>
      </c>
      <c r="J3" t="s">
        <v>179</v>
      </c>
      <c r="K3">
        <v>30</v>
      </c>
      <c r="L3">
        <v>30</v>
      </c>
      <c r="M3" t="str">
        <f>VLOOKUP(A3,'csv import'!D:D,1,FALSE)</f>
        <v>ANGAS1</v>
      </c>
    </row>
    <row r="4" spans="1:13">
      <c r="A4" t="s">
        <v>189</v>
      </c>
      <c r="B4" t="s">
        <v>187</v>
      </c>
      <c r="C4" t="s">
        <v>166</v>
      </c>
      <c r="D4" t="s">
        <v>167</v>
      </c>
      <c r="E4" t="s">
        <v>168</v>
      </c>
      <c r="F4" t="s">
        <v>177</v>
      </c>
      <c r="G4" t="s">
        <v>188</v>
      </c>
      <c r="H4" t="s">
        <v>188</v>
      </c>
      <c r="I4" t="s">
        <v>172</v>
      </c>
      <c r="J4" t="s">
        <v>179</v>
      </c>
      <c r="K4">
        <v>20</v>
      </c>
      <c r="L4">
        <v>20</v>
      </c>
      <c r="M4" t="str">
        <f>VLOOKUP(A4,'csv import'!D:D,1,FALSE)</f>
        <v>ANGAS2</v>
      </c>
    </row>
    <row r="5" spans="1:13">
      <c r="A5" t="s">
        <v>190</v>
      </c>
      <c r="B5" t="s">
        <v>187</v>
      </c>
      <c r="C5" t="s">
        <v>166</v>
      </c>
      <c r="D5" t="s">
        <v>167</v>
      </c>
      <c r="E5" t="s">
        <v>168</v>
      </c>
      <c r="F5" t="s">
        <v>169</v>
      </c>
      <c r="G5" t="s">
        <v>188</v>
      </c>
      <c r="H5" t="s">
        <v>188</v>
      </c>
      <c r="I5" t="s">
        <v>172</v>
      </c>
      <c r="J5" t="s">
        <v>179</v>
      </c>
      <c r="K5">
        <v>50</v>
      </c>
      <c r="L5">
        <v>50</v>
      </c>
      <c r="M5" t="str">
        <f>VLOOKUP(A5,final!D:D,1,FALSE)</f>
        <v>ANGAST1</v>
      </c>
    </row>
    <row r="6" spans="1:13">
      <c r="A6" t="s">
        <v>191</v>
      </c>
      <c r="B6" t="s">
        <v>192</v>
      </c>
      <c r="C6" t="s">
        <v>184</v>
      </c>
      <c r="D6" t="s">
        <v>167</v>
      </c>
      <c r="E6" t="s">
        <v>168</v>
      </c>
      <c r="F6" t="s">
        <v>169</v>
      </c>
      <c r="G6" t="s">
        <v>193</v>
      </c>
      <c r="H6" t="s">
        <v>194</v>
      </c>
      <c r="I6" t="s">
        <v>172</v>
      </c>
      <c r="J6" t="s">
        <v>195</v>
      </c>
      <c r="K6">
        <v>150</v>
      </c>
      <c r="L6">
        <v>150</v>
      </c>
      <c r="M6" t="str">
        <f>VLOOKUP(A6,'csv import'!D:D,1,FALSE)</f>
        <v>APS</v>
      </c>
    </row>
    <row r="7" spans="1:13">
      <c r="A7" t="s">
        <v>201</v>
      </c>
      <c r="B7" t="s">
        <v>196</v>
      </c>
      <c r="C7" t="s">
        <v>184</v>
      </c>
      <c r="D7" t="s">
        <v>167</v>
      </c>
      <c r="E7" t="s">
        <v>168</v>
      </c>
      <c r="F7" t="s">
        <v>177</v>
      </c>
      <c r="G7" t="s">
        <v>198</v>
      </c>
      <c r="H7" t="s">
        <v>198</v>
      </c>
      <c r="I7" t="s">
        <v>199</v>
      </c>
      <c r="J7" t="s">
        <v>200</v>
      </c>
      <c r="K7">
        <v>240</v>
      </c>
      <c r="L7">
        <v>240</v>
      </c>
      <c r="M7" t="str">
        <f>VLOOKUP(A7,final!D:D,1,FALSE)</f>
        <v>ARWF1</v>
      </c>
    </row>
    <row r="8" spans="1:13" hidden="1">
      <c r="A8" t="s">
        <v>202</v>
      </c>
      <c r="B8" t="s">
        <v>203</v>
      </c>
      <c r="C8" t="s">
        <v>176</v>
      </c>
      <c r="D8" t="s">
        <v>167</v>
      </c>
      <c r="E8" t="s">
        <v>168</v>
      </c>
      <c r="F8" t="s">
        <v>177</v>
      </c>
      <c r="G8" t="s">
        <v>170</v>
      </c>
      <c r="H8" t="s">
        <v>178</v>
      </c>
      <c r="K8">
        <v>1.123</v>
      </c>
      <c r="L8">
        <v>1</v>
      </c>
      <c r="M8" t="e">
        <f>VLOOKUP(A8,final!D:D,1,FALSE)</f>
        <v>#N/A</v>
      </c>
    </row>
    <row r="9" spans="1:13">
      <c r="A9" t="s">
        <v>236</v>
      </c>
      <c r="B9" t="s">
        <v>237</v>
      </c>
      <c r="C9" t="s">
        <v>184</v>
      </c>
      <c r="D9" t="s">
        <v>167</v>
      </c>
      <c r="E9" t="s">
        <v>168</v>
      </c>
      <c r="F9" t="s">
        <v>169</v>
      </c>
      <c r="G9" t="s">
        <v>170</v>
      </c>
      <c r="H9" t="s">
        <v>171</v>
      </c>
      <c r="I9" t="s">
        <v>172</v>
      </c>
      <c r="J9" t="s">
        <v>185</v>
      </c>
      <c r="K9">
        <v>47</v>
      </c>
      <c r="L9">
        <v>47</v>
      </c>
      <c r="M9" t="str">
        <f>VLOOKUP(A9,'csv import'!D:D,1,FALSE)</f>
        <v>BDL01</v>
      </c>
    </row>
    <row r="10" spans="1:13">
      <c r="A10" t="s">
        <v>238</v>
      </c>
      <c r="B10" t="s">
        <v>237</v>
      </c>
      <c r="C10" t="s">
        <v>184</v>
      </c>
      <c r="D10" t="s">
        <v>167</v>
      </c>
      <c r="E10" t="s">
        <v>168</v>
      </c>
      <c r="F10" t="s">
        <v>169</v>
      </c>
      <c r="G10" t="s">
        <v>170</v>
      </c>
      <c r="H10" t="s">
        <v>171</v>
      </c>
      <c r="I10" t="s">
        <v>172</v>
      </c>
      <c r="J10" t="s">
        <v>185</v>
      </c>
      <c r="K10">
        <v>47</v>
      </c>
      <c r="L10">
        <v>47</v>
      </c>
      <c r="M10" t="str">
        <f>VLOOKUP(A10,'csv import'!D:D,1,FALSE)</f>
        <v>BDL02</v>
      </c>
    </row>
    <row r="11" spans="1:13">
      <c r="A11" t="s">
        <v>204</v>
      </c>
      <c r="B11" t="s">
        <v>205</v>
      </c>
      <c r="C11" t="s">
        <v>184</v>
      </c>
      <c r="D11" t="s">
        <v>167</v>
      </c>
      <c r="E11" t="s">
        <v>168</v>
      </c>
      <c r="F11" t="s">
        <v>197</v>
      </c>
      <c r="G11" t="s">
        <v>198</v>
      </c>
      <c r="H11" t="s">
        <v>198</v>
      </c>
      <c r="I11" t="s">
        <v>199</v>
      </c>
      <c r="J11" t="s">
        <v>200</v>
      </c>
      <c r="K11">
        <v>106.6</v>
      </c>
      <c r="L11">
        <v>120</v>
      </c>
      <c r="M11" t="str">
        <f>VLOOKUP(A11,'csv import'!D:D,1,FALSE)</f>
        <v>BALDHWF1</v>
      </c>
    </row>
    <row r="12" spans="1:13" hidden="1">
      <c r="A12" t="s">
        <v>228</v>
      </c>
      <c r="B12" t="s">
        <v>229</v>
      </c>
      <c r="C12" t="s">
        <v>184</v>
      </c>
      <c r="D12" t="s">
        <v>167</v>
      </c>
      <c r="E12" t="s">
        <v>168</v>
      </c>
      <c r="F12" t="s">
        <v>177</v>
      </c>
      <c r="G12" t="s">
        <v>170</v>
      </c>
      <c r="H12" t="s">
        <v>171</v>
      </c>
      <c r="I12" t="s">
        <v>172</v>
      </c>
      <c r="J12" t="s">
        <v>179</v>
      </c>
      <c r="K12">
        <v>3</v>
      </c>
      <c r="L12">
        <v>3</v>
      </c>
      <c r="M12" t="e">
        <f>VLOOKUP(A12,final!D:D,1,FALSE)</f>
        <v>#N/A</v>
      </c>
    </row>
    <row r="13" spans="1:13">
      <c r="A13" t="s">
        <v>208</v>
      </c>
      <c r="B13" t="s">
        <v>209</v>
      </c>
      <c r="C13" t="s">
        <v>184</v>
      </c>
      <c r="D13" t="s">
        <v>167</v>
      </c>
      <c r="E13" t="s">
        <v>168</v>
      </c>
      <c r="F13" t="s">
        <v>177</v>
      </c>
      <c r="G13" t="s">
        <v>210</v>
      </c>
      <c r="H13" t="s">
        <v>211</v>
      </c>
      <c r="I13" t="s">
        <v>199</v>
      </c>
      <c r="J13" t="s">
        <v>212</v>
      </c>
      <c r="K13">
        <v>12.85</v>
      </c>
      <c r="L13">
        <v>13</v>
      </c>
      <c r="M13" t="str">
        <f>VLOOKUP(A13,final!D:D,1,FALSE)</f>
        <v>BAPS</v>
      </c>
    </row>
    <row r="14" spans="1:13" hidden="1">
      <c r="A14" t="s">
        <v>206</v>
      </c>
      <c r="B14" t="s">
        <v>207</v>
      </c>
      <c r="C14" t="s">
        <v>176</v>
      </c>
      <c r="D14" t="s">
        <v>167</v>
      </c>
      <c r="E14" t="s">
        <v>168</v>
      </c>
      <c r="F14" t="s">
        <v>177</v>
      </c>
      <c r="G14" t="s">
        <v>188</v>
      </c>
      <c r="H14" t="s">
        <v>188</v>
      </c>
      <c r="I14" t="s">
        <v>172</v>
      </c>
      <c r="J14" t="s">
        <v>179</v>
      </c>
      <c r="K14">
        <v>2</v>
      </c>
      <c r="L14">
        <v>2</v>
      </c>
      <c r="M14" t="e">
        <f>VLOOKUP(A14,final!D:D,1,FALSE)</f>
        <v>#N/A</v>
      </c>
    </row>
    <row r="15" spans="1:13">
      <c r="A15" t="s">
        <v>213</v>
      </c>
      <c r="B15" t="s">
        <v>214</v>
      </c>
      <c r="C15" t="s">
        <v>215</v>
      </c>
      <c r="D15" t="s">
        <v>167</v>
      </c>
      <c r="E15" t="s">
        <v>168</v>
      </c>
      <c r="F15" t="s">
        <v>169</v>
      </c>
      <c r="G15" t="s">
        <v>170</v>
      </c>
      <c r="H15" t="s">
        <v>171</v>
      </c>
      <c r="I15" t="s">
        <v>172</v>
      </c>
      <c r="J15" t="s">
        <v>216</v>
      </c>
      <c r="K15">
        <v>37</v>
      </c>
      <c r="L15">
        <v>37</v>
      </c>
      <c r="M15" t="str">
        <f>VLOOKUP(A15,'csv import'!D:D,1,FALSE)</f>
        <v>BARCALDN</v>
      </c>
    </row>
    <row r="16" spans="1:13">
      <c r="A16" t="s">
        <v>217</v>
      </c>
      <c r="B16" t="s">
        <v>218</v>
      </c>
      <c r="C16" t="s">
        <v>215</v>
      </c>
      <c r="D16" t="s">
        <v>167</v>
      </c>
      <c r="E16" t="s">
        <v>168</v>
      </c>
      <c r="F16" t="s">
        <v>177</v>
      </c>
      <c r="G16" t="s">
        <v>219</v>
      </c>
      <c r="H16" t="s">
        <v>219</v>
      </c>
      <c r="I16" t="s">
        <v>199</v>
      </c>
      <c r="J16" t="s">
        <v>220</v>
      </c>
      <c r="K16">
        <v>20</v>
      </c>
      <c r="L16">
        <v>20</v>
      </c>
      <c r="M16" t="str">
        <f>VLOOKUP(A16,final!D:D,1,FALSE)</f>
        <v>BARCSF1</v>
      </c>
    </row>
    <row r="17" spans="1:13">
      <c r="A17" t="s">
        <v>221</v>
      </c>
      <c r="B17" t="s">
        <v>222</v>
      </c>
      <c r="C17" t="s">
        <v>215</v>
      </c>
      <c r="D17" t="s">
        <v>167</v>
      </c>
      <c r="E17" t="s">
        <v>168</v>
      </c>
      <c r="F17" t="s">
        <v>169</v>
      </c>
      <c r="G17" t="s">
        <v>210</v>
      </c>
      <c r="H17" t="s">
        <v>211</v>
      </c>
      <c r="I17" t="s">
        <v>199</v>
      </c>
      <c r="J17" t="s">
        <v>223</v>
      </c>
      <c r="K17">
        <v>30</v>
      </c>
      <c r="L17">
        <v>33</v>
      </c>
      <c r="M17" t="str">
        <f>VLOOKUP(A17,'csv import'!D:D,1,FALSE)</f>
        <v>BARRON-1</v>
      </c>
    </row>
    <row r="18" spans="1:13">
      <c r="A18" t="s">
        <v>224</v>
      </c>
      <c r="B18" t="s">
        <v>222</v>
      </c>
      <c r="C18" t="s">
        <v>215</v>
      </c>
      <c r="D18" t="s">
        <v>167</v>
      </c>
      <c r="E18" t="s">
        <v>168</v>
      </c>
      <c r="F18" t="s">
        <v>169</v>
      </c>
      <c r="G18" t="s">
        <v>210</v>
      </c>
      <c r="H18" t="s">
        <v>211</v>
      </c>
      <c r="I18" t="s">
        <v>199</v>
      </c>
      <c r="J18" t="s">
        <v>223</v>
      </c>
      <c r="K18">
        <v>30</v>
      </c>
      <c r="L18">
        <v>33</v>
      </c>
      <c r="M18" t="str">
        <f>VLOOKUP(A18,'csv import'!D:D,1,FALSE)</f>
        <v>BARRON-2</v>
      </c>
    </row>
    <row r="19" spans="1:13">
      <c r="A19" t="s">
        <v>225</v>
      </c>
      <c r="B19" t="s">
        <v>226</v>
      </c>
      <c r="C19" t="s">
        <v>227</v>
      </c>
      <c r="D19" t="s">
        <v>167</v>
      </c>
      <c r="E19" t="s">
        <v>168</v>
      </c>
      <c r="F19" t="s">
        <v>169</v>
      </c>
      <c r="G19" t="s">
        <v>210</v>
      </c>
      <c r="H19" t="s">
        <v>211</v>
      </c>
      <c r="I19" t="s">
        <v>199</v>
      </c>
      <c r="J19" t="s">
        <v>212</v>
      </c>
      <c r="K19">
        <v>79.900000000000006</v>
      </c>
      <c r="L19">
        <v>88</v>
      </c>
      <c r="M19" t="str">
        <f>VLOOKUP(A19,'csv import'!D:D,1,FALSE)</f>
        <v>BASTYAN</v>
      </c>
    </row>
    <row r="20" spans="1:13">
      <c r="A20" t="s">
        <v>278</v>
      </c>
      <c r="B20" t="s">
        <v>279</v>
      </c>
      <c r="C20" t="s">
        <v>176</v>
      </c>
      <c r="D20" t="s">
        <v>167</v>
      </c>
      <c r="E20" t="s">
        <v>168</v>
      </c>
      <c r="F20" t="s">
        <v>169</v>
      </c>
      <c r="G20" t="s">
        <v>193</v>
      </c>
      <c r="H20" t="s">
        <v>280</v>
      </c>
      <c r="I20" t="s">
        <v>172</v>
      </c>
      <c r="J20" t="s">
        <v>195</v>
      </c>
      <c r="K20">
        <v>660</v>
      </c>
      <c r="L20">
        <v>700</v>
      </c>
      <c r="M20" t="str">
        <f>VLOOKUP(A20,'csv import'!D:D,1,FALSE)</f>
        <v>BW01</v>
      </c>
    </row>
    <row r="21" spans="1:13">
      <c r="A21" t="s">
        <v>281</v>
      </c>
      <c r="B21" t="s">
        <v>279</v>
      </c>
      <c r="C21" t="s">
        <v>176</v>
      </c>
      <c r="D21" t="s">
        <v>167</v>
      </c>
      <c r="E21" t="s">
        <v>168</v>
      </c>
      <c r="F21" t="s">
        <v>169</v>
      </c>
      <c r="G21" t="s">
        <v>193</v>
      </c>
      <c r="H21" t="s">
        <v>280</v>
      </c>
      <c r="I21" t="s">
        <v>172</v>
      </c>
      <c r="J21" t="s">
        <v>195</v>
      </c>
      <c r="K21">
        <v>660</v>
      </c>
      <c r="L21">
        <v>700</v>
      </c>
      <c r="M21" t="str">
        <f>VLOOKUP(A21,'csv import'!D:D,1,FALSE)</f>
        <v>BW02</v>
      </c>
    </row>
    <row r="22" spans="1:13">
      <c r="A22" t="s">
        <v>282</v>
      </c>
      <c r="B22" t="s">
        <v>279</v>
      </c>
      <c r="C22" t="s">
        <v>176</v>
      </c>
      <c r="D22" t="s">
        <v>167</v>
      </c>
      <c r="E22" t="s">
        <v>168</v>
      </c>
      <c r="F22" t="s">
        <v>169</v>
      </c>
      <c r="G22" t="s">
        <v>193</v>
      </c>
      <c r="H22" t="s">
        <v>280</v>
      </c>
      <c r="I22" t="s">
        <v>172</v>
      </c>
      <c r="J22" t="s">
        <v>195</v>
      </c>
      <c r="K22">
        <v>660</v>
      </c>
      <c r="L22">
        <v>700</v>
      </c>
      <c r="M22" t="str">
        <f>VLOOKUP(A22,'csv import'!D:D,1,FALSE)</f>
        <v>BW03</v>
      </c>
    </row>
    <row r="23" spans="1:13">
      <c r="A23" t="s">
        <v>283</v>
      </c>
      <c r="B23" t="s">
        <v>279</v>
      </c>
      <c r="C23" t="s">
        <v>176</v>
      </c>
      <c r="D23" t="s">
        <v>167</v>
      </c>
      <c r="E23" t="s">
        <v>168</v>
      </c>
      <c r="F23" t="s">
        <v>169</v>
      </c>
      <c r="G23" t="s">
        <v>193</v>
      </c>
      <c r="H23" t="s">
        <v>280</v>
      </c>
      <c r="I23" t="s">
        <v>172</v>
      </c>
      <c r="J23" t="s">
        <v>195</v>
      </c>
      <c r="K23">
        <v>660</v>
      </c>
      <c r="L23">
        <v>700</v>
      </c>
      <c r="M23" t="str">
        <f>VLOOKUP(A23,'csv import'!D:D,1,FALSE)</f>
        <v>BW04</v>
      </c>
    </row>
    <row r="24" spans="1:13">
      <c r="A24" t="s">
        <v>230</v>
      </c>
      <c r="B24" t="s">
        <v>231</v>
      </c>
      <c r="C24" t="s">
        <v>227</v>
      </c>
      <c r="D24" t="s">
        <v>167</v>
      </c>
      <c r="E24" t="s">
        <v>168</v>
      </c>
      <c r="F24" t="s">
        <v>177</v>
      </c>
      <c r="G24" t="s">
        <v>188</v>
      </c>
      <c r="H24" t="s">
        <v>188</v>
      </c>
      <c r="I24" t="s">
        <v>172</v>
      </c>
      <c r="J24" t="s">
        <v>179</v>
      </c>
      <c r="K24">
        <v>75</v>
      </c>
      <c r="L24">
        <v>75</v>
      </c>
      <c r="M24" t="str">
        <f>VLOOKUP(A24,final!D:D,1,FALSE)</f>
        <v>BBDISEL1</v>
      </c>
    </row>
    <row r="25" spans="1:13">
      <c r="A25" t="s">
        <v>232</v>
      </c>
      <c r="B25" t="s">
        <v>233</v>
      </c>
      <c r="C25" t="s">
        <v>227</v>
      </c>
      <c r="D25" t="s">
        <v>167</v>
      </c>
      <c r="E25" t="s">
        <v>168</v>
      </c>
      <c r="F25" t="s">
        <v>169</v>
      </c>
      <c r="G25" t="s">
        <v>170</v>
      </c>
      <c r="H25" t="s">
        <v>171</v>
      </c>
      <c r="I25" t="s">
        <v>172</v>
      </c>
      <c r="J25" t="s">
        <v>185</v>
      </c>
      <c r="K25">
        <v>35</v>
      </c>
      <c r="L25">
        <v>49</v>
      </c>
      <c r="M25" t="str">
        <f>VLOOKUP(A25,'csv import'!D:D,1,FALSE)</f>
        <v>BBTHREE1</v>
      </c>
    </row>
    <row r="26" spans="1:13">
      <c r="A26" t="s">
        <v>234</v>
      </c>
      <c r="B26" t="s">
        <v>233</v>
      </c>
      <c r="C26" t="s">
        <v>227</v>
      </c>
      <c r="D26" t="s">
        <v>167</v>
      </c>
      <c r="E26" t="s">
        <v>168</v>
      </c>
      <c r="F26" t="s">
        <v>169</v>
      </c>
      <c r="G26" t="s">
        <v>170</v>
      </c>
      <c r="H26" t="s">
        <v>171</v>
      </c>
      <c r="I26" t="s">
        <v>172</v>
      </c>
      <c r="J26" t="s">
        <v>185</v>
      </c>
      <c r="K26">
        <v>35</v>
      </c>
      <c r="L26">
        <v>49</v>
      </c>
      <c r="M26" t="str">
        <f>VLOOKUP(A26,'csv import'!D:D,1,FALSE)</f>
        <v>BBTHREE2</v>
      </c>
    </row>
    <row r="27" spans="1:13">
      <c r="A27" t="s">
        <v>235</v>
      </c>
      <c r="B27" t="s">
        <v>233</v>
      </c>
      <c r="C27" t="s">
        <v>227</v>
      </c>
      <c r="D27" t="s">
        <v>167</v>
      </c>
      <c r="E27" t="s">
        <v>168</v>
      </c>
      <c r="F27" t="s">
        <v>169</v>
      </c>
      <c r="G27" t="s">
        <v>170</v>
      </c>
      <c r="H27" t="s">
        <v>171</v>
      </c>
      <c r="I27" t="s">
        <v>172</v>
      </c>
      <c r="J27" t="s">
        <v>185</v>
      </c>
      <c r="K27">
        <v>35</v>
      </c>
      <c r="L27">
        <v>49</v>
      </c>
      <c r="M27" t="str">
        <f>VLOOKUP(A27,'csv import'!D:D,1,FALSE)</f>
        <v>BBTHREE3</v>
      </c>
    </row>
    <row r="28" spans="1:13">
      <c r="A28" t="s">
        <v>620</v>
      </c>
      <c r="B28" t="s">
        <v>621</v>
      </c>
      <c r="C28" t="s">
        <v>176</v>
      </c>
      <c r="D28" t="s">
        <v>167</v>
      </c>
      <c r="E28" t="s">
        <v>168</v>
      </c>
      <c r="F28" t="s">
        <v>169</v>
      </c>
      <c r="G28" t="s">
        <v>210</v>
      </c>
      <c r="H28" t="s">
        <v>211</v>
      </c>
      <c r="I28" t="s">
        <v>199</v>
      </c>
      <c r="J28" t="s">
        <v>212</v>
      </c>
      <c r="K28">
        <v>240</v>
      </c>
      <c r="L28">
        <v>240</v>
      </c>
      <c r="M28" t="str">
        <f>VLOOKUP(A28,'csv import'!D:D,1,FALSE)</f>
        <v>SHGEN</v>
      </c>
    </row>
    <row r="29" spans="1:13">
      <c r="A29" t="s">
        <v>620</v>
      </c>
      <c r="B29" t="s">
        <v>621</v>
      </c>
      <c r="C29" t="s">
        <v>176</v>
      </c>
      <c r="D29" t="s">
        <v>622</v>
      </c>
      <c r="E29" t="s">
        <v>168</v>
      </c>
      <c r="F29" t="s">
        <v>169</v>
      </c>
      <c r="G29" t="s">
        <v>210</v>
      </c>
      <c r="H29" t="s">
        <v>211</v>
      </c>
      <c r="I29" t="s">
        <v>199</v>
      </c>
      <c r="J29" t="s">
        <v>212</v>
      </c>
      <c r="K29">
        <v>240</v>
      </c>
      <c r="L29">
        <v>240</v>
      </c>
      <c r="M29" t="str">
        <f>VLOOKUP(A29,final!D:D,1,FALSE)</f>
        <v>SHGEN</v>
      </c>
    </row>
    <row r="30" spans="1:13">
      <c r="A30" t="s">
        <v>623</v>
      </c>
      <c r="B30" t="s">
        <v>624</v>
      </c>
      <c r="C30" t="s">
        <v>176</v>
      </c>
      <c r="D30" t="s">
        <v>587</v>
      </c>
      <c r="E30" t="s">
        <v>168</v>
      </c>
      <c r="F30" t="s">
        <v>169</v>
      </c>
      <c r="K30">
        <v>240</v>
      </c>
      <c r="L30">
        <v>240</v>
      </c>
      <c r="M30" t="str">
        <f>VLOOKUP(A30,'csv import'!D:D,1,FALSE)</f>
        <v>SHPUMP</v>
      </c>
    </row>
    <row r="31" spans="1:13">
      <c r="A31" t="s">
        <v>241</v>
      </c>
      <c r="B31" t="s">
        <v>242</v>
      </c>
      <c r="C31" t="s">
        <v>176</v>
      </c>
      <c r="D31" t="s">
        <v>167</v>
      </c>
      <c r="E31" t="s">
        <v>168</v>
      </c>
      <c r="F31" t="s">
        <v>169</v>
      </c>
      <c r="G31" t="s">
        <v>210</v>
      </c>
      <c r="H31" t="s">
        <v>211</v>
      </c>
      <c r="I31" t="s">
        <v>199</v>
      </c>
      <c r="J31" t="s">
        <v>212</v>
      </c>
      <c r="K31">
        <v>70</v>
      </c>
      <c r="L31">
        <v>80</v>
      </c>
      <c r="M31" t="str">
        <f>VLOOKUP(A31,'csv import'!D:D,1,FALSE)</f>
        <v>BLOWERNG</v>
      </c>
    </row>
    <row r="32" spans="1:13" hidden="1">
      <c r="A32" t="s">
        <v>245</v>
      </c>
      <c r="B32" t="s">
        <v>246</v>
      </c>
      <c r="C32" t="s">
        <v>166</v>
      </c>
      <c r="D32" t="s">
        <v>167</v>
      </c>
      <c r="E32" t="s">
        <v>168</v>
      </c>
      <c r="F32" t="s">
        <v>177</v>
      </c>
      <c r="G32" t="s">
        <v>188</v>
      </c>
      <c r="H32" t="s">
        <v>188</v>
      </c>
      <c r="I32" t="s">
        <v>172</v>
      </c>
      <c r="J32" t="s">
        <v>179</v>
      </c>
      <c r="K32">
        <v>1</v>
      </c>
      <c r="L32">
        <v>1</v>
      </c>
      <c r="M32" t="e">
        <f>VLOOKUP(A32,final!D:D,1,FALSE)</f>
        <v>#N/A</v>
      </c>
    </row>
    <row r="33" spans="1:13">
      <c r="A33" t="s">
        <v>247</v>
      </c>
      <c r="B33" t="s">
        <v>248</v>
      </c>
      <c r="C33" t="s">
        <v>176</v>
      </c>
      <c r="D33" t="s">
        <v>167</v>
      </c>
      <c r="E33" t="s">
        <v>168</v>
      </c>
      <c r="F33" t="s">
        <v>197</v>
      </c>
      <c r="G33" t="s">
        <v>198</v>
      </c>
      <c r="H33" t="s">
        <v>198</v>
      </c>
      <c r="I33" t="s">
        <v>199</v>
      </c>
      <c r="J33" t="s">
        <v>200</v>
      </c>
      <c r="K33">
        <v>98.6</v>
      </c>
      <c r="L33">
        <v>98.6</v>
      </c>
      <c r="M33" t="str">
        <f>VLOOKUP(A33,'csv import'!D:D,1,FALSE)</f>
        <v>BOCORWF1</v>
      </c>
    </row>
    <row r="34" spans="1:13">
      <c r="A34" t="s">
        <v>501</v>
      </c>
      <c r="B34" t="s">
        <v>502</v>
      </c>
      <c r="C34" t="s">
        <v>184</v>
      </c>
      <c r="D34" t="s">
        <v>167</v>
      </c>
      <c r="E34" t="s">
        <v>168</v>
      </c>
      <c r="F34" t="s">
        <v>169</v>
      </c>
      <c r="G34" t="s">
        <v>210</v>
      </c>
      <c r="H34" t="s">
        <v>211</v>
      </c>
      <c r="I34" t="s">
        <v>199</v>
      </c>
      <c r="J34" t="s">
        <v>212</v>
      </c>
      <c r="K34">
        <v>300</v>
      </c>
      <c r="L34">
        <v>300</v>
      </c>
      <c r="M34" t="str">
        <f>VLOOKUP(A34,'csv import'!D:D,1,FALSE)</f>
        <v>MCKAY1</v>
      </c>
    </row>
    <row r="35" spans="1:13">
      <c r="A35" t="s">
        <v>260</v>
      </c>
      <c r="B35" t="s">
        <v>261</v>
      </c>
      <c r="C35" t="s">
        <v>215</v>
      </c>
      <c r="D35" t="s">
        <v>167</v>
      </c>
      <c r="E35" t="s">
        <v>168</v>
      </c>
      <c r="F35" t="s">
        <v>169</v>
      </c>
      <c r="G35" t="s">
        <v>170</v>
      </c>
      <c r="H35" t="s">
        <v>257</v>
      </c>
      <c r="I35" t="s">
        <v>172</v>
      </c>
      <c r="J35" t="s">
        <v>185</v>
      </c>
      <c r="K35">
        <v>173</v>
      </c>
      <c r="L35">
        <v>173</v>
      </c>
      <c r="M35" t="str">
        <f>VLOOKUP(A35,'csv import'!D:D,1,FALSE)</f>
        <v>BRAEMAR5</v>
      </c>
    </row>
    <row r="36" spans="1:13">
      <c r="A36" t="s">
        <v>262</v>
      </c>
      <c r="B36" t="s">
        <v>261</v>
      </c>
      <c r="C36" t="s">
        <v>215</v>
      </c>
      <c r="D36" t="s">
        <v>167</v>
      </c>
      <c r="E36" t="s">
        <v>168</v>
      </c>
      <c r="F36" t="s">
        <v>169</v>
      </c>
      <c r="G36" t="s">
        <v>170</v>
      </c>
      <c r="H36" t="s">
        <v>257</v>
      </c>
      <c r="I36" t="s">
        <v>172</v>
      </c>
      <c r="J36" t="s">
        <v>185</v>
      </c>
      <c r="K36">
        <v>173</v>
      </c>
      <c r="L36">
        <v>173</v>
      </c>
      <c r="M36" t="str">
        <f>VLOOKUP(A36,'csv import'!D:D,1,FALSE)</f>
        <v>BRAEMAR6</v>
      </c>
    </row>
    <row r="37" spans="1:13">
      <c r="A37" t="s">
        <v>263</v>
      </c>
      <c r="B37" t="s">
        <v>261</v>
      </c>
      <c r="C37" t="s">
        <v>215</v>
      </c>
      <c r="D37" t="s">
        <v>167</v>
      </c>
      <c r="E37" t="s">
        <v>168</v>
      </c>
      <c r="F37" t="s">
        <v>169</v>
      </c>
      <c r="G37" t="s">
        <v>170</v>
      </c>
      <c r="H37" t="s">
        <v>257</v>
      </c>
      <c r="I37" t="s">
        <v>172</v>
      </c>
      <c r="J37" t="s">
        <v>185</v>
      </c>
      <c r="K37">
        <v>173</v>
      </c>
      <c r="L37">
        <v>173</v>
      </c>
      <c r="M37" t="str">
        <f>VLOOKUP(A37,'csv import'!D:D,1,FALSE)</f>
        <v>BRAEMAR7</v>
      </c>
    </row>
    <row r="38" spans="1:13">
      <c r="A38" t="s">
        <v>255</v>
      </c>
      <c r="B38" t="s">
        <v>256</v>
      </c>
      <c r="C38" t="s">
        <v>215</v>
      </c>
      <c r="D38" t="s">
        <v>167</v>
      </c>
      <c r="E38" t="s">
        <v>168</v>
      </c>
      <c r="F38" t="s">
        <v>169</v>
      </c>
      <c r="G38" t="s">
        <v>170</v>
      </c>
      <c r="H38" t="s">
        <v>257</v>
      </c>
      <c r="I38" t="s">
        <v>172</v>
      </c>
      <c r="J38" t="s">
        <v>185</v>
      </c>
      <c r="K38">
        <v>168</v>
      </c>
      <c r="L38">
        <v>173</v>
      </c>
      <c r="M38" t="str">
        <f>VLOOKUP(A38,'csv import'!D:D,1,FALSE)</f>
        <v>BRAEMAR1</v>
      </c>
    </row>
    <row r="39" spans="1:13">
      <c r="A39" t="s">
        <v>258</v>
      </c>
      <c r="B39" t="s">
        <v>256</v>
      </c>
      <c r="C39" t="s">
        <v>215</v>
      </c>
      <c r="D39" t="s">
        <v>167</v>
      </c>
      <c r="E39" t="s">
        <v>168</v>
      </c>
      <c r="F39" t="s">
        <v>169</v>
      </c>
      <c r="G39" t="s">
        <v>170</v>
      </c>
      <c r="H39" t="s">
        <v>257</v>
      </c>
      <c r="I39" t="s">
        <v>172</v>
      </c>
      <c r="J39" t="s">
        <v>185</v>
      </c>
      <c r="K39">
        <v>168</v>
      </c>
      <c r="L39">
        <v>173</v>
      </c>
      <c r="M39" t="str">
        <f>VLOOKUP(A39,'csv import'!D:D,1,FALSE)</f>
        <v>BRAEMAR2</v>
      </c>
    </row>
    <row r="40" spans="1:13">
      <c r="A40" t="s">
        <v>259</v>
      </c>
      <c r="B40" t="s">
        <v>256</v>
      </c>
      <c r="C40" t="s">
        <v>215</v>
      </c>
      <c r="D40" t="s">
        <v>167</v>
      </c>
      <c r="E40" t="s">
        <v>168</v>
      </c>
      <c r="F40" t="s">
        <v>169</v>
      </c>
      <c r="G40" t="s">
        <v>170</v>
      </c>
      <c r="H40" t="s">
        <v>257</v>
      </c>
      <c r="I40" t="s">
        <v>172</v>
      </c>
      <c r="J40" t="s">
        <v>185</v>
      </c>
      <c r="K40">
        <v>168</v>
      </c>
      <c r="L40">
        <v>173</v>
      </c>
      <c r="M40" t="str">
        <f>VLOOKUP(A40,'csv import'!D:D,1,FALSE)</f>
        <v>BRAEMAR3</v>
      </c>
    </row>
    <row r="41" spans="1:13" hidden="1">
      <c r="A41" t="s">
        <v>264</v>
      </c>
      <c r="B41" t="s">
        <v>265</v>
      </c>
      <c r="C41" t="s">
        <v>184</v>
      </c>
      <c r="D41" t="s">
        <v>167</v>
      </c>
      <c r="E41" t="s">
        <v>168</v>
      </c>
      <c r="F41" t="s">
        <v>177</v>
      </c>
      <c r="G41" t="s">
        <v>170</v>
      </c>
      <c r="H41" t="s">
        <v>178</v>
      </c>
      <c r="I41" t="s">
        <v>172</v>
      </c>
      <c r="J41" t="s">
        <v>254</v>
      </c>
      <c r="K41">
        <v>5</v>
      </c>
      <c r="L41">
        <v>5</v>
      </c>
      <c r="M41" t="e">
        <f>VLOOKUP(A41,final!D:D,1,FALSE)</f>
        <v>#N/A</v>
      </c>
    </row>
    <row r="42" spans="1:13">
      <c r="A42" t="s">
        <v>284</v>
      </c>
      <c r="B42" t="s">
        <v>285</v>
      </c>
      <c r="C42" t="s">
        <v>176</v>
      </c>
      <c r="D42" t="s">
        <v>167</v>
      </c>
      <c r="E42" t="s">
        <v>168</v>
      </c>
      <c r="F42" t="s">
        <v>177</v>
      </c>
      <c r="G42" t="s">
        <v>286</v>
      </c>
      <c r="H42" t="s">
        <v>287</v>
      </c>
      <c r="I42" t="s">
        <v>172</v>
      </c>
      <c r="J42" t="s">
        <v>195</v>
      </c>
      <c r="K42">
        <v>38</v>
      </c>
      <c r="L42">
        <v>38</v>
      </c>
      <c r="M42" t="str">
        <f>VLOOKUP(A42,final!D:D,1,FALSE)</f>
        <v>BWTR1</v>
      </c>
    </row>
    <row r="43" spans="1:13">
      <c r="A43" t="s">
        <v>368</v>
      </c>
      <c r="B43" t="s">
        <v>369</v>
      </c>
      <c r="C43" t="s">
        <v>176</v>
      </c>
      <c r="D43" t="s">
        <v>167</v>
      </c>
      <c r="E43" t="s">
        <v>168</v>
      </c>
      <c r="F43" t="s">
        <v>177</v>
      </c>
      <c r="G43" t="s">
        <v>188</v>
      </c>
      <c r="H43" t="s">
        <v>188</v>
      </c>
      <c r="I43" t="s">
        <v>172</v>
      </c>
      <c r="J43" t="s">
        <v>185</v>
      </c>
      <c r="K43">
        <v>50</v>
      </c>
      <c r="L43">
        <v>50</v>
      </c>
      <c r="M43" t="str">
        <f>VLOOKUP(A43,'csv import'!D:D,1,FALSE)</f>
        <v>GB01</v>
      </c>
    </row>
    <row r="44" spans="1:13">
      <c r="A44" t="s">
        <v>266</v>
      </c>
      <c r="B44" t="s">
        <v>267</v>
      </c>
      <c r="C44" t="s">
        <v>176</v>
      </c>
      <c r="D44" t="s">
        <v>167</v>
      </c>
      <c r="E44" t="s">
        <v>168</v>
      </c>
      <c r="F44" t="s">
        <v>197</v>
      </c>
      <c r="G44" t="s">
        <v>219</v>
      </c>
      <c r="H44" t="s">
        <v>219</v>
      </c>
      <c r="I44" t="s">
        <v>199</v>
      </c>
      <c r="J44" t="s">
        <v>268</v>
      </c>
      <c r="K44">
        <v>53.76</v>
      </c>
      <c r="L44">
        <v>53.76</v>
      </c>
      <c r="M44" t="str">
        <f>VLOOKUP(A44,final!D:D,1,FALSE)</f>
        <v>BROKENH1</v>
      </c>
    </row>
    <row r="45" spans="1:13" hidden="1">
      <c r="A45" t="s">
        <v>269</v>
      </c>
      <c r="B45" t="s">
        <v>270</v>
      </c>
      <c r="C45" t="s">
        <v>184</v>
      </c>
      <c r="D45" t="s">
        <v>167</v>
      </c>
      <c r="E45" t="s">
        <v>168</v>
      </c>
      <c r="F45" t="s">
        <v>177</v>
      </c>
      <c r="G45" t="s">
        <v>170</v>
      </c>
      <c r="H45" t="s">
        <v>178</v>
      </c>
      <c r="I45" t="s">
        <v>172</v>
      </c>
      <c r="J45" t="s">
        <v>271</v>
      </c>
      <c r="K45">
        <v>2.83</v>
      </c>
      <c r="L45">
        <v>2.83</v>
      </c>
      <c r="M45" t="e">
        <f>VLOOKUP(A45,final!D:D,1,FALSE)</f>
        <v>#N/A</v>
      </c>
    </row>
    <row r="46" spans="1:13" hidden="1">
      <c r="A46" t="s">
        <v>272</v>
      </c>
      <c r="B46" t="s">
        <v>273</v>
      </c>
      <c r="C46" t="s">
        <v>176</v>
      </c>
      <c r="D46" t="s">
        <v>167</v>
      </c>
      <c r="E46" t="s">
        <v>168</v>
      </c>
      <c r="F46" t="s">
        <v>177</v>
      </c>
      <c r="G46" t="s">
        <v>210</v>
      </c>
      <c r="H46" t="s">
        <v>211</v>
      </c>
      <c r="I46" t="s">
        <v>199</v>
      </c>
      <c r="J46" t="s">
        <v>212</v>
      </c>
      <c r="K46">
        <v>4.95</v>
      </c>
      <c r="L46">
        <v>6</v>
      </c>
      <c r="M46" t="e">
        <f>VLOOKUP(A46,final!D:D,1,FALSE)</f>
        <v>#N/A</v>
      </c>
    </row>
    <row r="47" spans="1:13" hidden="1">
      <c r="A47" t="s">
        <v>252</v>
      </c>
      <c r="B47" t="s">
        <v>253</v>
      </c>
      <c r="C47" t="s">
        <v>215</v>
      </c>
      <c r="D47" t="s">
        <v>167</v>
      </c>
      <c r="E47" t="s">
        <v>168</v>
      </c>
      <c r="F47" t="s">
        <v>177</v>
      </c>
      <c r="G47" t="s">
        <v>170</v>
      </c>
      <c r="H47" t="s">
        <v>178</v>
      </c>
      <c r="I47" t="s">
        <v>172</v>
      </c>
      <c r="J47" t="s">
        <v>254</v>
      </c>
      <c r="K47">
        <v>2.1800000000000002</v>
      </c>
      <c r="L47">
        <v>2.1800000000000002</v>
      </c>
      <c r="M47" t="e">
        <f>VLOOKUP(A47,final!D:D,1,FALSE)</f>
        <v>#N/A</v>
      </c>
    </row>
    <row r="48" spans="1:13">
      <c r="A48" t="s">
        <v>239</v>
      </c>
      <c r="B48" t="s">
        <v>240</v>
      </c>
      <c r="C48" t="s">
        <v>176</v>
      </c>
      <c r="D48" t="s">
        <v>167</v>
      </c>
      <c r="E48" t="s">
        <v>168</v>
      </c>
      <c r="F48" t="s">
        <v>177</v>
      </c>
      <c r="G48" t="s">
        <v>210</v>
      </c>
      <c r="H48" t="s">
        <v>211</v>
      </c>
      <c r="I48" t="s">
        <v>199</v>
      </c>
      <c r="J48" t="s">
        <v>212</v>
      </c>
      <c r="K48">
        <v>19</v>
      </c>
      <c r="L48">
        <v>19</v>
      </c>
      <c r="M48" t="str">
        <f>VLOOKUP(A48,final!D:D,1,FALSE)</f>
        <v>BDONGHYD</v>
      </c>
    </row>
    <row r="49" spans="1:13">
      <c r="A49" t="s">
        <v>274</v>
      </c>
      <c r="B49" t="s">
        <v>275</v>
      </c>
      <c r="C49" t="s">
        <v>176</v>
      </c>
      <c r="D49" t="s">
        <v>167</v>
      </c>
      <c r="E49" t="s">
        <v>168</v>
      </c>
      <c r="F49" t="s">
        <v>177</v>
      </c>
      <c r="G49" t="s">
        <v>210</v>
      </c>
      <c r="H49" t="s">
        <v>211</v>
      </c>
      <c r="I49" t="s">
        <v>199</v>
      </c>
      <c r="J49" t="s">
        <v>212</v>
      </c>
      <c r="K49">
        <v>27</v>
      </c>
      <c r="L49">
        <v>28</v>
      </c>
      <c r="M49" t="str">
        <f>VLOOKUP(A49,'csv import'!D:D,1,FALSE)</f>
        <v>BURRIN</v>
      </c>
    </row>
    <row r="50" spans="1:13">
      <c r="A50" t="s">
        <v>276</v>
      </c>
      <c r="B50" t="s">
        <v>277</v>
      </c>
      <c r="C50" t="s">
        <v>227</v>
      </c>
      <c r="D50" t="s">
        <v>167</v>
      </c>
      <c r="E50" t="s">
        <v>168</v>
      </c>
      <c r="F50" t="s">
        <v>177</v>
      </c>
      <c r="G50" t="s">
        <v>210</v>
      </c>
      <c r="H50" t="s">
        <v>211</v>
      </c>
      <c r="I50" t="s">
        <v>199</v>
      </c>
      <c r="J50" t="s">
        <v>212</v>
      </c>
      <c r="K50">
        <v>14.4</v>
      </c>
      <c r="L50">
        <v>15</v>
      </c>
      <c r="M50" t="str">
        <f>VLOOKUP(A50,'csv import'!D:D,1,FALSE)</f>
        <v>BUTLERSG</v>
      </c>
    </row>
    <row r="51" spans="1:13">
      <c r="A51" t="s">
        <v>288</v>
      </c>
      <c r="B51" t="s">
        <v>289</v>
      </c>
      <c r="C51" t="s">
        <v>215</v>
      </c>
      <c r="D51" t="s">
        <v>167</v>
      </c>
      <c r="E51" t="s">
        <v>168</v>
      </c>
      <c r="F51" t="s">
        <v>177</v>
      </c>
      <c r="G51" t="s">
        <v>193</v>
      </c>
      <c r="H51" t="s">
        <v>280</v>
      </c>
      <c r="I51" t="s">
        <v>172</v>
      </c>
      <c r="J51" t="s">
        <v>195</v>
      </c>
      <c r="K51">
        <v>30</v>
      </c>
      <c r="L51">
        <v>30</v>
      </c>
      <c r="M51" t="str">
        <f>VLOOKUP(A51,'csv import'!D:D,1,FALSE)</f>
        <v>CALL_A_4</v>
      </c>
    </row>
    <row r="52" spans="1:13">
      <c r="A52" t="s">
        <v>290</v>
      </c>
      <c r="B52" t="s">
        <v>291</v>
      </c>
      <c r="C52" t="s">
        <v>215</v>
      </c>
      <c r="D52" t="s">
        <v>167</v>
      </c>
      <c r="E52" t="s">
        <v>168</v>
      </c>
      <c r="F52" t="s">
        <v>169</v>
      </c>
      <c r="G52" t="s">
        <v>193</v>
      </c>
      <c r="H52" t="s">
        <v>280</v>
      </c>
      <c r="I52" t="s">
        <v>172</v>
      </c>
      <c r="J52" t="s">
        <v>195</v>
      </c>
      <c r="K52">
        <v>350</v>
      </c>
      <c r="L52">
        <v>385</v>
      </c>
      <c r="M52" t="str">
        <f>VLOOKUP(A52,'csv import'!D:D,1,FALSE)</f>
        <v>CALL_B_1</v>
      </c>
    </row>
    <row r="53" spans="1:13">
      <c r="A53" t="s">
        <v>292</v>
      </c>
      <c r="B53" t="s">
        <v>291</v>
      </c>
      <c r="C53" t="s">
        <v>215</v>
      </c>
      <c r="D53" t="s">
        <v>167</v>
      </c>
      <c r="E53" t="s">
        <v>168</v>
      </c>
      <c r="F53" t="s">
        <v>169</v>
      </c>
      <c r="G53" t="s">
        <v>193</v>
      </c>
      <c r="H53" t="s">
        <v>280</v>
      </c>
      <c r="I53" t="s">
        <v>172</v>
      </c>
      <c r="J53" t="s">
        <v>195</v>
      </c>
      <c r="K53">
        <v>350</v>
      </c>
      <c r="L53">
        <v>385</v>
      </c>
      <c r="M53" t="str">
        <f>VLOOKUP(A53,'csv import'!D:D,1,FALSE)</f>
        <v>CALL_B_2</v>
      </c>
    </row>
    <row r="54" spans="1:13">
      <c r="A54" t="s">
        <v>332</v>
      </c>
      <c r="B54" t="s">
        <v>333</v>
      </c>
      <c r="C54" t="s">
        <v>215</v>
      </c>
      <c r="D54" t="s">
        <v>167</v>
      </c>
      <c r="E54" t="s">
        <v>168</v>
      </c>
      <c r="F54" t="s">
        <v>169</v>
      </c>
      <c r="G54" t="s">
        <v>193</v>
      </c>
      <c r="H54" t="s">
        <v>280</v>
      </c>
      <c r="I54" t="s">
        <v>172</v>
      </c>
      <c r="J54" t="s">
        <v>334</v>
      </c>
      <c r="K54">
        <v>420</v>
      </c>
      <c r="L54">
        <v>500</v>
      </c>
      <c r="M54" t="str">
        <f>VLOOKUP(A54,'csv import'!D:D,1,FALSE)</f>
        <v>CPP_3</v>
      </c>
    </row>
    <row r="55" spans="1:13">
      <c r="A55" t="s">
        <v>335</v>
      </c>
      <c r="B55" t="s">
        <v>333</v>
      </c>
      <c r="C55" t="s">
        <v>215</v>
      </c>
      <c r="D55" t="s">
        <v>167</v>
      </c>
      <c r="E55" t="s">
        <v>168</v>
      </c>
      <c r="F55" t="s">
        <v>169</v>
      </c>
      <c r="G55" t="s">
        <v>193</v>
      </c>
      <c r="H55" t="s">
        <v>280</v>
      </c>
      <c r="I55" t="s">
        <v>172</v>
      </c>
      <c r="J55" t="s">
        <v>334</v>
      </c>
      <c r="K55">
        <v>420</v>
      </c>
      <c r="L55">
        <v>500</v>
      </c>
      <c r="M55" t="str">
        <f>VLOOKUP(A55,'csv import'!D:D,1,FALSE)</f>
        <v>CPP_4</v>
      </c>
    </row>
    <row r="56" spans="1:13">
      <c r="A56" t="s">
        <v>322</v>
      </c>
      <c r="B56" t="s">
        <v>323</v>
      </c>
      <c r="C56" t="s">
        <v>166</v>
      </c>
      <c r="D56" t="s">
        <v>167</v>
      </c>
      <c r="E56" t="s">
        <v>168</v>
      </c>
      <c r="F56" t="s">
        <v>177</v>
      </c>
      <c r="G56" t="s">
        <v>198</v>
      </c>
      <c r="H56" t="s">
        <v>198</v>
      </c>
      <c r="I56" t="s">
        <v>199</v>
      </c>
      <c r="J56" t="s">
        <v>200</v>
      </c>
      <c r="K56">
        <v>46</v>
      </c>
      <c r="L56">
        <v>46</v>
      </c>
      <c r="M56" t="str">
        <f>VLOOKUP(A56,'csv import'!D:D,1,FALSE)</f>
        <v>CNUNDAWF</v>
      </c>
    </row>
    <row r="57" spans="1:13" hidden="1">
      <c r="A57" t="s">
        <v>301</v>
      </c>
      <c r="B57" t="s">
        <v>302</v>
      </c>
      <c r="C57" t="s">
        <v>176</v>
      </c>
      <c r="D57" t="s">
        <v>167</v>
      </c>
      <c r="E57" t="s">
        <v>168</v>
      </c>
      <c r="F57" t="s">
        <v>177</v>
      </c>
      <c r="G57" t="s">
        <v>219</v>
      </c>
      <c r="H57" t="s">
        <v>219</v>
      </c>
      <c r="I57" t="s">
        <v>199</v>
      </c>
      <c r="J57" t="s">
        <v>303</v>
      </c>
      <c r="K57">
        <v>1</v>
      </c>
      <c r="L57">
        <v>1</v>
      </c>
      <c r="M57" t="e">
        <f>VLOOKUP(A57,final!D:D,1,FALSE)</f>
        <v>#N/A</v>
      </c>
    </row>
    <row r="58" spans="1:13">
      <c r="A58" t="s">
        <v>293</v>
      </c>
      <c r="B58" t="s">
        <v>294</v>
      </c>
      <c r="C58" t="s">
        <v>176</v>
      </c>
      <c r="D58" t="s">
        <v>167</v>
      </c>
      <c r="E58" t="s">
        <v>168</v>
      </c>
      <c r="F58" t="s">
        <v>177</v>
      </c>
      <c r="G58" t="s">
        <v>198</v>
      </c>
      <c r="H58" t="s">
        <v>198</v>
      </c>
      <c r="I58" t="s">
        <v>199</v>
      </c>
      <c r="J58" t="s">
        <v>200</v>
      </c>
      <c r="K58">
        <v>140</v>
      </c>
      <c r="L58">
        <v>140</v>
      </c>
      <c r="M58" t="str">
        <f>VLOOKUP(A58,'csv import'!D:D,1,FALSE)</f>
        <v>CAPTL_WF</v>
      </c>
    </row>
    <row r="59" spans="1:13">
      <c r="A59" t="s">
        <v>467</v>
      </c>
      <c r="B59" t="s">
        <v>468</v>
      </c>
      <c r="C59" t="s">
        <v>227</v>
      </c>
      <c r="D59" t="s">
        <v>167</v>
      </c>
      <c r="E59" t="s">
        <v>168</v>
      </c>
      <c r="F59" t="s">
        <v>169</v>
      </c>
      <c r="G59" t="s">
        <v>210</v>
      </c>
      <c r="H59" t="s">
        <v>211</v>
      </c>
      <c r="I59" t="s">
        <v>199</v>
      </c>
      <c r="J59" t="s">
        <v>212</v>
      </c>
      <c r="K59">
        <v>170.1</v>
      </c>
      <c r="L59">
        <v>183</v>
      </c>
      <c r="M59" t="str">
        <f>VLOOKUP(A59,'csv import'!D:D,1,FALSE)</f>
        <v>LI_WY_CA</v>
      </c>
    </row>
    <row r="60" spans="1:13">
      <c r="A60" t="s">
        <v>295</v>
      </c>
      <c r="B60" t="s">
        <v>296</v>
      </c>
      <c r="C60" t="s">
        <v>227</v>
      </c>
      <c r="D60" t="s">
        <v>167</v>
      </c>
      <c r="E60" t="s">
        <v>168</v>
      </c>
      <c r="F60" t="s">
        <v>177</v>
      </c>
      <c r="G60" t="s">
        <v>188</v>
      </c>
      <c r="H60" t="s">
        <v>188</v>
      </c>
      <c r="I60" t="s">
        <v>172</v>
      </c>
      <c r="J60" t="s">
        <v>179</v>
      </c>
      <c r="K60">
        <v>24</v>
      </c>
      <c r="L60">
        <v>24</v>
      </c>
      <c r="M60" t="str">
        <f>VLOOKUP(A60,final!D:D,1,FALSE)</f>
        <v>CATAGUN1</v>
      </c>
    </row>
    <row r="61" spans="1:13">
      <c r="A61" t="s">
        <v>297</v>
      </c>
      <c r="B61" t="s">
        <v>298</v>
      </c>
      <c r="C61" t="s">
        <v>166</v>
      </c>
      <c r="D61" t="s">
        <v>167</v>
      </c>
      <c r="E61" t="s">
        <v>168</v>
      </c>
      <c r="F61" t="s">
        <v>177</v>
      </c>
      <c r="G61" t="s">
        <v>198</v>
      </c>
      <c r="H61" t="s">
        <v>198</v>
      </c>
      <c r="I61" t="s">
        <v>199</v>
      </c>
      <c r="J61" t="s">
        <v>200</v>
      </c>
      <c r="K61">
        <v>66</v>
      </c>
      <c r="L61">
        <v>66</v>
      </c>
      <c r="M61" t="str">
        <f>VLOOKUP(A61,'csv import'!D:D,1,FALSE)</f>
        <v>CATHROCK</v>
      </c>
    </row>
    <row r="62" spans="1:13">
      <c r="A62" t="s">
        <v>304</v>
      </c>
      <c r="B62" t="s">
        <v>305</v>
      </c>
      <c r="C62" t="s">
        <v>227</v>
      </c>
      <c r="D62" t="s">
        <v>167</v>
      </c>
      <c r="E62" t="s">
        <v>168</v>
      </c>
      <c r="F62" t="s">
        <v>169</v>
      </c>
      <c r="G62" t="s">
        <v>210</v>
      </c>
      <c r="H62" t="s">
        <v>211</v>
      </c>
      <c r="I62" t="s">
        <v>199</v>
      </c>
      <c r="J62" t="s">
        <v>212</v>
      </c>
      <c r="K62">
        <v>85</v>
      </c>
      <c r="L62">
        <v>100</v>
      </c>
      <c r="M62" t="str">
        <f>VLOOKUP(A62,'csv import'!D:D,1,FALSE)</f>
        <v>CETHANA</v>
      </c>
    </row>
    <row r="63" spans="1:13">
      <c r="A63" t="s">
        <v>311</v>
      </c>
      <c r="B63" t="s">
        <v>312</v>
      </c>
      <c r="C63" t="s">
        <v>184</v>
      </c>
      <c r="D63" t="s">
        <v>167</v>
      </c>
      <c r="E63" t="s">
        <v>313</v>
      </c>
      <c r="F63" t="s">
        <v>177</v>
      </c>
      <c r="G63" t="s">
        <v>198</v>
      </c>
      <c r="H63" t="s">
        <v>198</v>
      </c>
      <c r="I63" t="s">
        <v>199</v>
      </c>
      <c r="J63" t="s">
        <v>200</v>
      </c>
      <c r="K63">
        <v>52.5</v>
      </c>
      <c r="L63">
        <v>53</v>
      </c>
      <c r="M63" t="str">
        <f>VLOOKUP(A63,'csv import'!D:D,1,FALSE)</f>
        <v>CHALLHWF</v>
      </c>
    </row>
    <row r="64" spans="1:13">
      <c r="A64" t="s">
        <v>314</v>
      </c>
      <c r="B64" t="s">
        <v>315</v>
      </c>
      <c r="C64" t="s">
        <v>184</v>
      </c>
      <c r="D64" t="s">
        <v>167</v>
      </c>
      <c r="E64" t="s">
        <v>168</v>
      </c>
      <c r="F64" t="s">
        <v>177</v>
      </c>
      <c r="G64" t="s">
        <v>170</v>
      </c>
      <c r="H64" t="s">
        <v>178</v>
      </c>
      <c r="I64" t="s">
        <v>172</v>
      </c>
      <c r="J64" t="s">
        <v>271</v>
      </c>
      <c r="K64">
        <v>11</v>
      </c>
      <c r="L64">
        <v>11</v>
      </c>
      <c r="M64" t="str">
        <f>VLOOKUP(A64,final!D:D,1,FALSE)</f>
        <v>CLAYTON</v>
      </c>
    </row>
    <row r="65" spans="1:13">
      <c r="A65" t="s">
        <v>316</v>
      </c>
      <c r="B65" t="s">
        <v>317</v>
      </c>
      <c r="C65" t="s">
        <v>166</v>
      </c>
      <c r="D65" t="s">
        <v>167</v>
      </c>
      <c r="E65" t="s">
        <v>168</v>
      </c>
      <c r="F65" t="s">
        <v>197</v>
      </c>
      <c r="G65" t="s">
        <v>198</v>
      </c>
      <c r="H65" t="s">
        <v>198</v>
      </c>
      <c r="I65" t="s">
        <v>199</v>
      </c>
      <c r="J65" t="s">
        <v>200</v>
      </c>
      <c r="K65">
        <v>57</v>
      </c>
      <c r="L65">
        <v>57</v>
      </c>
      <c r="M65" t="str">
        <f>VLOOKUP(A65,'csv import'!D:D,1,FALSE)</f>
        <v>CLEMGPWF</v>
      </c>
    </row>
    <row r="66" spans="1:13">
      <c r="A66" t="s">
        <v>318</v>
      </c>
      <c r="B66" t="s">
        <v>319</v>
      </c>
      <c r="C66" t="s">
        <v>184</v>
      </c>
      <c r="D66" t="s">
        <v>167</v>
      </c>
      <c r="E66" t="s">
        <v>168</v>
      </c>
      <c r="F66" t="s">
        <v>169</v>
      </c>
      <c r="G66" t="s">
        <v>210</v>
      </c>
      <c r="H66" t="s">
        <v>211</v>
      </c>
      <c r="I66" t="s">
        <v>199</v>
      </c>
      <c r="J66" t="s">
        <v>212</v>
      </c>
      <c r="K66">
        <v>30</v>
      </c>
      <c r="L66">
        <v>30</v>
      </c>
      <c r="M66" t="str">
        <f>VLOOKUP(A66,'csv import'!D:D,1,FALSE)</f>
        <v>CLOVER</v>
      </c>
    </row>
    <row r="67" spans="1:13">
      <c r="A67" t="s">
        <v>320</v>
      </c>
      <c r="B67" t="s">
        <v>321</v>
      </c>
      <c r="C67" t="s">
        <v>227</v>
      </c>
      <c r="D67" t="s">
        <v>167</v>
      </c>
      <c r="E67" t="s">
        <v>168</v>
      </c>
      <c r="F67" t="s">
        <v>177</v>
      </c>
      <c r="G67" t="s">
        <v>210</v>
      </c>
      <c r="H67" t="s">
        <v>211</v>
      </c>
      <c r="I67" t="s">
        <v>199</v>
      </c>
      <c r="J67" t="s">
        <v>212</v>
      </c>
      <c r="K67">
        <v>17</v>
      </c>
      <c r="L67">
        <v>19</v>
      </c>
      <c r="M67" t="str">
        <f>VLOOKUP(A67,'csv import'!D:D,1,FALSE)</f>
        <v>CLUNY</v>
      </c>
    </row>
    <row r="68" spans="1:13">
      <c r="A68" t="s">
        <v>324</v>
      </c>
      <c r="B68" t="s">
        <v>325</v>
      </c>
      <c r="C68" t="s">
        <v>184</v>
      </c>
      <c r="D68" t="s">
        <v>167</v>
      </c>
      <c r="E68" t="s">
        <v>168</v>
      </c>
      <c r="F68" t="s">
        <v>177</v>
      </c>
      <c r="G68" t="s">
        <v>198</v>
      </c>
      <c r="H68" t="s">
        <v>198</v>
      </c>
      <c r="I68" t="s">
        <v>199</v>
      </c>
      <c r="J68" t="s">
        <v>200</v>
      </c>
      <c r="K68">
        <v>18.2</v>
      </c>
      <c r="L68">
        <v>18</v>
      </c>
      <c r="M68" t="str">
        <f>VLOOKUP(A68,'csv import'!D:D,1,FALSE)</f>
        <v>CODRNGTON</v>
      </c>
    </row>
    <row r="69" spans="1:13">
      <c r="A69" t="s">
        <v>306</v>
      </c>
      <c r="B69" t="s">
        <v>307</v>
      </c>
      <c r="C69" t="s">
        <v>176</v>
      </c>
      <c r="D69" t="s">
        <v>167</v>
      </c>
      <c r="E69" t="s">
        <v>168</v>
      </c>
      <c r="F69" t="s">
        <v>169</v>
      </c>
      <c r="G69" t="s">
        <v>170</v>
      </c>
      <c r="H69" t="s">
        <v>171</v>
      </c>
      <c r="I69" t="s">
        <v>172</v>
      </c>
      <c r="J69" t="s">
        <v>185</v>
      </c>
      <c r="K69">
        <v>181</v>
      </c>
      <c r="L69">
        <v>181</v>
      </c>
      <c r="M69" t="str">
        <f>VLOOKUP(A69,'csv import'!D:D,1,FALSE)</f>
        <v>CG1</v>
      </c>
    </row>
    <row r="70" spans="1:13">
      <c r="A70" t="s">
        <v>308</v>
      </c>
      <c r="B70" t="s">
        <v>307</v>
      </c>
      <c r="C70" t="s">
        <v>176</v>
      </c>
      <c r="D70" t="s">
        <v>167</v>
      </c>
      <c r="E70" t="s">
        <v>168</v>
      </c>
      <c r="F70" t="s">
        <v>169</v>
      </c>
      <c r="G70" t="s">
        <v>170</v>
      </c>
      <c r="H70" t="s">
        <v>171</v>
      </c>
      <c r="I70" t="s">
        <v>172</v>
      </c>
      <c r="J70" t="s">
        <v>185</v>
      </c>
      <c r="K70">
        <v>181</v>
      </c>
      <c r="L70">
        <v>181</v>
      </c>
      <c r="M70" t="str">
        <f>VLOOKUP(A70,'csv import'!D:D,1,FALSE)</f>
        <v>CG2</v>
      </c>
    </row>
    <row r="71" spans="1:13">
      <c r="A71" t="s">
        <v>309</v>
      </c>
      <c r="B71" t="s">
        <v>307</v>
      </c>
      <c r="C71" t="s">
        <v>176</v>
      </c>
      <c r="D71" t="s">
        <v>167</v>
      </c>
      <c r="E71" t="s">
        <v>168</v>
      </c>
      <c r="F71" t="s">
        <v>169</v>
      </c>
      <c r="G71" t="s">
        <v>170</v>
      </c>
      <c r="H71" t="s">
        <v>171</v>
      </c>
      <c r="I71" t="s">
        <v>172</v>
      </c>
      <c r="J71" t="s">
        <v>185</v>
      </c>
      <c r="K71">
        <v>181</v>
      </c>
      <c r="L71">
        <v>181</v>
      </c>
      <c r="M71" t="str">
        <f>VLOOKUP(A71,'csv import'!D:D,1,FALSE)</f>
        <v>CG3</v>
      </c>
    </row>
    <row r="72" spans="1:13">
      <c r="A72" t="s">
        <v>310</v>
      </c>
      <c r="B72" t="s">
        <v>307</v>
      </c>
      <c r="C72" t="s">
        <v>176</v>
      </c>
      <c r="D72" t="s">
        <v>167</v>
      </c>
      <c r="E72" t="s">
        <v>168</v>
      </c>
      <c r="F72" t="s">
        <v>169</v>
      </c>
      <c r="G72" t="s">
        <v>170</v>
      </c>
      <c r="H72" t="s">
        <v>171</v>
      </c>
      <c r="I72" t="s">
        <v>172</v>
      </c>
      <c r="J72" t="s">
        <v>185</v>
      </c>
      <c r="K72">
        <v>181</v>
      </c>
      <c r="L72">
        <v>181</v>
      </c>
      <c r="M72" t="str">
        <f>VLOOKUP(A72,'csv import'!D:D,1,FALSE)</f>
        <v>CG4</v>
      </c>
    </row>
    <row r="73" spans="1:13">
      <c r="A73" t="s">
        <v>336</v>
      </c>
      <c r="B73" t="s">
        <v>337</v>
      </c>
      <c r="C73" t="s">
        <v>215</v>
      </c>
      <c r="D73" t="s">
        <v>167</v>
      </c>
      <c r="E73" t="s">
        <v>168</v>
      </c>
      <c r="F73" t="s">
        <v>169</v>
      </c>
      <c r="G73" t="s">
        <v>170</v>
      </c>
      <c r="H73" t="s">
        <v>171</v>
      </c>
      <c r="I73" t="s">
        <v>172</v>
      </c>
      <c r="J73" t="s">
        <v>216</v>
      </c>
      <c r="K73">
        <v>144</v>
      </c>
      <c r="L73">
        <v>144</v>
      </c>
      <c r="M73" t="str">
        <f>VLOOKUP(A73,'csv import'!D:D,1,FALSE)</f>
        <v>CPSA</v>
      </c>
    </row>
    <row r="74" spans="1:13">
      <c r="A74" t="s">
        <v>326</v>
      </c>
      <c r="B74" t="s">
        <v>327</v>
      </c>
      <c r="C74" t="s">
        <v>176</v>
      </c>
      <c r="D74" t="s">
        <v>167</v>
      </c>
      <c r="E74" t="s">
        <v>168</v>
      </c>
      <c r="F74" t="s">
        <v>177</v>
      </c>
      <c r="G74" t="s">
        <v>286</v>
      </c>
      <c r="H74" t="s">
        <v>287</v>
      </c>
      <c r="I74" t="s">
        <v>172</v>
      </c>
      <c r="J74" t="s">
        <v>195</v>
      </c>
      <c r="K74">
        <v>30</v>
      </c>
      <c r="L74">
        <v>30</v>
      </c>
      <c r="M74" t="str">
        <f>VLOOKUP(A74,final!D:D,1,FALSE)</f>
        <v>CONDONG1</v>
      </c>
    </row>
    <row r="75" spans="1:13">
      <c r="A75" t="s">
        <v>299</v>
      </c>
      <c r="B75" t="s">
        <v>300</v>
      </c>
      <c r="C75" t="s">
        <v>184</v>
      </c>
      <c r="D75" t="s">
        <v>167</v>
      </c>
      <c r="E75" t="s">
        <v>168</v>
      </c>
      <c r="F75" t="s">
        <v>177</v>
      </c>
      <c r="G75" t="s">
        <v>198</v>
      </c>
      <c r="H75" t="s">
        <v>198</v>
      </c>
      <c r="I75" t="s">
        <v>199</v>
      </c>
      <c r="J75" t="s">
        <v>200</v>
      </c>
      <c r="K75">
        <v>20</v>
      </c>
      <c r="L75">
        <v>20</v>
      </c>
      <c r="M75" t="str">
        <f>VLOOKUP(A75,final!D:D,1,FALSE)</f>
        <v>CBWF1</v>
      </c>
    </row>
    <row r="76" spans="1:13">
      <c r="A76" t="s">
        <v>328</v>
      </c>
      <c r="B76" t="s">
        <v>329</v>
      </c>
      <c r="C76" t="s">
        <v>176</v>
      </c>
      <c r="D76" t="s">
        <v>167</v>
      </c>
      <c r="E76" t="s">
        <v>168</v>
      </c>
      <c r="F76" t="s">
        <v>177</v>
      </c>
      <c r="G76" t="s">
        <v>210</v>
      </c>
      <c r="H76" t="s">
        <v>211</v>
      </c>
      <c r="I76" t="s">
        <v>199</v>
      </c>
      <c r="J76" t="s">
        <v>212</v>
      </c>
      <c r="K76">
        <v>24</v>
      </c>
      <c r="L76">
        <v>24</v>
      </c>
      <c r="M76" t="str">
        <f>VLOOKUP(A76,final!D:D,1,FALSE)</f>
        <v>COPTNHYD</v>
      </c>
    </row>
    <row r="77" spans="1:13" hidden="1">
      <c r="A77" t="s">
        <v>330</v>
      </c>
      <c r="B77" t="s">
        <v>331</v>
      </c>
      <c r="C77" t="s">
        <v>184</v>
      </c>
      <c r="D77" t="s">
        <v>167</v>
      </c>
      <c r="E77" t="s">
        <v>168</v>
      </c>
      <c r="F77" t="s">
        <v>177</v>
      </c>
      <c r="G77" t="s">
        <v>170</v>
      </c>
      <c r="H77" t="s">
        <v>178</v>
      </c>
      <c r="I77" t="s">
        <v>172</v>
      </c>
      <c r="J77" t="s">
        <v>254</v>
      </c>
      <c r="K77">
        <v>1</v>
      </c>
      <c r="L77">
        <v>1</v>
      </c>
      <c r="M77" t="e">
        <f>VLOOKUP(A77,final!D:D,1,FALSE)</f>
        <v>#N/A</v>
      </c>
    </row>
    <row r="78" spans="1:13">
      <c r="A78" t="s">
        <v>338</v>
      </c>
      <c r="B78" t="s">
        <v>339</v>
      </c>
      <c r="C78" t="s">
        <v>176</v>
      </c>
      <c r="D78" t="s">
        <v>167</v>
      </c>
      <c r="E78" t="s">
        <v>168</v>
      </c>
      <c r="F78" t="s">
        <v>177</v>
      </c>
      <c r="G78" t="s">
        <v>198</v>
      </c>
      <c r="H78" t="s">
        <v>198</v>
      </c>
      <c r="I78" t="s">
        <v>199</v>
      </c>
      <c r="J78" t="s">
        <v>200</v>
      </c>
      <c r="K78">
        <v>30</v>
      </c>
      <c r="L78">
        <v>30</v>
      </c>
      <c r="M78" t="str">
        <f>VLOOKUP(A78,'csv import'!D:D,1,FALSE)</f>
        <v>CULLRGWF</v>
      </c>
    </row>
    <row r="79" spans="1:13">
      <c r="A79" t="s">
        <v>340</v>
      </c>
      <c r="B79" t="s">
        <v>341</v>
      </c>
      <c r="C79" t="s">
        <v>215</v>
      </c>
      <c r="D79" t="s">
        <v>167</v>
      </c>
      <c r="E79" t="s">
        <v>168</v>
      </c>
      <c r="F79" t="s">
        <v>177</v>
      </c>
      <c r="G79" t="s">
        <v>170</v>
      </c>
      <c r="H79" t="s">
        <v>257</v>
      </c>
      <c r="I79" t="s">
        <v>172</v>
      </c>
      <c r="J79" t="s">
        <v>179</v>
      </c>
      <c r="K79">
        <v>33</v>
      </c>
      <c r="L79">
        <v>33</v>
      </c>
      <c r="M79" t="str">
        <f>VLOOKUP(A79,'csv import'!D:D,1,FALSE)</f>
        <v>DAANDINE</v>
      </c>
    </row>
    <row r="80" spans="1:13">
      <c r="A80" t="s">
        <v>344</v>
      </c>
      <c r="B80" t="s">
        <v>147</v>
      </c>
      <c r="C80" t="s">
        <v>215</v>
      </c>
      <c r="D80" t="s">
        <v>167</v>
      </c>
      <c r="E80" t="s">
        <v>168</v>
      </c>
      <c r="F80" t="s">
        <v>169</v>
      </c>
      <c r="G80" t="s">
        <v>170</v>
      </c>
      <c r="H80" t="s">
        <v>171</v>
      </c>
      <c r="I80" t="s">
        <v>172</v>
      </c>
      <c r="J80" t="s">
        <v>216</v>
      </c>
      <c r="K80">
        <v>644</v>
      </c>
      <c r="L80">
        <v>663</v>
      </c>
      <c r="M80" t="str">
        <f>VLOOKUP(A80,'csv import'!D:D,1,FALSE)</f>
        <v>DDPS1</v>
      </c>
    </row>
    <row r="81" spans="1:13">
      <c r="A81" t="s">
        <v>342</v>
      </c>
      <c r="B81" t="s">
        <v>343</v>
      </c>
      <c r="C81" t="s">
        <v>184</v>
      </c>
      <c r="D81" t="s">
        <v>167</v>
      </c>
      <c r="E81" t="s">
        <v>168</v>
      </c>
      <c r="F81" t="s">
        <v>169</v>
      </c>
      <c r="G81" t="s">
        <v>210</v>
      </c>
      <c r="H81" t="s">
        <v>211</v>
      </c>
      <c r="I81" t="s">
        <v>199</v>
      </c>
      <c r="J81" t="s">
        <v>212</v>
      </c>
      <c r="K81">
        <v>150</v>
      </c>
      <c r="L81">
        <v>185</v>
      </c>
      <c r="M81" t="str">
        <f>VLOOKUP(A81,'csv import'!D:D,1,FALSE)</f>
        <v>DARTM1</v>
      </c>
    </row>
    <row r="82" spans="1:13">
      <c r="A82" t="s">
        <v>345</v>
      </c>
      <c r="B82" t="s">
        <v>346</v>
      </c>
      <c r="C82" t="s">
        <v>227</v>
      </c>
      <c r="D82" t="s">
        <v>167</v>
      </c>
      <c r="E82" t="s">
        <v>168</v>
      </c>
      <c r="F82" t="s">
        <v>169</v>
      </c>
      <c r="G82" t="s">
        <v>210</v>
      </c>
      <c r="H82" t="s">
        <v>211</v>
      </c>
      <c r="I82" t="s">
        <v>199</v>
      </c>
      <c r="J82" t="s">
        <v>212</v>
      </c>
      <c r="K82">
        <v>60</v>
      </c>
      <c r="L82">
        <v>65</v>
      </c>
      <c r="M82" t="str">
        <f>VLOOKUP(A82,'csv import'!D:D,1,FALSE)</f>
        <v>DEVILS_G</v>
      </c>
    </row>
    <row r="83" spans="1:13">
      <c r="A83" t="s">
        <v>347</v>
      </c>
      <c r="B83" t="s">
        <v>348</v>
      </c>
      <c r="C83" t="s">
        <v>166</v>
      </c>
      <c r="D83" t="s">
        <v>167</v>
      </c>
      <c r="E83" t="s">
        <v>168</v>
      </c>
      <c r="F83" t="s">
        <v>169</v>
      </c>
      <c r="G83" t="s">
        <v>170</v>
      </c>
      <c r="H83" t="s">
        <v>171</v>
      </c>
      <c r="I83" t="s">
        <v>172</v>
      </c>
      <c r="J83" t="s">
        <v>185</v>
      </c>
      <c r="K83">
        <v>52</v>
      </c>
      <c r="L83">
        <v>57</v>
      </c>
      <c r="M83" t="str">
        <f>VLOOKUP(A83,'csv import'!D:D,1,FALSE)</f>
        <v>DRYCGT1</v>
      </c>
    </row>
    <row r="84" spans="1:13">
      <c r="A84" t="s">
        <v>349</v>
      </c>
      <c r="B84" t="s">
        <v>348</v>
      </c>
      <c r="C84" t="s">
        <v>166</v>
      </c>
      <c r="D84" t="s">
        <v>167</v>
      </c>
      <c r="E84" t="s">
        <v>168</v>
      </c>
      <c r="F84" t="s">
        <v>169</v>
      </c>
      <c r="G84" t="s">
        <v>170</v>
      </c>
      <c r="H84" t="s">
        <v>171</v>
      </c>
      <c r="I84" t="s">
        <v>172</v>
      </c>
      <c r="J84" t="s">
        <v>185</v>
      </c>
      <c r="K84">
        <v>52</v>
      </c>
      <c r="L84">
        <v>57</v>
      </c>
      <c r="M84" t="str">
        <f>VLOOKUP(A84,'csv import'!D:D,1,FALSE)</f>
        <v>DRYCGT2</v>
      </c>
    </row>
    <row r="85" spans="1:13">
      <c r="A85" t="s">
        <v>350</v>
      </c>
      <c r="B85" t="s">
        <v>348</v>
      </c>
      <c r="C85" t="s">
        <v>166</v>
      </c>
      <c r="D85" t="s">
        <v>167</v>
      </c>
      <c r="E85" t="s">
        <v>168</v>
      </c>
      <c r="F85" t="s">
        <v>169</v>
      </c>
      <c r="G85" t="s">
        <v>170</v>
      </c>
      <c r="H85" t="s">
        <v>171</v>
      </c>
      <c r="I85" t="s">
        <v>172</v>
      </c>
      <c r="J85" t="s">
        <v>185</v>
      </c>
      <c r="K85">
        <v>52</v>
      </c>
      <c r="L85">
        <v>57</v>
      </c>
      <c r="M85" t="str">
        <f>VLOOKUP(A85,'csv import'!D:D,1,FALSE)</f>
        <v>DRYCGT3</v>
      </c>
    </row>
    <row r="86" spans="1:13" hidden="1">
      <c r="A86" t="s">
        <v>351</v>
      </c>
      <c r="B86" t="s">
        <v>352</v>
      </c>
      <c r="C86" t="s">
        <v>176</v>
      </c>
      <c r="D86" t="s">
        <v>167</v>
      </c>
      <c r="E86" t="s">
        <v>168</v>
      </c>
      <c r="F86" t="s">
        <v>177</v>
      </c>
      <c r="G86" t="s">
        <v>170</v>
      </c>
      <c r="H86" t="s">
        <v>178</v>
      </c>
      <c r="I86" t="s">
        <v>172</v>
      </c>
      <c r="J86" t="s">
        <v>179</v>
      </c>
      <c r="K86">
        <v>5.4</v>
      </c>
      <c r="L86">
        <v>5</v>
      </c>
      <c r="M86" t="e">
        <f>VLOOKUP(A86,final!D:D,1,FALSE)</f>
        <v>#N/A</v>
      </c>
    </row>
    <row r="87" spans="1:13" hidden="1">
      <c r="A87" t="s">
        <v>358</v>
      </c>
      <c r="B87" t="s">
        <v>359</v>
      </c>
      <c r="C87" t="s">
        <v>184</v>
      </c>
      <c r="D87" t="s">
        <v>167</v>
      </c>
      <c r="E87" t="s">
        <v>168</v>
      </c>
      <c r="F87" t="s">
        <v>177</v>
      </c>
      <c r="G87" t="s">
        <v>210</v>
      </c>
      <c r="H87" t="s">
        <v>211</v>
      </c>
      <c r="I87" t="s">
        <v>199</v>
      </c>
      <c r="J87" t="s">
        <v>223</v>
      </c>
      <c r="K87">
        <v>5</v>
      </c>
      <c r="L87">
        <v>5</v>
      </c>
      <c r="M87" t="e">
        <f>VLOOKUP(A87,final!D:D,1,FALSE)</f>
        <v>#N/A</v>
      </c>
    </row>
    <row r="88" spans="1:13">
      <c r="A88" t="s">
        <v>355</v>
      </c>
      <c r="B88" t="s">
        <v>356</v>
      </c>
      <c r="C88" t="s">
        <v>184</v>
      </c>
      <c r="D88" t="s">
        <v>167</v>
      </c>
      <c r="E88" t="s">
        <v>168</v>
      </c>
      <c r="F88" t="s">
        <v>169</v>
      </c>
      <c r="G88" t="s">
        <v>210</v>
      </c>
      <c r="H88" t="s">
        <v>211</v>
      </c>
      <c r="I88" t="s">
        <v>199</v>
      </c>
      <c r="J88" t="s">
        <v>212</v>
      </c>
      <c r="K88">
        <v>60</v>
      </c>
      <c r="L88">
        <v>60</v>
      </c>
      <c r="M88" t="str">
        <f>VLOOKUP(A88,'csv import'!D:D,1,FALSE)</f>
        <v>EILDON1</v>
      </c>
    </row>
    <row r="89" spans="1:13">
      <c r="A89" t="s">
        <v>357</v>
      </c>
      <c r="B89" t="s">
        <v>356</v>
      </c>
      <c r="C89" t="s">
        <v>184</v>
      </c>
      <c r="D89" t="s">
        <v>167</v>
      </c>
      <c r="E89" t="s">
        <v>168</v>
      </c>
      <c r="F89" t="s">
        <v>169</v>
      </c>
      <c r="G89" t="s">
        <v>210</v>
      </c>
      <c r="H89" t="s">
        <v>211</v>
      </c>
      <c r="I89" t="s">
        <v>199</v>
      </c>
      <c r="J89" t="s">
        <v>212</v>
      </c>
      <c r="K89">
        <v>60</v>
      </c>
      <c r="L89">
        <v>60</v>
      </c>
      <c r="M89" t="str">
        <f>VLOOKUP(A89,'csv import'!D:D,1,FALSE)</f>
        <v>EILDON2</v>
      </c>
    </row>
    <row r="90" spans="1:13">
      <c r="A90" t="s">
        <v>518</v>
      </c>
      <c r="B90" t="s">
        <v>519</v>
      </c>
      <c r="C90" t="s">
        <v>184</v>
      </c>
      <c r="D90" t="s">
        <v>167</v>
      </c>
      <c r="E90" t="s">
        <v>168</v>
      </c>
      <c r="F90" t="s">
        <v>169</v>
      </c>
      <c r="G90" t="s">
        <v>193</v>
      </c>
      <c r="H90" t="s">
        <v>194</v>
      </c>
      <c r="I90" t="s">
        <v>172</v>
      </c>
      <c r="J90" t="s">
        <v>195</v>
      </c>
      <c r="K90">
        <v>90</v>
      </c>
      <c r="L90">
        <v>90</v>
      </c>
      <c r="M90" t="str">
        <f>VLOOKUP(A90,'csv import'!D:D,1,FALSE)</f>
        <v>MOR1</v>
      </c>
    </row>
    <row r="91" spans="1:13">
      <c r="A91" t="s">
        <v>360</v>
      </c>
      <c r="B91" t="s">
        <v>361</v>
      </c>
      <c r="C91" t="s">
        <v>176</v>
      </c>
      <c r="D91" t="s">
        <v>167</v>
      </c>
      <c r="E91" t="s">
        <v>168</v>
      </c>
      <c r="F91" t="s">
        <v>169</v>
      </c>
      <c r="G91" t="s">
        <v>193</v>
      </c>
      <c r="H91" t="s">
        <v>280</v>
      </c>
      <c r="I91" t="s">
        <v>172</v>
      </c>
      <c r="J91" t="s">
        <v>195</v>
      </c>
      <c r="K91">
        <v>720</v>
      </c>
      <c r="L91">
        <v>750</v>
      </c>
      <c r="M91" t="str">
        <f>VLOOKUP(A91,'csv import'!D:D,1,FALSE)</f>
        <v>ER01</v>
      </c>
    </row>
    <row r="92" spans="1:13">
      <c r="A92" t="s">
        <v>362</v>
      </c>
      <c r="B92" t="s">
        <v>361</v>
      </c>
      <c r="C92" t="s">
        <v>176</v>
      </c>
      <c r="D92" t="s">
        <v>167</v>
      </c>
      <c r="E92" t="s">
        <v>168</v>
      </c>
      <c r="F92" t="s">
        <v>169</v>
      </c>
      <c r="G92" t="s">
        <v>193</v>
      </c>
      <c r="H92" t="s">
        <v>280</v>
      </c>
      <c r="I92" t="s">
        <v>172</v>
      </c>
      <c r="J92" t="s">
        <v>195</v>
      </c>
      <c r="K92">
        <v>720</v>
      </c>
      <c r="L92">
        <v>750</v>
      </c>
      <c r="M92" t="str">
        <f>VLOOKUP(A92,'csv import'!D:D,1,FALSE)</f>
        <v>ER02</v>
      </c>
    </row>
    <row r="93" spans="1:13">
      <c r="A93" t="s">
        <v>363</v>
      </c>
      <c r="B93" t="s">
        <v>361</v>
      </c>
      <c r="C93" t="s">
        <v>176</v>
      </c>
      <c r="D93" t="s">
        <v>167</v>
      </c>
      <c r="E93" t="s">
        <v>168</v>
      </c>
      <c r="F93" t="s">
        <v>169</v>
      </c>
      <c r="G93" t="s">
        <v>193</v>
      </c>
      <c r="H93" t="s">
        <v>280</v>
      </c>
      <c r="I93" t="s">
        <v>172</v>
      </c>
      <c r="J93" t="s">
        <v>195</v>
      </c>
      <c r="K93">
        <v>720</v>
      </c>
      <c r="L93">
        <v>750</v>
      </c>
      <c r="M93" t="str">
        <f>VLOOKUP(A93,'csv import'!D:D,1,FALSE)</f>
        <v>ER03</v>
      </c>
    </row>
    <row r="94" spans="1:13">
      <c r="A94" t="s">
        <v>364</v>
      </c>
      <c r="B94" t="s">
        <v>361</v>
      </c>
      <c r="C94" t="s">
        <v>176</v>
      </c>
      <c r="D94" t="s">
        <v>167</v>
      </c>
      <c r="E94" t="s">
        <v>168</v>
      </c>
      <c r="F94" t="s">
        <v>169</v>
      </c>
      <c r="G94" t="s">
        <v>193</v>
      </c>
      <c r="H94" t="s">
        <v>280</v>
      </c>
      <c r="I94" t="s">
        <v>172</v>
      </c>
      <c r="J94" t="s">
        <v>195</v>
      </c>
      <c r="K94">
        <v>720</v>
      </c>
      <c r="L94">
        <v>750</v>
      </c>
      <c r="M94" t="str">
        <f>VLOOKUP(A94,'csv import'!D:D,1,FALSE)</f>
        <v>ER04</v>
      </c>
    </row>
    <row r="95" spans="1:13">
      <c r="A95" t="s">
        <v>365</v>
      </c>
      <c r="B95" t="s">
        <v>361</v>
      </c>
      <c r="C95" t="s">
        <v>176</v>
      </c>
      <c r="D95" t="s">
        <v>167</v>
      </c>
      <c r="E95" t="s">
        <v>168</v>
      </c>
      <c r="F95" t="s">
        <v>177</v>
      </c>
      <c r="G95" t="s">
        <v>188</v>
      </c>
      <c r="H95" t="s">
        <v>188</v>
      </c>
      <c r="I95" t="s">
        <v>172</v>
      </c>
      <c r="J95" t="s">
        <v>185</v>
      </c>
      <c r="K95">
        <v>41.5</v>
      </c>
      <c r="L95">
        <v>56</v>
      </c>
      <c r="M95" t="str">
        <f>VLOOKUP(A95,final!D:D,1,FALSE)</f>
        <v>ERGT01</v>
      </c>
    </row>
    <row r="96" spans="1:13">
      <c r="A96" t="s">
        <v>366</v>
      </c>
      <c r="B96" t="s">
        <v>367</v>
      </c>
      <c r="C96" t="s">
        <v>227</v>
      </c>
      <c r="D96" t="s">
        <v>167</v>
      </c>
      <c r="E96" t="s">
        <v>168</v>
      </c>
      <c r="F96" t="s">
        <v>169</v>
      </c>
      <c r="G96" t="s">
        <v>210</v>
      </c>
      <c r="H96" t="s">
        <v>211</v>
      </c>
      <c r="I96" t="s">
        <v>199</v>
      </c>
      <c r="J96" t="s">
        <v>212</v>
      </c>
      <c r="K96">
        <v>43.2</v>
      </c>
      <c r="L96">
        <v>46</v>
      </c>
      <c r="M96" t="str">
        <f>VLOOKUP(A96,'csv import'!D:D,1,FALSE)</f>
        <v>FISHER</v>
      </c>
    </row>
    <row r="97" spans="1:13">
      <c r="A97" t="s">
        <v>370</v>
      </c>
      <c r="B97" t="s">
        <v>371</v>
      </c>
      <c r="C97" t="s">
        <v>227</v>
      </c>
      <c r="D97" t="s">
        <v>167</v>
      </c>
      <c r="E97" t="s">
        <v>168</v>
      </c>
      <c r="F97" t="s">
        <v>177</v>
      </c>
      <c r="G97" t="s">
        <v>188</v>
      </c>
      <c r="H97" t="s">
        <v>188</v>
      </c>
      <c r="I97" t="s">
        <v>172</v>
      </c>
      <c r="J97" t="s">
        <v>179</v>
      </c>
      <c r="K97">
        <v>30</v>
      </c>
      <c r="L97">
        <v>30</v>
      </c>
      <c r="M97" t="str">
        <f>VLOOKUP(A97,final!D:D,1,FALSE)</f>
        <v>GEORGTN1</v>
      </c>
    </row>
    <row r="98" spans="1:13">
      <c r="A98" t="s">
        <v>372</v>
      </c>
      <c r="B98" t="s">
        <v>371</v>
      </c>
      <c r="C98" t="s">
        <v>227</v>
      </c>
      <c r="D98" t="s">
        <v>167</v>
      </c>
      <c r="E98" t="s">
        <v>168</v>
      </c>
      <c r="F98" t="s">
        <v>177</v>
      </c>
      <c r="G98" t="s">
        <v>188</v>
      </c>
      <c r="H98" t="s">
        <v>188</v>
      </c>
      <c r="I98" t="s">
        <v>172</v>
      </c>
      <c r="J98" t="s">
        <v>179</v>
      </c>
      <c r="K98">
        <v>30</v>
      </c>
      <c r="L98">
        <v>30</v>
      </c>
      <c r="M98" t="str">
        <f>VLOOKUP(A98,final!D:D,1,FALSE)</f>
        <v>GEORGTN2</v>
      </c>
    </row>
    <row r="99" spans="1:13">
      <c r="A99" t="s">
        <v>373</v>
      </c>
      <c r="B99" t="s">
        <v>374</v>
      </c>
      <c r="C99" t="s">
        <v>215</v>
      </c>
      <c r="D99" t="s">
        <v>167</v>
      </c>
      <c r="E99" t="s">
        <v>168</v>
      </c>
      <c r="F99" t="s">
        <v>177</v>
      </c>
      <c r="G99" t="s">
        <v>170</v>
      </c>
      <c r="H99" t="s">
        <v>257</v>
      </c>
      <c r="I99" t="s">
        <v>172</v>
      </c>
      <c r="J99" t="s">
        <v>179</v>
      </c>
      <c r="K99">
        <v>32</v>
      </c>
      <c r="L99">
        <v>45</v>
      </c>
      <c r="M99" t="str">
        <f>VLOOKUP(A99,final!D:D,1,FALSE)</f>
        <v>GERMCRK</v>
      </c>
    </row>
    <row r="100" spans="1:13">
      <c r="A100" t="s">
        <v>383</v>
      </c>
      <c r="B100" t="s">
        <v>384</v>
      </c>
      <c r="C100" t="s">
        <v>215</v>
      </c>
      <c r="D100" t="s">
        <v>167</v>
      </c>
      <c r="E100" t="s">
        <v>168</v>
      </c>
      <c r="F100" t="s">
        <v>169</v>
      </c>
      <c r="G100" t="s">
        <v>193</v>
      </c>
      <c r="H100" t="s">
        <v>280</v>
      </c>
      <c r="I100" t="s">
        <v>172</v>
      </c>
      <c r="J100" t="s">
        <v>195</v>
      </c>
      <c r="K100">
        <v>280</v>
      </c>
      <c r="L100">
        <v>285</v>
      </c>
      <c r="M100" t="str">
        <f>VLOOKUP(A100,'csv import'!D:D,1,FALSE)</f>
        <v>GSTONE1</v>
      </c>
    </row>
    <row r="101" spans="1:13">
      <c r="A101" t="s">
        <v>385</v>
      </c>
      <c r="B101" t="s">
        <v>384</v>
      </c>
      <c r="C101" t="s">
        <v>215</v>
      </c>
      <c r="D101" t="s">
        <v>167</v>
      </c>
      <c r="E101" t="s">
        <v>168</v>
      </c>
      <c r="F101" t="s">
        <v>169</v>
      </c>
      <c r="G101" t="s">
        <v>193</v>
      </c>
      <c r="H101" t="s">
        <v>280</v>
      </c>
      <c r="I101" t="s">
        <v>172</v>
      </c>
      <c r="J101" t="s">
        <v>195</v>
      </c>
      <c r="K101">
        <v>280</v>
      </c>
      <c r="L101">
        <v>285</v>
      </c>
      <c r="M101" t="str">
        <f>VLOOKUP(A101,'csv import'!D:D,1,FALSE)</f>
        <v>GSTONE2</v>
      </c>
    </row>
    <row r="102" spans="1:13">
      <c r="A102" t="s">
        <v>386</v>
      </c>
      <c r="B102" t="s">
        <v>384</v>
      </c>
      <c r="C102" t="s">
        <v>215</v>
      </c>
      <c r="D102" t="s">
        <v>167</v>
      </c>
      <c r="E102" t="s">
        <v>168</v>
      </c>
      <c r="F102" t="s">
        <v>169</v>
      </c>
      <c r="G102" t="s">
        <v>193</v>
      </c>
      <c r="H102" t="s">
        <v>280</v>
      </c>
      <c r="I102" t="s">
        <v>172</v>
      </c>
      <c r="J102" t="s">
        <v>195</v>
      </c>
      <c r="K102">
        <v>280</v>
      </c>
      <c r="L102">
        <v>285</v>
      </c>
      <c r="M102" t="str">
        <f>VLOOKUP(A102,'csv import'!D:D,1,FALSE)</f>
        <v>GSTONE3</v>
      </c>
    </row>
    <row r="103" spans="1:13">
      <c r="A103" t="s">
        <v>387</v>
      </c>
      <c r="B103" t="s">
        <v>384</v>
      </c>
      <c r="C103" t="s">
        <v>215</v>
      </c>
      <c r="D103" t="s">
        <v>167</v>
      </c>
      <c r="E103" t="s">
        <v>168</v>
      </c>
      <c r="F103" t="s">
        <v>169</v>
      </c>
      <c r="G103" t="s">
        <v>193</v>
      </c>
      <c r="H103" t="s">
        <v>280</v>
      </c>
      <c r="I103" t="s">
        <v>172</v>
      </c>
      <c r="J103" t="s">
        <v>195</v>
      </c>
      <c r="K103">
        <v>280</v>
      </c>
      <c r="L103">
        <v>285</v>
      </c>
      <c r="M103" t="str">
        <f>VLOOKUP(A103,'csv import'!D:D,1,FALSE)</f>
        <v>GSTONE4</v>
      </c>
    </row>
    <row r="104" spans="1:13">
      <c r="A104" t="s">
        <v>388</v>
      </c>
      <c r="B104" t="s">
        <v>384</v>
      </c>
      <c r="C104" t="s">
        <v>215</v>
      </c>
      <c r="D104" t="s">
        <v>167</v>
      </c>
      <c r="E104" t="s">
        <v>168</v>
      </c>
      <c r="F104" t="s">
        <v>169</v>
      </c>
      <c r="G104" t="s">
        <v>193</v>
      </c>
      <c r="H104" t="s">
        <v>280</v>
      </c>
      <c r="I104" t="s">
        <v>172</v>
      </c>
      <c r="J104" t="s">
        <v>195</v>
      </c>
      <c r="K104">
        <v>280</v>
      </c>
      <c r="L104">
        <v>285</v>
      </c>
      <c r="M104" t="str">
        <f>VLOOKUP(A104,'csv import'!D:D,1,FALSE)</f>
        <v>GSTONE5</v>
      </c>
    </row>
    <row r="105" spans="1:13">
      <c r="A105" t="s">
        <v>389</v>
      </c>
      <c r="B105" t="s">
        <v>384</v>
      </c>
      <c r="C105" t="s">
        <v>215</v>
      </c>
      <c r="D105" t="s">
        <v>167</v>
      </c>
      <c r="E105" t="s">
        <v>168</v>
      </c>
      <c r="F105" t="s">
        <v>169</v>
      </c>
      <c r="G105" t="s">
        <v>193</v>
      </c>
      <c r="H105" t="s">
        <v>280</v>
      </c>
      <c r="I105" t="s">
        <v>172</v>
      </c>
      <c r="J105" t="s">
        <v>195</v>
      </c>
      <c r="K105">
        <v>280</v>
      </c>
      <c r="L105">
        <v>285</v>
      </c>
      <c r="M105" t="str">
        <f>VLOOKUP(A105,'csv import'!D:D,1,FALSE)</f>
        <v>GSTONE6</v>
      </c>
    </row>
    <row r="106" spans="1:13" hidden="1">
      <c r="A106" t="s">
        <v>375</v>
      </c>
      <c r="B106" t="s">
        <v>376</v>
      </c>
      <c r="C106" t="s">
        <v>176</v>
      </c>
      <c r="D106" t="s">
        <v>167</v>
      </c>
      <c r="E106" t="s">
        <v>168</v>
      </c>
      <c r="F106" t="s">
        <v>177</v>
      </c>
      <c r="G106" t="s">
        <v>210</v>
      </c>
      <c r="H106" t="s">
        <v>211</v>
      </c>
      <c r="I106" t="s">
        <v>199</v>
      </c>
      <c r="J106" t="s">
        <v>212</v>
      </c>
      <c r="K106">
        <v>5.8</v>
      </c>
      <c r="L106">
        <v>5</v>
      </c>
      <c r="M106" t="e">
        <f>VLOOKUP(A106,final!D:D,1,FALSE)</f>
        <v>#N/A</v>
      </c>
    </row>
    <row r="107" spans="1:13" hidden="1">
      <c r="A107" t="s">
        <v>377</v>
      </c>
      <c r="B107" t="s">
        <v>378</v>
      </c>
      <c r="C107" t="s">
        <v>184</v>
      </c>
      <c r="D107" t="s">
        <v>167</v>
      </c>
      <c r="E107" t="s">
        <v>168</v>
      </c>
      <c r="F107" t="s">
        <v>177</v>
      </c>
      <c r="G107" t="s">
        <v>210</v>
      </c>
      <c r="H107" t="s">
        <v>211</v>
      </c>
      <c r="I107" t="s">
        <v>199</v>
      </c>
      <c r="J107" t="s">
        <v>223</v>
      </c>
      <c r="K107">
        <v>4</v>
      </c>
      <c r="L107">
        <v>4</v>
      </c>
      <c r="M107" t="e">
        <f>VLOOKUP(A107,final!D:D,1,FALSE)</f>
        <v>#N/A</v>
      </c>
    </row>
    <row r="108" spans="1:13">
      <c r="A108" t="s">
        <v>379</v>
      </c>
      <c r="B108" t="s">
        <v>380</v>
      </c>
      <c r="C108" t="s">
        <v>227</v>
      </c>
      <c r="D108" t="s">
        <v>167</v>
      </c>
      <c r="E108" t="s">
        <v>168</v>
      </c>
      <c r="F108" t="s">
        <v>169</v>
      </c>
      <c r="G108" t="s">
        <v>210</v>
      </c>
      <c r="H108" t="s">
        <v>211</v>
      </c>
      <c r="I108" t="s">
        <v>199</v>
      </c>
      <c r="J108" t="s">
        <v>212</v>
      </c>
      <c r="K108">
        <v>432</v>
      </c>
      <c r="L108">
        <v>450</v>
      </c>
      <c r="M108" t="str">
        <f>VLOOKUP(A108,'csv import'!D:D,1,FALSE)</f>
        <v>GORDON</v>
      </c>
    </row>
    <row r="109" spans="1:13" hidden="1">
      <c r="A109" t="s">
        <v>381</v>
      </c>
      <c r="B109" t="s">
        <v>382</v>
      </c>
      <c r="C109" t="s">
        <v>176</v>
      </c>
      <c r="D109" t="s">
        <v>167</v>
      </c>
      <c r="E109" t="s">
        <v>168</v>
      </c>
      <c r="F109" t="s">
        <v>177</v>
      </c>
      <c r="G109" t="s">
        <v>170</v>
      </c>
      <c r="H109" t="s">
        <v>178</v>
      </c>
      <c r="I109" t="s">
        <v>172</v>
      </c>
      <c r="J109" t="s">
        <v>179</v>
      </c>
      <c r="K109">
        <v>2</v>
      </c>
      <c r="L109">
        <v>2</v>
      </c>
      <c r="M109" t="e">
        <f>VLOOKUP(A109,final!D:D,1,FALSE)</f>
        <v>#N/A</v>
      </c>
    </row>
    <row r="110" spans="1:13">
      <c r="A110" t="s">
        <v>499</v>
      </c>
      <c r="B110" t="s">
        <v>500</v>
      </c>
      <c r="C110" t="s">
        <v>215</v>
      </c>
      <c r="D110" t="s">
        <v>167</v>
      </c>
      <c r="E110" t="s">
        <v>168</v>
      </c>
      <c r="F110" t="s">
        <v>177</v>
      </c>
      <c r="G110" t="s">
        <v>170</v>
      </c>
      <c r="H110" t="s">
        <v>257</v>
      </c>
      <c r="I110" t="s">
        <v>172</v>
      </c>
      <c r="J110" t="s">
        <v>271</v>
      </c>
      <c r="K110">
        <v>21</v>
      </c>
      <c r="L110">
        <v>21</v>
      </c>
      <c r="M110" t="str">
        <f>VLOOKUP(A110,final!D:D,1,FALSE)</f>
        <v>MBAHNTH</v>
      </c>
    </row>
    <row r="111" spans="1:13">
      <c r="A111" t="s">
        <v>390</v>
      </c>
      <c r="B111" t="s">
        <v>391</v>
      </c>
      <c r="C111" t="s">
        <v>176</v>
      </c>
      <c r="D111" t="s">
        <v>167</v>
      </c>
      <c r="E111" t="s">
        <v>168</v>
      </c>
      <c r="F111" t="s">
        <v>197</v>
      </c>
      <c r="G111" t="s">
        <v>198</v>
      </c>
      <c r="H111" t="s">
        <v>198</v>
      </c>
      <c r="I111" t="s">
        <v>199</v>
      </c>
      <c r="J111" t="s">
        <v>200</v>
      </c>
      <c r="K111">
        <v>166</v>
      </c>
      <c r="L111">
        <v>172</v>
      </c>
      <c r="M111" t="str">
        <f>VLOOKUP(A111,'csv import'!D:D,1,FALSE)</f>
        <v>GULLRWF1</v>
      </c>
    </row>
    <row r="112" spans="1:13">
      <c r="A112" t="s">
        <v>392</v>
      </c>
      <c r="B112" t="s">
        <v>111</v>
      </c>
      <c r="C112" t="s">
        <v>176</v>
      </c>
      <c r="D112" t="s">
        <v>167</v>
      </c>
      <c r="E112" t="s">
        <v>168</v>
      </c>
      <c r="F112" t="s">
        <v>197</v>
      </c>
      <c r="G112" t="s">
        <v>198</v>
      </c>
      <c r="H112" t="s">
        <v>198</v>
      </c>
      <c r="I112" t="s">
        <v>198</v>
      </c>
      <c r="J112" t="s">
        <v>200</v>
      </c>
      <c r="K112">
        <v>47</v>
      </c>
      <c r="L112">
        <v>47</v>
      </c>
      <c r="M112" t="str">
        <f>VLOOKUP(A112,'csv import'!D:D,1,FALSE)</f>
        <v>GUNNING1</v>
      </c>
    </row>
    <row r="113" spans="1:13">
      <c r="A113" t="s">
        <v>393</v>
      </c>
      <c r="B113" t="s">
        <v>394</v>
      </c>
      <c r="C113" t="s">
        <v>176</v>
      </c>
      <c r="D113" t="s">
        <v>167</v>
      </c>
      <c r="E113" t="s">
        <v>168</v>
      </c>
      <c r="F113" t="s">
        <v>169</v>
      </c>
      <c r="G113" t="s">
        <v>210</v>
      </c>
      <c r="H113" t="s">
        <v>211</v>
      </c>
      <c r="I113" t="s">
        <v>199</v>
      </c>
      <c r="J113" t="s">
        <v>212</v>
      </c>
      <c r="K113">
        <v>60</v>
      </c>
      <c r="L113">
        <v>80</v>
      </c>
      <c r="M113" t="str">
        <f>VLOOKUP(A113,'csv import'!D:D,1,FALSE)</f>
        <v>GUTHEGA</v>
      </c>
    </row>
    <row r="114" spans="1:13" hidden="1">
      <c r="A114" t="s">
        <v>395</v>
      </c>
      <c r="B114" t="s">
        <v>396</v>
      </c>
      <c r="C114" t="s">
        <v>184</v>
      </c>
      <c r="D114" t="s">
        <v>167</v>
      </c>
      <c r="E114" t="s">
        <v>168</v>
      </c>
      <c r="F114" t="s">
        <v>177</v>
      </c>
      <c r="G114" t="s">
        <v>170</v>
      </c>
      <c r="H114" t="s">
        <v>178</v>
      </c>
      <c r="I114" t="s">
        <v>172</v>
      </c>
      <c r="J114" t="s">
        <v>254</v>
      </c>
      <c r="K114">
        <v>8.984</v>
      </c>
      <c r="L114">
        <v>9</v>
      </c>
      <c r="M114" t="e">
        <f>VLOOKUP(A114,final!D:D,1,FALSE)</f>
        <v>#N/A</v>
      </c>
    </row>
    <row r="115" spans="1:13">
      <c r="A115" t="s">
        <v>397</v>
      </c>
      <c r="B115" t="s">
        <v>398</v>
      </c>
      <c r="C115" t="s">
        <v>166</v>
      </c>
      <c r="D115" t="s">
        <v>167</v>
      </c>
      <c r="E115" t="s">
        <v>168</v>
      </c>
      <c r="F115" t="s">
        <v>197</v>
      </c>
      <c r="G115" t="s">
        <v>198</v>
      </c>
      <c r="H115" t="s">
        <v>198</v>
      </c>
      <c r="I115" t="s">
        <v>199</v>
      </c>
      <c r="J115" t="s">
        <v>200</v>
      </c>
      <c r="K115">
        <v>94.5</v>
      </c>
      <c r="L115">
        <v>95</v>
      </c>
      <c r="M115" t="str">
        <f>VLOOKUP(A115,'csv import'!D:D,1,FALSE)</f>
        <v>HALLWF1</v>
      </c>
    </row>
    <row r="116" spans="1:13">
      <c r="A116" t="s">
        <v>399</v>
      </c>
      <c r="B116" t="s">
        <v>400</v>
      </c>
      <c r="C116" t="s">
        <v>166</v>
      </c>
      <c r="D116" t="s">
        <v>167</v>
      </c>
      <c r="E116" t="s">
        <v>168</v>
      </c>
      <c r="F116" t="s">
        <v>197</v>
      </c>
      <c r="G116" t="s">
        <v>198</v>
      </c>
      <c r="H116" t="s">
        <v>198</v>
      </c>
      <c r="I116" t="s">
        <v>199</v>
      </c>
      <c r="J116" t="s">
        <v>200</v>
      </c>
      <c r="K116">
        <v>71.400000000000006</v>
      </c>
      <c r="L116">
        <v>71</v>
      </c>
      <c r="M116" t="str">
        <f>VLOOKUP(A116,'csv import'!D:D,1,FALSE)</f>
        <v>HALLWF2</v>
      </c>
    </row>
    <row r="117" spans="1:13">
      <c r="A117" t="s">
        <v>164</v>
      </c>
      <c r="B117" t="s">
        <v>165</v>
      </c>
      <c r="C117" t="s">
        <v>166</v>
      </c>
      <c r="D117" t="s">
        <v>167</v>
      </c>
      <c r="E117" t="s">
        <v>168</v>
      </c>
      <c r="F117" t="s">
        <v>169</v>
      </c>
      <c r="G117" t="s">
        <v>170</v>
      </c>
      <c r="H117" t="s">
        <v>171</v>
      </c>
      <c r="I117" t="s">
        <v>172</v>
      </c>
      <c r="J117" t="s">
        <v>173</v>
      </c>
      <c r="K117">
        <v>180</v>
      </c>
      <c r="L117">
        <v>220</v>
      </c>
      <c r="M117" t="str">
        <f>VLOOKUP(A117,'csv import'!D:D,1,FALSE)</f>
        <v>AGLHAL</v>
      </c>
    </row>
    <row r="118" spans="1:13">
      <c r="A118" t="s">
        <v>412</v>
      </c>
      <c r="B118" t="s">
        <v>413</v>
      </c>
      <c r="C118" t="s">
        <v>184</v>
      </c>
      <c r="D118" t="s">
        <v>167</v>
      </c>
      <c r="E118" t="s">
        <v>168</v>
      </c>
      <c r="F118" t="s">
        <v>169</v>
      </c>
      <c r="G118" t="s">
        <v>193</v>
      </c>
      <c r="H118" t="s">
        <v>194</v>
      </c>
      <c r="I118" t="s">
        <v>172</v>
      </c>
      <c r="J118" t="s">
        <v>195</v>
      </c>
      <c r="K118">
        <v>200</v>
      </c>
      <c r="L118">
        <v>200</v>
      </c>
      <c r="M118" t="str">
        <f>VLOOKUP(A118,'csv import'!D:D,1,FALSE)</f>
        <v>HWPS1</v>
      </c>
    </row>
    <row r="119" spans="1:13">
      <c r="A119" t="s">
        <v>414</v>
      </c>
      <c r="B119" t="s">
        <v>413</v>
      </c>
      <c r="C119" t="s">
        <v>184</v>
      </c>
      <c r="D119" t="s">
        <v>167</v>
      </c>
      <c r="E119" t="s">
        <v>168</v>
      </c>
      <c r="F119" t="s">
        <v>169</v>
      </c>
      <c r="G119" t="s">
        <v>193</v>
      </c>
      <c r="H119" t="s">
        <v>194</v>
      </c>
      <c r="I119" t="s">
        <v>172</v>
      </c>
      <c r="J119" t="s">
        <v>195</v>
      </c>
      <c r="K119">
        <v>200</v>
      </c>
      <c r="L119">
        <v>200</v>
      </c>
      <c r="M119" t="str">
        <f>VLOOKUP(A119,'csv import'!D:D,1,FALSE)</f>
        <v>HWPS2</v>
      </c>
    </row>
    <row r="120" spans="1:13">
      <c r="A120" t="s">
        <v>415</v>
      </c>
      <c r="B120" t="s">
        <v>413</v>
      </c>
      <c r="C120" t="s">
        <v>184</v>
      </c>
      <c r="D120" t="s">
        <v>167</v>
      </c>
      <c r="E120" t="s">
        <v>168</v>
      </c>
      <c r="F120" t="s">
        <v>169</v>
      </c>
      <c r="G120" t="s">
        <v>193</v>
      </c>
      <c r="H120" t="s">
        <v>194</v>
      </c>
      <c r="I120" t="s">
        <v>172</v>
      </c>
      <c r="J120" t="s">
        <v>195</v>
      </c>
      <c r="K120">
        <v>200</v>
      </c>
      <c r="L120">
        <v>200</v>
      </c>
      <c r="M120" t="str">
        <f>VLOOKUP(A120,'csv import'!D:D,1,FALSE)</f>
        <v>HWPS3</v>
      </c>
    </row>
    <row r="121" spans="1:13">
      <c r="A121" t="s">
        <v>416</v>
      </c>
      <c r="B121" t="s">
        <v>413</v>
      </c>
      <c r="C121" t="s">
        <v>184</v>
      </c>
      <c r="D121" t="s">
        <v>167</v>
      </c>
      <c r="E121" t="s">
        <v>168</v>
      </c>
      <c r="F121" t="s">
        <v>169</v>
      </c>
      <c r="G121" t="s">
        <v>193</v>
      </c>
      <c r="H121" t="s">
        <v>194</v>
      </c>
      <c r="I121" t="s">
        <v>172</v>
      </c>
      <c r="J121" t="s">
        <v>195</v>
      </c>
      <c r="K121">
        <v>200</v>
      </c>
      <c r="L121">
        <v>200</v>
      </c>
      <c r="M121" t="str">
        <f>VLOOKUP(A121,'csv import'!D:D,1,FALSE)</f>
        <v>HWPS4</v>
      </c>
    </row>
    <row r="122" spans="1:13">
      <c r="A122" t="s">
        <v>417</v>
      </c>
      <c r="B122" t="s">
        <v>413</v>
      </c>
      <c r="C122" t="s">
        <v>184</v>
      </c>
      <c r="D122" t="s">
        <v>167</v>
      </c>
      <c r="E122" t="s">
        <v>168</v>
      </c>
      <c r="F122" t="s">
        <v>169</v>
      </c>
      <c r="G122" t="s">
        <v>193</v>
      </c>
      <c r="H122" t="s">
        <v>194</v>
      </c>
      <c r="I122" t="s">
        <v>172</v>
      </c>
      <c r="J122" t="s">
        <v>195</v>
      </c>
      <c r="K122">
        <v>200</v>
      </c>
      <c r="L122">
        <v>200</v>
      </c>
      <c r="M122" t="str">
        <f>VLOOKUP(A122,'csv import'!D:D,1,FALSE)</f>
        <v>HWPS5</v>
      </c>
    </row>
    <row r="123" spans="1:13">
      <c r="A123" t="s">
        <v>418</v>
      </c>
      <c r="B123" t="s">
        <v>413</v>
      </c>
      <c r="C123" t="s">
        <v>184</v>
      </c>
      <c r="D123" t="s">
        <v>167</v>
      </c>
      <c r="E123" t="s">
        <v>168</v>
      </c>
      <c r="F123" t="s">
        <v>169</v>
      </c>
      <c r="G123" t="s">
        <v>193</v>
      </c>
      <c r="H123" t="s">
        <v>194</v>
      </c>
      <c r="I123" t="s">
        <v>172</v>
      </c>
      <c r="J123" t="s">
        <v>195</v>
      </c>
      <c r="K123">
        <v>200</v>
      </c>
      <c r="L123">
        <v>200</v>
      </c>
      <c r="M123" t="str">
        <f>VLOOKUP(A123,'csv import'!D:D,1,FALSE)</f>
        <v>HWPS6</v>
      </c>
    </row>
    <row r="124" spans="1:13">
      <c r="A124" t="s">
        <v>419</v>
      </c>
      <c r="B124" t="s">
        <v>413</v>
      </c>
      <c r="C124" t="s">
        <v>184</v>
      </c>
      <c r="D124" t="s">
        <v>167</v>
      </c>
      <c r="E124" t="s">
        <v>168</v>
      </c>
      <c r="F124" t="s">
        <v>169</v>
      </c>
      <c r="G124" t="s">
        <v>193</v>
      </c>
      <c r="H124" t="s">
        <v>194</v>
      </c>
      <c r="I124" t="s">
        <v>172</v>
      </c>
      <c r="J124" t="s">
        <v>195</v>
      </c>
      <c r="K124">
        <v>200</v>
      </c>
      <c r="L124">
        <v>200</v>
      </c>
      <c r="M124" t="str">
        <f>VLOOKUP(A124,'csv import'!D:D,1,FALSE)</f>
        <v>HWPS7</v>
      </c>
    </row>
    <row r="125" spans="1:13">
      <c r="A125" t="s">
        <v>420</v>
      </c>
      <c r="B125" t="s">
        <v>413</v>
      </c>
      <c r="C125" t="s">
        <v>184</v>
      </c>
      <c r="D125" t="s">
        <v>167</v>
      </c>
      <c r="E125" t="s">
        <v>168</v>
      </c>
      <c r="F125" t="s">
        <v>169</v>
      </c>
      <c r="G125" t="s">
        <v>193</v>
      </c>
      <c r="H125" t="s">
        <v>194</v>
      </c>
      <c r="I125" t="s">
        <v>172</v>
      </c>
      <c r="J125" t="s">
        <v>195</v>
      </c>
      <c r="K125">
        <v>200</v>
      </c>
      <c r="L125">
        <v>200</v>
      </c>
      <c r="M125" t="str">
        <f>VLOOKUP(A125,'csv import'!D:D,1,FALSE)</f>
        <v>HWPS8</v>
      </c>
    </row>
    <row r="126" spans="1:13" hidden="1">
      <c r="A126" t="s">
        <v>403</v>
      </c>
      <c r="B126" t="s">
        <v>404</v>
      </c>
      <c r="C126" t="s">
        <v>184</v>
      </c>
      <c r="D126" t="s">
        <v>167</v>
      </c>
      <c r="E126" t="s">
        <v>168</v>
      </c>
      <c r="F126" t="s">
        <v>177</v>
      </c>
      <c r="G126" t="s">
        <v>198</v>
      </c>
      <c r="H126" t="s">
        <v>198</v>
      </c>
      <c r="I126" t="s">
        <v>199</v>
      </c>
      <c r="J126" t="s">
        <v>200</v>
      </c>
      <c r="K126">
        <v>4.0999999999999996</v>
      </c>
      <c r="L126">
        <v>4.0999999999999996</v>
      </c>
      <c r="M126" t="e">
        <f>VLOOKUP(A126,final!D:D,1,FALSE)</f>
        <v>#N/A</v>
      </c>
    </row>
    <row r="127" spans="1:13">
      <c r="A127" t="s">
        <v>401</v>
      </c>
      <c r="B127" t="s">
        <v>402</v>
      </c>
      <c r="C127" t="s">
        <v>166</v>
      </c>
      <c r="D127" t="s">
        <v>167</v>
      </c>
      <c r="E127" t="s">
        <v>168</v>
      </c>
      <c r="F127" t="s">
        <v>197</v>
      </c>
      <c r="G127" t="s">
        <v>198</v>
      </c>
      <c r="H127" t="s">
        <v>198</v>
      </c>
      <c r="I127" t="s">
        <v>199</v>
      </c>
      <c r="J127" t="s">
        <v>200</v>
      </c>
      <c r="K127">
        <v>102.4</v>
      </c>
      <c r="L127">
        <v>102.4</v>
      </c>
      <c r="M127" t="str">
        <f>VLOOKUP(A127,final!D:D,1,FALSE)</f>
        <v>HDWF1</v>
      </c>
    </row>
    <row r="128" spans="1:13">
      <c r="A128" t="s">
        <v>407</v>
      </c>
      <c r="B128" t="s">
        <v>408</v>
      </c>
      <c r="C128" t="s">
        <v>176</v>
      </c>
      <c r="D128" t="s">
        <v>167</v>
      </c>
      <c r="E128" t="s">
        <v>168</v>
      </c>
      <c r="F128" t="s">
        <v>169</v>
      </c>
      <c r="G128" t="s">
        <v>210</v>
      </c>
      <c r="H128" t="s">
        <v>211</v>
      </c>
      <c r="I128" t="s">
        <v>199</v>
      </c>
      <c r="J128" t="s">
        <v>212</v>
      </c>
      <c r="K128">
        <v>29</v>
      </c>
      <c r="L128">
        <v>70</v>
      </c>
      <c r="M128" t="str">
        <f>VLOOKUP(A128,'csv import'!D:D,1,FALSE)</f>
        <v>HUMENSW</v>
      </c>
    </row>
    <row r="129" spans="1:13">
      <c r="A129" t="s">
        <v>409</v>
      </c>
      <c r="B129" t="s">
        <v>410</v>
      </c>
      <c r="C129" t="s">
        <v>176</v>
      </c>
      <c r="D129" t="s">
        <v>167</v>
      </c>
      <c r="E129" t="s">
        <v>168</v>
      </c>
      <c r="F129" t="s">
        <v>169</v>
      </c>
      <c r="G129" t="s">
        <v>170</v>
      </c>
      <c r="H129" t="s">
        <v>411</v>
      </c>
      <c r="I129" t="s">
        <v>172</v>
      </c>
      <c r="J129" t="s">
        <v>185</v>
      </c>
      <c r="K129">
        <v>50</v>
      </c>
      <c r="L129">
        <v>50</v>
      </c>
      <c r="M129" t="str">
        <f>VLOOKUP(A129,'csv import'!D:D,1,FALSE)</f>
        <v>HVGTS</v>
      </c>
    </row>
    <row r="130" spans="1:13">
      <c r="A130" t="s">
        <v>423</v>
      </c>
      <c r="B130" t="s">
        <v>424</v>
      </c>
      <c r="C130" t="s">
        <v>215</v>
      </c>
      <c r="D130" t="s">
        <v>167</v>
      </c>
      <c r="E130" t="s">
        <v>313</v>
      </c>
      <c r="F130" t="s">
        <v>177</v>
      </c>
      <c r="G130" t="s">
        <v>286</v>
      </c>
      <c r="H130" t="s">
        <v>287</v>
      </c>
      <c r="I130" t="s">
        <v>172</v>
      </c>
      <c r="J130" t="s">
        <v>195</v>
      </c>
      <c r="K130">
        <v>50</v>
      </c>
      <c r="L130">
        <v>51</v>
      </c>
      <c r="M130" t="str">
        <f>VLOOKUP(A130,'csv import'!D:D,1,FALSE)</f>
        <v>INVICTA</v>
      </c>
    </row>
    <row r="131" spans="1:13">
      <c r="A131" t="s">
        <v>421</v>
      </c>
      <c r="B131" t="s">
        <v>422</v>
      </c>
      <c r="C131" t="s">
        <v>215</v>
      </c>
      <c r="D131" t="s">
        <v>167</v>
      </c>
      <c r="E131" t="s">
        <v>168</v>
      </c>
      <c r="F131" t="s">
        <v>177</v>
      </c>
      <c r="G131" t="s">
        <v>286</v>
      </c>
      <c r="H131" t="s">
        <v>287</v>
      </c>
      <c r="I131" t="s">
        <v>172</v>
      </c>
      <c r="J131" t="s">
        <v>195</v>
      </c>
      <c r="K131">
        <v>25</v>
      </c>
      <c r="L131">
        <v>25</v>
      </c>
      <c r="M131" t="str">
        <f>VLOOKUP(A131,final!D:D,1,FALSE)</f>
        <v>ICSM</v>
      </c>
    </row>
    <row r="132" spans="1:13" hidden="1">
      <c r="A132" t="s">
        <v>425</v>
      </c>
      <c r="B132" t="s">
        <v>426</v>
      </c>
      <c r="C132" t="s">
        <v>176</v>
      </c>
      <c r="D132" t="s">
        <v>167</v>
      </c>
      <c r="E132" t="s">
        <v>168</v>
      </c>
      <c r="F132" t="s">
        <v>177</v>
      </c>
      <c r="G132" t="s">
        <v>170</v>
      </c>
      <c r="H132" t="s">
        <v>178</v>
      </c>
      <c r="I132" t="s">
        <v>172</v>
      </c>
      <c r="J132" t="s">
        <v>254</v>
      </c>
      <c r="K132">
        <v>2.2999999999999998</v>
      </c>
      <c r="L132">
        <v>2.2999999999999998</v>
      </c>
      <c r="M132" t="e">
        <f>VLOOKUP(A132,final!D:D,1,FALSE)</f>
        <v>#N/A</v>
      </c>
    </row>
    <row r="133" spans="1:13">
      <c r="A133" t="s">
        <v>429</v>
      </c>
      <c r="B133" t="s">
        <v>430</v>
      </c>
      <c r="C133" t="s">
        <v>184</v>
      </c>
      <c r="D133" t="s">
        <v>167</v>
      </c>
      <c r="E133" t="s">
        <v>168</v>
      </c>
      <c r="F133" t="s">
        <v>169</v>
      </c>
      <c r="G133" t="s">
        <v>170</v>
      </c>
      <c r="H133" t="s">
        <v>171</v>
      </c>
      <c r="I133" t="s">
        <v>172</v>
      </c>
      <c r="J133" t="s">
        <v>185</v>
      </c>
      <c r="K133">
        <v>51</v>
      </c>
      <c r="L133">
        <v>65</v>
      </c>
      <c r="M133" t="str">
        <f>VLOOKUP(A133,'csv import'!D:D,1,FALSE)</f>
        <v>JLA01</v>
      </c>
    </row>
    <row r="134" spans="1:13">
      <c r="A134" t="s">
        <v>431</v>
      </c>
      <c r="B134" t="s">
        <v>430</v>
      </c>
      <c r="C134" t="s">
        <v>184</v>
      </c>
      <c r="D134" t="s">
        <v>167</v>
      </c>
      <c r="E134" t="s">
        <v>168</v>
      </c>
      <c r="F134" t="s">
        <v>169</v>
      </c>
      <c r="G134" t="s">
        <v>170</v>
      </c>
      <c r="H134" t="s">
        <v>171</v>
      </c>
      <c r="I134" t="s">
        <v>172</v>
      </c>
      <c r="J134" t="s">
        <v>185</v>
      </c>
      <c r="K134">
        <v>51</v>
      </c>
      <c r="L134">
        <v>65</v>
      </c>
      <c r="M134" t="str">
        <f>VLOOKUP(A134,'csv import'!D:D,1,FALSE)</f>
        <v>JLA02</v>
      </c>
    </row>
    <row r="135" spans="1:13">
      <c r="A135" t="s">
        <v>432</v>
      </c>
      <c r="B135" t="s">
        <v>430</v>
      </c>
      <c r="C135" t="s">
        <v>184</v>
      </c>
      <c r="D135" t="s">
        <v>167</v>
      </c>
      <c r="E135" t="s">
        <v>168</v>
      </c>
      <c r="F135" t="s">
        <v>169</v>
      </c>
      <c r="G135" t="s">
        <v>170</v>
      </c>
      <c r="H135" t="s">
        <v>171</v>
      </c>
      <c r="I135" t="s">
        <v>172</v>
      </c>
      <c r="J135" t="s">
        <v>185</v>
      </c>
      <c r="K135">
        <v>51</v>
      </c>
      <c r="L135">
        <v>65</v>
      </c>
      <c r="M135" t="str">
        <f>VLOOKUP(A135,'csv import'!D:D,1,FALSE)</f>
        <v>JLA03</v>
      </c>
    </row>
    <row r="136" spans="1:13">
      <c r="A136" t="s">
        <v>433</v>
      </c>
      <c r="B136" t="s">
        <v>430</v>
      </c>
      <c r="C136" t="s">
        <v>184</v>
      </c>
      <c r="D136" t="s">
        <v>167</v>
      </c>
      <c r="E136" t="s">
        <v>168</v>
      </c>
      <c r="F136" t="s">
        <v>169</v>
      </c>
      <c r="G136" t="s">
        <v>170</v>
      </c>
      <c r="H136" t="s">
        <v>171</v>
      </c>
      <c r="I136" t="s">
        <v>172</v>
      </c>
      <c r="J136" t="s">
        <v>185</v>
      </c>
      <c r="K136">
        <v>51</v>
      </c>
      <c r="L136">
        <v>65</v>
      </c>
      <c r="M136" t="str">
        <f>VLOOKUP(A136,'csv import'!D:D,1,FALSE)</f>
        <v>JLA04</v>
      </c>
    </row>
    <row r="137" spans="1:13">
      <c r="A137" t="s">
        <v>434</v>
      </c>
      <c r="B137" t="s">
        <v>435</v>
      </c>
      <c r="C137" t="s">
        <v>184</v>
      </c>
      <c r="D137" t="s">
        <v>167</v>
      </c>
      <c r="E137" t="s">
        <v>168</v>
      </c>
      <c r="F137" t="s">
        <v>169</v>
      </c>
      <c r="G137" t="s">
        <v>170</v>
      </c>
      <c r="H137" t="s">
        <v>171</v>
      </c>
      <c r="I137" t="s">
        <v>172</v>
      </c>
      <c r="J137" t="s">
        <v>185</v>
      </c>
      <c r="K137">
        <v>76</v>
      </c>
      <c r="L137">
        <v>100</v>
      </c>
      <c r="M137" t="str">
        <f>VLOOKUP(A137,'csv import'!D:D,1,FALSE)</f>
        <v>JLB01</v>
      </c>
    </row>
    <row r="138" spans="1:13">
      <c r="A138" t="s">
        <v>436</v>
      </c>
      <c r="B138" t="s">
        <v>435</v>
      </c>
      <c r="C138" t="s">
        <v>184</v>
      </c>
      <c r="D138" t="s">
        <v>167</v>
      </c>
      <c r="E138" t="s">
        <v>168</v>
      </c>
      <c r="F138" t="s">
        <v>169</v>
      </c>
      <c r="G138" t="s">
        <v>170</v>
      </c>
      <c r="H138" t="s">
        <v>171</v>
      </c>
      <c r="I138" t="s">
        <v>172</v>
      </c>
      <c r="J138" t="s">
        <v>185</v>
      </c>
      <c r="K138">
        <v>76</v>
      </c>
      <c r="L138">
        <v>100</v>
      </c>
      <c r="M138" t="str">
        <f>VLOOKUP(A138,'csv import'!D:D,1,FALSE)</f>
        <v>JLB02</v>
      </c>
    </row>
    <row r="139" spans="1:13">
      <c r="A139" t="s">
        <v>437</v>
      </c>
      <c r="B139" t="s">
        <v>435</v>
      </c>
      <c r="C139" t="s">
        <v>184</v>
      </c>
      <c r="D139" t="s">
        <v>167</v>
      </c>
      <c r="E139" t="s">
        <v>168</v>
      </c>
      <c r="F139" t="s">
        <v>169</v>
      </c>
      <c r="G139" t="s">
        <v>170</v>
      </c>
      <c r="H139" t="s">
        <v>171</v>
      </c>
      <c r="I139" t="s">
        <v>172</v>
      </c>
      <c r="J139" t="s">
        <v>185</v>
      </c>
      <c r="K139">
        <v>76</v>
      </c>
      <c r="L139">
        <v>100</v>
      </c>
      <c r="M139" t="str">
        <f>VLOOKUP(A139,'csv import'!D:D,1,FALSE)</f>
        <v>JLB03</v>
      </c>
    </row>
    <row r="140" spans="1:13" hidden="1">
      <c r="A140" t="s">
        <v>438</v>
      </c>
      <c r="B140" t="s">
        <v>439</v>
      </c>
      <c r="C140" t="s">
        <v>176</v>
      </c>
      <c r="D140" t="s">
        <v>167</v>
      </c>
      <c r="E140" t="s">
        <v>168</v>
      </c>
      <c r="F140" t="s">
        <v>177</v>
      </c>
      <c r="G140" t="s">
        <v>210</v>
      </c>
      <c r="H140" t="s">
        <v>211</v>
      </c>
      <c r="I140" t="s">
        <v>199</v>
      </c>
      <c r="J140" t="s">
        <v>212</v>
      </c>
      <c r="K140">
        <v>1.1000000000000001</v>
      </c>
      <c r="L140">
        <v>1</v>
      </c>
      <c r="M140" t="e">
        <f>VLOOKUP(A140,final!D:D,1,FALSE)</f>
        <v>#N/A</v>
      </c>
    </row>
    <row r="141" spans="1:13">
      <c r="A141" t="s">
        <v>427</v>
      </c>
      <c r="B141" t="s">
        <v>428</v>
      </c>
      <c r="C141" t="s">
        <v>227</v>
      </c>
      <c r="D141" t="s">
        <v>167</v>
      </c>
      <c r="E141" t="s">
        <v>168</v>
      </c>
      <c r="F141" t="s">
        <v>169</v>
      </c>
      <c r="G141" t="s">
        <v>210</v>
      </c>
      <c r="H141" t="s">
        <v>211</v>
      </c>
      <c r="I141" t="s">
        <v>199</v>
      </c>
      <c r="J141" t="s">
        <v>212</v>
      </c>
      <c r="K141">
        <v>144</v>
      </c>
      <c r="L141">
        <v>144</v>
      </c>
      <c r="M141" t="str">
        <f>VLOOKUP(A141,'csv import'!D:D,1,FALSE)</f>
        <v>JBUTTERS</v>
      </c>
    </row>
    <row r="142" spans="1:13">
      <c r="A142" t="s">
        <v>440</v>
      </c>
      <c r="B142" t="s">
        <v>441</v>
      </c>
      <c r="C142" t="s">
        <v>176</v>
      </c>
      <c r="D142" t="s">
        <v>167</v>
      </c>
      <c r="E142" t="s">
        <v>168</v>
      </c>
      <c r="F142" t="s">
        <v>177</v>
      </c>
      <c r="G142" t="s">
        <v>210</v>
      </c>
      <c r="H142" t="s">
        <v>211</v>
      </c>
      <c r="I142" t="s">
        <v>199</v>
      </c>
      <c r="J142" t="s">
        <v>212</v>
      </c>
      <c r="K142">
        <v>14</v>
      </c>
      <c r="L142">
        <v>14</v>
      </c>
      <c r="M142" t="str">
        <f>VLOOKUP(A142,final!D:D,1,FALSE)</f>
        <v>JOUNAMA1</v>
      </c>
    </row>
    <row r="143" spans="1:13">
      <c r="A143" t="s">
        <v>442</v>
      </c>
      <c r="B143" t="s">
        <v>443</v>
      </c>
      <c r="C143" t="s">
        <v>215</v>
      </c>
      <c r="D143" t="s">
        <v>167</v>
      </c>
      <c r="E143" t="s">
        <v>168</v>
      </c>
      <c r="F143" t="s">
        <v>169</v>
      </c>
      <c r="G143" t="s">
        <v>210</v>
      </c>
      <c r="H143" t="s">
        <v>211</v>
      </c>
      <c r="I143" t="s">
        <v>199</v>
      </c>
      <c r="J143" t="s">
        <v>223</v>
      </c>
      <c r="K143">
        <v>21</v>
      </c>
      <c r="L143">
        <v>22</v>
      </c>
      <c r="M143" t="str">
        <f>VLOOKUP(A143,'csv import'!D:D,1,FALSE)</f>
        <v>KAREEYA1</v>
      </c>
    </row>
    <row r="144" spans="1:13">
      <c r="A144" t="s">
        <v>444</v>
      </c>
      <c r="B144" t="s">
        <v>443</v>
      </c>
      <c r="C144" t="s">
        <v>215</v>
      </c>
      <c r="D144" t="s">
        <v>167</v>
      </c>
      <c r="E144" t="s">
        <v>168</v>
      </c>
      <c r="F144" t="s">
        <v>169</v>
      </c>
      <c r="G144" t="s">
        <v>210</v>
      </c>
      <c r="H144" t="s">
        <v>211</v>
      </c>
      <c r="I144" t="s">
        <v>199</v>
      </c>
      <c r="J144" t="s">
        <v>223</v>
      </c>
      <c r="K144">
        <v>21</v>
      </c>
      <c r="L144">
        <v>22</v>
      </c>
      <c r="M144" t="str">
        <f>VLOOKUP(A144,'csv import'!D:D,1,FALSE)</f>
        <v>KAREEYA2</v>
      </c>
    </row>
    <row r="145" spans="1:13">
      <c r="A145" t="s">
        <v>445</v>
      </c>
      <c r="B145" t="s">
        <v>443</v>
      </c>
      <c r="C145" t="s">
        <v>215</v>
      </c>
      <c r="D145" t="s">
        <v>167</v>
      </c>
      <c r="E145" t="s">
        <v>168</v>
      </c>
      <c r="F145" t="s">
        <v>169</v>
      </c>
      <c r="G145" t="s">
        <v>210</v>
      </c>
      <c r="H145" t="s">
        <v>211</v>
      </c>
      <c r="I145" t="s">
        <v>199</v>
      </c>
      <c r="J145" t="s">
        <v>223</v>
      </c>
      <c r="K145">
        <v>21</v>
      </c>
      <c r="L145">
        <v>22</v>
      </c>
      <c r="M145" t="str">
        <f>VLOOKUP(A145,'csv import'!D:D,1,FALSE)</f>
        <v>KAREEYA3</v>
      </c>
    </row>
    <row r="146" spans="1:13">
      <c r="A146" t="s">
        <v>446</v>
      </c>
      <c r="B146" t="s">
        <v>443</v>
      </c>
      <c r="C146" t="s">
        <v>215</v>
      </c>
      <c r="D146" t="s">
        <v>167</v>
      </c>
      <c r="E146" t="s">
        <v>168</v>
      </c>
      <c r="F146" t="s">
        <v>169</v>
      </c>
      <c r="G146" t="s">
        <v>210</v>
      </c>
      <c r="H146" t="s">
        <v>211</v>
      </c>
      <c r="I146" t="s">
        <v>199</v>
      </c>
      <c r="J146" t="s">
        <v>223</v>
      </c>
      <c r="K146">
        <v>21</v>
      </c>
      <c r="L146">
        <v>22</v>
      </c>
      <c r="M146" t="str">
        <f>VLOOKUP(A146,'csv import'!D:D,1,FALSE)</f>
        <v>KAREEYA4</v>
      </c>
    </row>
    <row r="147" spans="1:13" hidden="1">
      <c r="A147" t="s">
        <v>447</v>
      </c>
      <c r="B147" t="s">
        <v>443</v>
      </c>
      <c r="C147" t="s">
        <v>215</v>
      </c>
      <c r="D147" t="s">
        <v>167</v>
      </c>
      <c r="E147" t="s">
        <v>168</v>
      </c>
      <c r="F147" t="s">
        <v>177</v>
      </c>
      <c r="G147" t="s">
        <v>210</v>
      </c>
      <c r="H147" t="s">
        <v>211</v>
      </c>
      <c r="I147" t="s">
        <v>199</v>
      </c>
      <c r="J147" t="s">
        <v>223</v>
      </c>
      <c r="K147">
        <v>7</v>
      </c>
      <c r="L147">
        <v>7</v>
      </c>
      <c r="M147" t="e">
        <f>VLOOKUP(A147,final!D:D,1,FALSE)</f>
        <v>#N/A</v>
      </c>
    </row>
    <row r="148" spans="1:13" hidden="1">
      <c r="A148" t="s">
        <v>448</v>
      </c>
      <c r="B148" t="s">
        <v>449</v>
      </c>
      <c r="C148" t="s">
        <v>176</v>
      </c>
      <c r="D148" t="s">
        <v>167</v>
      </c>
      <c r="E148" t="s">
        <v>168</v>
      </c>
      <c r="F148" t="s">
        <v>177</v>
      </c>
      <c r="G148" t="s">
        <v>210</v>
      </c>
      <c r="H148" t="s">
        <v>211</v>
      </c>
      <c r="I148" t="s">
        <v>199</v>
      </c>
      <c r="J148" t="s">
        <v>212</v>
      </c>
      <c r="K148">
        <v>6</v>
      </c>
      <c r="L148">
        <v>8</v>
      </c>
      <c r="M148" t="e">
        <f>VLOOKUP(A148,final!D:D,1,FALSE)</f>
        <v>#N/A</v>
      </c>
    </row>
    <row r="149" spans="1:13" hidden="1">
      <c r="A149" t="s">
        <v>450</v>
      </c>
      <c r="B149" t="s">
        <v>451</v>
      </c>
      <c r="C149" t="s">
        <v>176</v>
      </c>
      <c r="D149" t="s">
        <v>167</v>
      </c>
      <c r="E149" t="s">
        <v>168</v>
      </c>
      <c r="F149" t="s">
        <v>177</v>
      </c>
      <c r="G149" t="s">
        <v>170</v>
      </c>
      <c r="H149" t="s">
        <v>178</v>
      </c>
      <c r="I149" t="s">
        <v>199</v>
      </c>
      <c r="J149" t="s">
        <v>452</v>
      </c>
      <c r="K149">
        <v>1.0640000000000001</v>
      </c>
      <c r="L149">
        <v>1</v>
      </c>
      <c r="M149" t="e">
        <f>VLOOKUP(A149,final!D:D,1,FALSE)</f>
        <v>#N/A</v>
      </c>
    </row>
    <row r="150" spans="1:13">
      <c r="A150" t="s">
        <v>453</v>
      </c>
      <c r="B150" t="s">
        <v>454</v>
      </c>
      <c r="C150" t="s">
        <v>215</v>
      </c>
      <c r="D150" t="s">
        <v>167</v>
      </c>
      <c r="E150" t="s">
        <v>168</v>
      </c>
      <c r="F150" t="s">
        <v>169</v>
      </c>
      <c r="G150" t="s">
        <v>193</v>
      </c>
      <c r="H150" t="s">
        <v>280</v>
      </c>
      <c r="I150" t="s">
        <v>172</v>
      </c>
      <c r="J150" t="s">
        <v>334</v>
      </c>
      <c r="K150">
        <v>744</v>
      </c>
      <c r="L150">
        <v>781</v>
      </c>
      <c r="M150" t="str">
        <f>VLOOKUP(A150,'csv import'!D:D,1,FALSE)</f>
        <v>KPP_1</v>
      </c>
    </row>
    <row r="151" spans="1:13">
      <c r="A151" t="s">
        <v>455</v>
      </c>
      <c r="B151" t="s">
        <v>456</v>
      </c>
      <c r="C151" t="s">
        <v>166</v>
      </c>
      <c r="D151" t="s">
        <v>167</v>
      </c>
      <c r="E151" t="s">
        <v>168</v>
      </c>
      <c r="F151" t="s">
        <v>169</v>
      </c>
      <c r="G151" t="s">
        <v>170</v>
      </c>
      <c r="H151" t="s">
        <v>171</v>
      </c>
      <c r="I151" t="s">
        <v>172</v>
      </c>
      <c r="J151" t="s">
        <v>185</v>
      </c>
      <c r="K151">
        <v>40</v>
      </c>
      <c r="L151">
        <v>50</v>
      </c>
      <c r="M151" t="str">
        <f>VLOOKUP(A151,'csv import'!D:D,1,FALSE)</f>
        <v>LADBROK1</v>
      </c>
    </row>
    <row r="152" spans="1:13">
      <c r="A152" t="s">
        <v>457</v>
      </c>
      <c r="B152" t="s">
        <v>456</v>
      </c>
      <c r="C152" t="s">
        <v>166</v>
      </c>
      <c r="D152" t="s">
        <v>167</v>
      </c>
      <c r="E152" t="s">
        <v>168</v>
      </c>
      <c r="F152" t="s">
        <v>169</v>
      </c>
      <c r="G152" t="s">
        <v>170</v>
      </c>
      <c r="H152" t="s">
        <v>171</v>
      </c>
      <c r="I152" t="s">
        <v>172</v>
      </c>
      <c r="J152" t="s">
        <v>185</v>
      </c>
      <c r="K152">
        <v>40</v>
      </c>
      <c r="L152">
        <v>50</v>
      </c>
      <c r="M152" t="str">
        <f>VLOOKUP(A152,'csv import'!D:D,1,FALSE)</f>
        <v>LADBROK2</v>
      </c>
    </row>
    <row r="153" spans="1:13">
      <c r="A153" t="s">
        <v>473</v>
      </c>
      <c r="B153" t="s">
        <v>474</v>
      </c>
      <c r="C153" t="s">
        <v>166</v>
      </c>
      <c r="D153" t="s">
        <v>167</v>
      </c>
      <c r="E153" t="s">
        <v>168</v>
      </c>
      <c r="F153" t="s">
        <v>197</v>
      </c>
      <c r="G153" t="s">
        <v>198</v>
      </c>
      <c r="H153" t="s">
        <v>198</v>
      </c>
      <c r="I153" t="s">
        <v>199</v>
      </c>
      <c r="J153" t="s">
        <v>200</v>
      </c>
      <c r="K153">
        <v>159</v>
      </c>
      <c r="L153">
        <v>159</v>
      </c>
      <c r="M153" t="str">
        <f>VLOOKUP(A153,final!D:D,1,FALSE)</f>
        <v>LKBONNY2</v>
      </c>
    </row>
    <row r="154" spans="1:13">
      <c r="A154" t="s">
        <v>475</v>
      </c>
      <c r="B154" t="s">
        <v>476</v>
      </c>
      <c r="C154" t="s">
        <v>166</v>
      </c>
      <c r="D154" t="s">
        <v>167</v>
      </c>
      <c r="E154" t="s">
        <v>168</v>
      </c>
      <c r="F154" t="s">
        <v>197</v>
      </c>
      <c r="G154" t="s">
        <v>198</v>
      </c>
      <c r="H154" t="s">
        <v>198</v>
      </c>
      <c r="I154" t="s">
        <v>199</v>
      </c>
      <c r="J154" t="s">
        <v>200</v>
      </c>
      <c r="K154">
        <v>39</v>
      </c>
      <c r="L154">
        <v>39</v>
      </c>
      <c r="M154" t="str">
        <f>VLOOKUP(A154,final!D:D,1,FALSE)</f>
        <v>LKBONNY3</v>
      </c>
    </row>
    <row r="155" spans="1:13">
      <c r="A155" t="s">
        <v>471</v>
      </c>
      <c r="B155" t="s">
        <v>472</v>
      </c>
      <c r="C155" t="s">
        <v>166</v>
      </c>
      <c r="D155" t="s">
        <v>167</v>
      </c>
      <c r="E155" t="s">
        <v>168</v>
      </c>
      <c r="F155" t="s">
        <v>177</v>
      </c>
      <c r="G155" t="s">
        <v>198</v>
      </c>
      <c r="H155" t="s">
        <v>198</v>
      </c>
      <c r="I155" t="s">
        <v>199</v>
      </c>
      <c r="J155" t="s">
        <v>200</v>
      </c>
      <c r="K155">
        <v>80.5</v>
      </c>
      <c r="L155">
        <v>81</v>
      </c>
      <c r="M155" t="str">
        <f>VLOOKUP(A155,'csv import'!D:D,1,FALSE)</f>
        <v>LKBONNY1</v>
      </c>
    </row>
    <row r="156" spans="1:13">
      <c r="A156" t="s">
        <v>469</v>
      </c>
      <c r="B156" t="s">
        <v>470</v>
      </c>
      <c r="C156" t="s">
        <v>227</v>
      </c>
      <c r="D156" t="s">
        <v>167</v>
      </c>
      <c r="E156" t="s">
        <v>168</v>
      </c>
      <c r="F156" t="s">
        <v>169</v>
      </c>
      <c r="G156" t="s">
        <v>210</v>
      </c>
      <c r="H156" t="s">
        <v>211</v>
      </c>
      <c r="I156" t="s">
        <v>199</v>
      </c>
      <c r="J156" t="s">
        <v>212</v>
      </c>
      <c r="K156">
        <v>32.4</v>
      </c>
      <c r="L156">
        <v>34</v>
      </c>
      <c r="M156" t="str">
        <f>VLOOKUP(A156,'csv import'!D:D,1,FALSE)</f>
        <v>LK_ECHO</v>
      </c>
    </row>
    <row r="157" spans="1:13">
      <c r="A157" t="s">
        <v>458</v>
      </c>
      <c r="B157" t="s">
        <v>459</v>
      </c>
      <c r="C157" t="s">
        <v>184</v>
      </c>
      <c r="D157" t="s">
        <v>167</v>
      </c>
      <c r="E157" t="s">
        <v>168</v>
      </c>
      <c r="F157" t="s">
        <v>169</v>
      </c>
      <c r="G157" t="s">
        <v>170</v>
      </c>
      <c r="H157" t="s">
        <v>171</v>
      </c>
      <c r="I157" t="s">
        <v>172</v>
      </c>
      <c r="J157" t="s">
        <v>173</v>
      </c>
      <c r="K157">
        <v>312</v>
      </c>
      <c r="L157">
        <v>312</v>
      </c>
      <c r="M157" t="str">
        <f>VLOOKUP(A157,'csv import'!D:D,1,FALSE)</f>
        <v>LAVNORTH</v>
      </c>
    </row>
    <row r="158" spans="1:13">
      <c r="A158" t="s">
        <v>477</v>
      </c>
      <c r="B158" t="s">
        <v>459</v>
      </c>
      <c r="C158" t="s">
        <v>184</v>
      </c>
      <c r="D158" t="s">
        <v>167</v>
      </c>
      <c r="E158" t="s">
        <v>168</v>
      </c>
      <c r="F158" t="s">
        <v>169</v>
      </c>
      <c r="G158" t="s">
        <v>170</v>
      </c>
      <c r="H158" t="s">
        <v>171</v>
      </c>
      <c r="I158" t="s">
        <v>172</v>
      </c>
      <c r="J158" t="s">
        <v>185</v>
      </c>
      <c r="K158">
        <v>156</v>
      </c>
      <c r="L158">
        <v>172</v>
      </c>
      <c r="M158" t="str">
        <f>VLOOKUP(A158,final!D:D,1,FALSE)</f>
        <v>LNGS1</v>
      </c>
    </row>
    <row r="159" spans="1:13">
      <c r="A159" t="s">
        <v>478</v>
      </c>
      <c r="B159" t="s">
        <v>459</v>
      </c>
      <c r="C159" t="s">
        <v>184</v>
      </c>
      <c r="D159" t="s">
        <v>167</v>
      </c>
      <c r="E159" t="s">
        <v>168</v>
      </c>
      <c r="F159" t="s">
        <v>169</v>
      </c>
      <c r="G159" t="s">
        <v>170</v>
      </c>
      <c r="H159" t="s">
        <v>171</v>
      </c>
      <c r="I159" t="s">
        <v>172</v>
      </c>
      <c r="J159" t="s">
        <v>185</v>
      </c>
      <c r="K159">
        <v>156</v>
      </c>
      <c r="L159">
        <v>172</v>
      </c>
      <c r="M159" t="str">
        <f>VLOOKUP(A159,final!D:D,1,FALSE)</f>
        <v>LNGS2</v>
      </c>
    </row>
    <row r="160" spans="1:13">
      <c r="A160" t="s">
        <v>465</v>
      </c>
      <c r="B160" t="s">
        <v>466</v>
      </c>
      <c r="C160" t="s">
        <v>227</v>
      </c>
      <c r="D160" t="s">
        <v>167</v>
      </c>
      <c r="E160" t="s">
        <v>168</v>
      </c>
      <c r="F160" t="s">
        <v>169</v>
      </c>
      <c r="G160" t="s">
        <v>210</v>
      </c>
      <c r="H160" t="s">
        <v>211</v>
      </c>
      <c r="I160" t="s">
        <v>199</v>
      </c>
      <c r="J160" t="s">
        <v>212</v>
      </c>
      <c r="K160">
        <v>81.599999999999994</v>
      </c>
      <c r="L160">
        <v>86</v>
      </c>
      <c r="M160" t="str">
        <f>VLOOKUP(A160,'csv import'!D:D,1,FALSE)</f>
        <v>LEM_WIL</v>
      </c>
    </row>
    <row r="161" spans="1:13">
      <c r="A161" t="s">
        <v>460</v>
      </c>
      <c r="B161" t="s">
        <v>461</v>
      </c>
      <c r="C161" t="s">
        <v>176</v>
      </c>
      <c r="D161" t="s">
        <v>167</v>
      </c>
      <c r="E161" t="s">
        <v>168</v>
      </c>
      <c r="F161" t="s">
        <v>169</v>
      </c>
      <c r="G161" t="s">
        <v>193</v>
      </c>
      <c r="H161" t="s">
        <v>280</v>
      </c>
      <c r="I161" t="s">
        <v>172</v>
      </c>
      <c r="J161" t="s">
        <v>195</v>
      </c>
      <c r="K161">
        <v>500</v>
      </c>
      <c r="L161">
        <v>550</v>
      </c>
      <c r="M161" t="str">
        <f>VLOOKUP(A161,'csv import'!D:D,1,FALSE)</f>
        <v>LD01</v>
      </c>
    </row>
    <row r="162" spans="1:13">
      <c r="A162" t="s">
        <v>462</v>
      </c>
      <c r="B162" t="s">
        <v>461</v>
      </c>
      <c r="C162" t="s">
        <v>176</v>
      </c>
      <c r="D162" t="s">
        <v>167</v>
      </c>
      <c r="E162" t="s">
        <v>168</v>
      </c>
      <c r="F162" t="s">
        <v>169</v>
      </c>
      <c r="G162" t="s">
        <v>193</v>
      </c>
      <c r="H162" t="s">
        <v>280</v>
      </c>
      <c r="I162" t="s">
        <v>172</v>
      </c>
      <c r="J162" t="s">
        <v>195</v>
      </c>
      <c r="K162">
        <v>500</v>
      </c>
      <c r="L162">
        <v>550</v>
      </c>
      <c r="M162" t="str">
        <f>VLOOKUP(A162,'csv import'!D:D,1,FALSE)</f>
        <v>LD02</v>
      </c>
    </row>
    <row r="163" spans="1:13">
      <c r="A163" t="s">
        <v>463</v>
      </c>
      <c r="B163" t="s">
        <v>461</v>
      </c>
      <c r="C163" t="s">
        <v>176</v>
      </c>
      <c r="D163" t="s">
        <v>167</v>
      </c>
      <c r="E163" t="s">
        <v>168</v>
      </c>
      <c r="F163" t="s">
        <v>169</v>
      </c>
      <c r="G163" t="s">
        <v>193</v>
      </c>
      <c r="H163" t="s">
        <v>280</v>
      </c>
      <c r="I163" t="s">
        <v>172</v>
      </c>
      <c r="J163" t="s">
        <v>195</v>
      </c>
      <c r="K163">
        <v>500</v>
      </c>
      <c r="L163">
        <v>550</v>
      </c>
      <c r="M163" t="str">
        <f>VLOOKUP(A163,'csv import'!D:D,1,FALSE)</f>
        <v>LD03</v>
      </c>
    </row>
    <row r="164" spans="1:13">
      <c r="A164" t="s">
        <v>464</v>
      </c>
      <c r="B164" t="s">
        <v>461</v>
      </c>
      <c r="C164" t="s">
        <v>176</v>
      </c>
      <c r="D164" t="s">
        <v>167</v>
      </c>
      <c r="E164" t="s">
        <v>168</v>
      </c>
      <c r="F164" t="s">
        <v>169</v>
      </c>
      <c r="G164" t="s">
        <v>193</v>
      </c>
      <c r="H164" t="s">
        <v>280</v>
      </c>
      <c r="I164" t="s">
        <v>172</v>
      </c>
      <c r="J164" t="s">
        <v>195</v>
      </c>
      <c r="K164">
        <v>500</v>
      </c>
      <c r="L164">
        <v>550</v>
      </c>
      <c r="M164" t="str">
        <f>VLOOKUP(A164,'csv import'!D:D,1,FALSE)</f>
        <v>LD04</v>
      </c>
    </row>
    <row r="165" spans="1:13">
      <c r="A165" t="s">
        <v>479</v>
      </c>
      <c r="B165" t="s">
        <v>480</v>
      </c>
      <c r="C165" t="s">
        <v>184</v>
      </c>
      <c r="D165" t="s">
        <v>167</v>
      </c>
      <c r="E165" t="s">
        <v>168</v>
      </c>
      <c r="F165" t="s">
        <v>177</v>
      </c>
      <c r="G165" t="s">
        <v>170</v>
      </c>
      <c r="H165" t="s">
        <v>171</v>
      </c>
      <c r="I165" t="s">
        <v>172</v>
      </c>
      <c r="J165" t="s">
        <v>185</v>
      </c>
      <c r="K165">
        <v>44</v>
      </c>
      <c r="L165">
        <v>44.8</v>
      </c>
      <c r="M165" t="str">
        <f>VLOOKUP(A165,final!D:D,1,FALSE)</f>
        <v>LONGFORD</v>
      </c>
    </row>
    <row r="166" spans="1:13">
      <c r="A166" t="s">
        <v>481</v>
      </c>
      <c r="B166" t="s">
        <v>482</v>
      </c>
      <c r="C166" t="s">
        <v>166</v>
      </c>
      <c r="D166" t="s">
        <v>167</v>
      </c>
      <c r="E166" t="s">
        <v>168</v>
      </c>
      <c r="F166" t="s">
        <v>169</v>
      </c>
      <c r="G166" t="s">
        <v>188</v>
      </c>
      <c r="H166" t="s">
        <v>188</v>
      </c>
      <c r="I166" t="s">
        <v>172</v>
      </c>
      <c r="J166" t="s">
        <v>179</v>
      </c>
      <c r="K166">
        <v>20</v>
      </c>
      <c r="L166">
        <v>21</v>
      </c>
      <c r="M166" t="str">
        <f>VLOOKUP(A166,final!D:D,1,FALSE)</f>
        <v>LONSDALE</v>
      </c>
    </row>
    <row r="167" spans="1:13">
      <c r="A167" t="s">
        <v>489</v>
      </c>
      <c r="B167" t="s">
        <v>490</v>
      </c>
      <c r="C167" t="s">
        <v>184</v>
      </c>
      <c r="D167" t="s">
        <v>167</v>
      </c>
      <c r="E167" t="s">
        <v>168</v>
      </c>
      <c r="F167" t="s">
        <v>169</v>
      </c>
      <c r="G167" t="s">
        <v>193</v>
      </c>
      <c r="H167" t="s">
        <v>194</v>
      </c>
      <c r="I167" t="s">
        <v>172</v>
      </c>
      <c r="J167" t="s">
        <v>195</v>
      </c>
      <c r="K167">
        <v>560</v>
      </c>
      <c r="L167">
        <v>590</v>
      </c>
      <c r="M167" t="str">
        <f>VLOOKUP(A167,'csv import'!D:D,1,FALSE)</f>
        <v>LYA1</v>
      </c>
    </row>
    <row r="168" spans="1:13">
      <c r="A168" t="s">
        <v>491</v>
      </c>
      <c r="B168" t="s">
        <v>490</v>
      </c>
      <c r="C168" t="s">
        <v>184</v>
      </c>
      <c r="D168" t="s">
        <v>167</v>
      </c>
      <c r="E168" t="s">
        <v>168</v>
      </c>
      <c r="F168" t="s">
        <v>169</v>
      </c>
      <c r="G168" t="s">
        <v>193</v>
      </c>
      <c r="H168" t="s">
        <v>194</v>
      </c>
      <c r="I168" t="s">
        <v>172</v>
      </c>
      <c r="J168" t="s">
        <v>195</v>
      </c>
      <c r="K168">
        <v>530</v>
      </c>
      <c r="L168">
        <v>535</v>
      </c>
      <c r="M168" t="str">
        <f>VLOOKUP(A168,'csv import'!D:D,1,FALSE)</f>
        <v>LYA2</v>
      </c>
    </row>
    <row r="169" spans="1:13">
      <c r="A169" t="s">
        <v>492</v>
      </c>
      <c r="B169" t="s">
        <v>490</v>
      </c>
      <c r="C169" t="s">
        <v>184</v>
      </c>
      <c r="D169" t="s">
        <v>167</v>
      </c>
      <c r="E169" t="s">
        <v>168</v>
      </c>
      <c r="F169" t="s">
        <v>169</v>
      </c>
      <c r="G169" t="s">
        <v>193</v>
      </c>
      <c r="H169" t="s">
        <v>194</v>
      </c>
      <c r="I169" t="s">
        <v>172</v>
      </c>
      <c r="J169" t="s">
        <v>195</v>
      </c>
      <c r="K169">
        <v>560</v>
      </c>
      <c r="L169">
        <v>590</v>
      </c>
      <c r="M169" t="str">
        <f>VLOOKUP(A169,'csv import'!D:D,1,FALSE)</f>
        <v>LYA3</v>
      </c>
    </row>
    <row r="170" spans="1:13">
      <c r="A170" t="s">
        <v>493</v>
      </c>
      <c r="B170" t="s">
        <v>490</v>
      </c>
      <c r="C170" t="s">
        <v>184</v>
      </c>
      <c r="D170" t="s">
        <v>167</v>
      </c>
      <c r="E170" t="s">
        <v>168</v>
      </c>
      <c r="F170" t="s">
        <v>169</v>
      </c>
      <c r="G170" t="s">
        <v>193</v>
      </c>
      <c r="H170" t="s">
        <v>194</v>
      </c>
      <c r="I170" t="s">
        <v>172</v>
      </c>
      <c r="J170" t="s">
        <v>195</v>
      </c>
      <c r="K170">
        <v>560</v>
      </c>
      <c r="L170">
        <v>580</v>
      </c>
      <c r="M170" t="str">
        <f>VLOOKUP(A170,'csv import'!D:D,1,FALSE)</f>
        <v>LYA4</v>
      </c>
    </row>
    <row r="171" spans="1:13">
      <c r="A171" t="s">
        <v>483</v>
      </c>
      <c r="B171" t="s">
        <v>484</v>
      </c>
      <c r="C171" t="s">
        <v>184</v>
      </c>
      <c r="D171" t="s">
        <v>167</v>
      </c>
      <c r="E171" t="s">
        <v>168</v>
      </c>
      <c r="F171" t="s">
        <v>169</v>
      </c>
      <c r="G171" t="s">
        <v>193</v>
      </c>
      <c r="H171" t="s">
        <v>194</v>
      </c>
      <c r="I171" t="s">
        <v>172</v>
      </c>
      <c r="J171" t="s">
        <v>195</v>
      </c>
      <c r="K171">
        <v>500</v>
      </c>
      <c r="L171">
        <v>600</v>
      </c>
      <c r="M171" t="str">
        <f>VLOOKUP(A171,'csv import'!D:D,1,FALSE)</f>
        <v>LOYYB1</v>
      </c>
    </row>
    <row r="172" spans="1:13">
      <c r="A172" t="s">
        <v>485</v>
      </c>
      <c r="B172" t="s">
        <v>484</v>
      </c>
      <c r="C172" t="s">
        <v>184</v>
      </c>
      <c r="D172" t="s">
        <v>167</v>
      </c>
      <c r="E172" t="s">
        <v>168</v>
      </c>
      <c r="F172" t="s">
        <v>169</v>
      </c>
      <c r="G172" t="s">
        <v>193</v>
      </c>
      <c r="H172" t="s">
        <v>194</v>
      </c>
      <c r="I172" t="s">
        <v>172</v>
      </c>
      <c r="J172" t="s">
        <v>195</v>
      </c>
      <c r="K172">
        <v>500</v>
      </c>
      <c r="L172">
        <v>600</v>
      </c>
      <c r="M172" t="str">
        <f>VLOOKUP(A172,'csv import'!D:D,1,FALSE)</f>
        <v>LOYYB2</v>
      </c>
    </row>
    <row r="173" spans="1:13">
      <c r="A173" t="s">
        <v>486</v>
      </c>
      <c r="B173" t="s">
        <v>487</v>
      </c>
      <c r="C173" t="s">
        <v>176</v>
      </c>
      <c r="D173" t="s">
        <v>167</v>
      </c>
      <c r="E173" t="s">
        <v>168</v>
      </c>
      <c r="F173" t="s">
        <v>177</v>
      </c>
      <c r="G173" t="s">
        <v>170</v>
      </c>
      <c r="H173" t="s">
        <v>178</v>
      </c>
      <c r="I173" t="s">
        <v>172</v>
      </c>
      <c r="J173" t="s">
        <v>179</v>
      </c>
      <c r="K173">
        <v>13</v>
      </c>
      <c r="L173">
        <v>13</v>
      </c>
      <c r="M173" t="str">
        <f>VLOOKUP(A173,final!D:D,1,FALSE)</f>
        <v>LUCAS2S2</v>
      </c>
    </row>
    <row r="174" spans="1:13" hidden="1">
      <c r="A174" t="s">
        <v>488</v>
      </c>
      <c r="B174" t="s">
        <v>487</v>
      </c>
      <c r="C174" t="s">
        <v>176</v>
      </c>
      <c r="D174" t="s">
        <v>167</v>
      </c>
      <c r="E174" t="s">
        <v>168</v>
      </c>
      <c r="F174" t="s">
        <v>177</v>
      </c>
      <c r="G174" t="s">
        <v>170</v>
      </c>
      <c r="H174" t="s">
        <v>178</v>
      </c>
      <c r="I174" t="s">
        <v>172</v>
      </c>
      <c r="J174" t="s">
        <v>179</v>
      </c>
      <c r="K174">
        <v>5</v>
      </c>
      <c r="L174">
        <v>5</v>
      </c>
      <c r="M174" t="e">
        <f>VLOOKUP(A174,final!D:D,1,FALSE)</f>
        <v>#N/A</v>
      </c>
    </row>
    <row r="175" spans="1:13">
      <c r="A175" t="s">
        <v>494</v>
      </c>
      <c r="B175" t="s">
        <v>91</v>
      </c>
      <c r="C175" t="s">
        <v>184</v>
      </c>
      <c r="D175" t="s">
        <v>167</v>
      </c>
      <c r="E175" t="s">
        <v>168</v>
      </c>
      <c r="F175" t="s">
        <v>197</v>
      </c>
      <c r="G175" t="s">
        <v>198</v>
      </c>
      <c r="H175" t="s">
        <v>198</v>
      </c>
      <c r="I175" t="s">
        <v>199</v>
      </c>
      <c r="J175" t="s">
        <v>200</v>
      </c>
      <c r="K175">
        <v>420</v>
      </c>
      <c r="L175">
        <v>420</v>
      </c>
      <c r="M175" t="str">
        <f>VLOOKUP(A175,'csv import'!D:D,1,FALSE)</f>
        <v>MACARTH1</v>
      </c>
    </row>
    <row r="176" spans="1:13">
      <c r="A176" t="s">
        <v>495</v>
      </c>
      <c r="B176" t="s">
        <v>496</v>
      </c>
      <c r="C176" t="s">
        <v>215</v>
      </c>
      <c r="D176" t="s">
        <v>167</v>
      </c>
      <c r="E176" t="s">
        <v>168</v>
      </c>
      <c r="F176" t="s">
        <v>169</v>
      </c>
      <c r="G176" t="s">
        <v>188</v>
      </c>
      <c r="H176" t="s">
        <v>188</v>
      </c>
      <c r="I176" t="s">
        <v>172</v>
      </c>
      <c r="J176" t="s">
        <v>185</v>
      </c>
      <c r="K176">
        <v>30</v>
      </c>
      <c r="L176">
        <v>34</v>
      </c>
      <c r="M176" t="str">
        <f>VLOOKUP(A176,'csv import'!D:D,1,FALSE)</f>
        <v>MACKAYGT</v>
      </c>
    </row>
    <row r="177" spans="1:13">
      <c r="A177" t="s">
        <v>497</v>
      </c>
      <c r="B177" t="s">
        <v>498</v>
      </c>
      <c r="C177" t="s">
        <v>227</v>
      </c>
      <c r="D177" t="s">
        <v>167</v>
      </c>
      <c r="E177" t="s">
        <v>168</v>
      </c>
      <c r="F177" t="s">
        <v>169</v>
      </c>
      <c r="G177" t="s">
        <v>210</v>
      </c>
      <c r="H177" t="s">
        <v>211</v>
      </c>
      <c r="I177" t="s">
        <v>199</v>
      </c>
      <c r="J177" t="s">
        <v>212</v>
      </c>
      <c r="K177">
        <v>79.900000000000006</v>
      </c>
      <c r="L177">
        <v>89</v>
      </c>
      <c r="M177" t="str">
        <f>VLOOKUP(A177,'csv import'!D:D,1,FALSE)</f>
        <v>MACKNTSH</v>
      </c>
    </row>
    <row r="178" spans="1:13">
      <c r="A178" t="s">
        <v>503</v>
      </c>
      <c r="B178" t="s">
        <v>504</v>
      </c>
      <c r="C178" t="s">
        <v>227</v>
      </c>
      <c r="D178" t="s">
        <v>167</v>
      </c>
      <c r="E178" t="s">
        <v>168</v>
      </c>
      <c r="F178" t="s">
        <v>177</v>
      </c>
      <c r="G178" t="s">
        <v>188</v>
      </c>
      <c r="H178" t="s">
        <v>188</v>
      </c>
      <c r="I178" t="s">
        <v>172</v>
      </c>
      <c r="J178" t="s">
        <v>179</v>
      </c>
      <c r="K178">
        <v>24</v>
      </c>
      <c r="L178">
        <v>24</v>
      </c>
      <c r="M178" t="str">
        <f>VLOOKUP(A178,final!D:D,1,FALSE)</f>
        <v>MEADOWB2</v>
      </c>
    </row>
    <row r="179" spans="1:13">
      <c r="A179" t="s">
        <v>505</v>
      </c>
      <c r="B179" t="s">
        <v>506</v>
      </c>
      <c r="C179" t="s">
        <v>227</v>
      </c>
      <c r="D179" t="s">
        <v>167</v>
      </c>
      <c r="E179" t="s">
        <v>168</v>
      </c>
      <c r="F179" t="s">
        <v>169</v>
      </c>
      <c r="G179" t="s">
        <v>210</v>
      </c>
      <c r="H179" t="s">
        <v>211</v>
      </c>
      <c r="I179" t="s">
        <v>199</v>
      </c>
      <c r="J179" t="s">
        <v>212</v>
      </c>
      <c r="K179">
        <v>40</v>
      </c>
      <c r="L179">
        <v>42</v>
      </c>
      <c r="M179" t="str">
        <f>VLOOKUP(A179,'csv import'!D:D,1,FALSE)</f>
        <v>MEADOWBK</v>
      </c>
    </row>
    <row r="180" spans="1:13" hidden="1">
      <c r="A180" t="s">
        <v>509</v>
      </c>
      <c r="B180" t="s">
        <v>510</v>
      </c>
      <c r="C180" t="s">
        <v>227</v>
      </c>
      <c r="D180" t="s">
        <v>167</v>
      </c>
      <c r="E180" t="s">
        <v>313</v>
      </c>
      <c r="F180" t="s">
        <v>177</v>
      </c>
      <c r="G180" t="s">
        <v>210</v>
      </c>
      <c r="H180" t="s">
        <v>210</v>
      </c>
      <c r="I180" t="s">
        <v>199</v>
      </c>
      <c r="J180" t="s">
        <v>212</v>
      </c>
      <c r="K180">
        <v>6</v>
      </c>
      <c r="L180">
        <v>7</v>
      </c>
      <c r="M180" t="e">
        <f>VLOOKUP(A180,final!D:D,1,FALSE)</f>
        <v>#N/A</v>
      </c>
    </row>
    <row r="181" spans="1:13">
      <c r="A181" t="s">
        <v>532</v>
      </c>
      <c r="B181" t="s">
        <v>533</v>
      </c>
      <c r="C181" t="s">
        <v>215</v>
      </c>
      <c r="D181" t="s">
        <v>167</v>
      </c>
      <c r="E181" t="s">
        <v>168</v>
      </c>
      <c r="F181" t="s">
        <v>169</v>
      </c>
      <c r="G181" t="s">
        <v>193</v>
      </c>
      <c r="H181" t="s">
        <v>280</v>
      </c>
      <c r="I181" t="s">
        <v>172</v>
      </c>
      <c r="J181" t="s">
        <v>334</v>
      </c>
      <c r="K181">
        <v>426</v>
      </c>
      <c r="L181">
        <v>450</v>
      </c>
      <c r="M181" t="str">
        <f>VLOOKUP(A181,'csv import'!D:D,1,FALSE)</f>
        <v>MPP_1</v>
      </c>
    </row>
    <row r="182" spans="1:13">
      <c r="A182" t="s">
        <v>534</v>
      </c>
      <c r="B182" t="s">
        <v>533</v>
      </c>
      <c r="C182" t="s">
        <v>215</v>
      </c>
      <c r="D182" t="s">
        <v>167</v>
      </c>
      <c r="E182" t="s">
        <v>168</v>
      </c>
      <c r="F182" t="s">
        <v>169</v>
      </c>
      <c r="G182" t="s">
        <v>193</v>
      </c>
      <c r="H182" t="s">
        <v>280</v>
      </c>
      <c r="I182" t="s">
        <v>172</v>
      </c>
      <c r="J182" t="s">
        <v>334</v>
      </c>
      <c r="K182">
        <v>426</v>
      </c>
      <c r="L182">
        <v>450</v>
      </c>
      <c r="M182" t="str">
        <f>VLOOKUP(A182,'csv import'!D:D,1,FALSE)</f>
        <v>MPP_2</v>
      </c>
    </row>
    <row r="183" spans="1:13">
      <c r="A183" t="s">
        <v>511</v>
      </c>
      <c r="B183" t="s">
        <v>512</v>
      </c>
      <c r="C183" t="s">
        <v>166</v>
      </c>
      <c r="D183" t="s">
        <v>167</v>
      </c>
      <c r="E183" t="s">
        <v>168</v>
      </c>
      <c r="F183" t="s">
        <v>169</v>
      </c>
      <c r="G183" t="s">
        <v>170</v>
      </c>
      <c r="H183" t="s">
        <v>171</v>
      </c>
      <c r="I183" t="s">
        <v>172</v>
      </c>
      <c r="J183" t="s">
        <v>185</v>
      </c>
      <c r="K183">
        <v>90</v>
      </c>
      <c r="L183">
        <v>105</v>
      </c>
      <c r="M183" t="str">
        <f>VLOOKUP(A183,'csv import'!D:D,1,FALSE)</f>
        <v>MINTARO</v>
      </c>
    </row>
    <row r="184" spans="1:13">
      <c r="A184" t="s">
        <v>520</v>
      </c>
      <c r="B184" t="s">
        <v>521</v>
      </c>
      <c r="C184" t="s">
        <v>215</v>
      </c>
      <c r="D184" t="s">
        <v>167</v>
      </c>
      <c r="E184" t="s">
        <v>168</v>
      </c>
      <c r="F184" t="s">
        <v>177</v>
      </c>
      <c r="G184" t="s">
        <v>170</v>
      </c>
      <c r="H184" t="s">
        <v>257</v>
      </c>
      <c r="I184" t="s">
        <v>172</v>
      </c>
      <c r="J184" t="s">
        <v>179</v>
      </c>
      <c r="K184">
        <v>12.56</v>
      </c>
      <c r="L184">
        <v>13</v>
      </c>
      <c r="M184" t="str">
        <f>VLOOKUP(A184,final!D:D,1,FALSE)</f>
        <v>MORANBAH</v>
      </c>
    </row>
    <row r="185" spans="1:13">
      <c r="A185" t="s">
        <v>522</v>
      </c>
      <c r="B185" t="s">
        <v>523</v>
      </c>
      <c r="C185" t="s">
        <v>215</v>
      </c>
      <c r="D185" t="s">
        <v>167</v>
      </c>
      <c r="E185" t="s">
        <v>168</v>
      </c>
      <c r="F185" t="s">
        <v>197</v>
      </c>
      <c r="G185" t="s">
        <v>219</v>
      </c>
      <c r="H185" t="s">
        <v>219</v>
      </c>
      <c r="I185" t="s">
        <v>199</v>
      </c>
      <c r="J185" t="s">
        <v>268</v>
      </c>
      <c r="K185">
        <v>57</v>
      </c>
      <c r="L185">
        <v>56</v>
      </c>
      <c r="M185" t="str">
        <f>VLOOKUP(A185,final!D:D,1,FALSE)</f>
        <v>MOREESF1</v>
      </c>
    </row>
    <row r="186" spans="1:13" hidden="1">
      <c r="A186" t="s">
        <v>524</v>
      </c>
      <c r="B186" t="s">
        <v>525</v>
      </c>
      <c r="C186" t="s">
        <v>184</v>
      </c>
      <c r="D186" t="s">
        <v>167</v>
      </c>
      <c r="E186" t="s">
        <v>168</v>
      </c>
      <c r="F186" t="s">
        <v>177</v>
      </c>
      <c r="G186" t="s">
        <v>170</v>
      </c>
      <c r="H186" t="s">
        <v>178</v>
      </c>
      <c r="I186" t="s">
        <v>172</v>
      </c>
      <c r="J186" t="s">
        <v>179</v>
      </c>
      <c r="K186">
        <v>1</v>
      </c>
      <c r="L186">
        <v>1</v>
      </c>
      <c r="M186" t="e">
        <f>VLOOKUP(A186,final!D:D,1,FALSE)</f>
        <v>#N/A</v>
      </c>
    </row>
    <row r="187" spans="1:13">
      <c r="A187" t="s">
        <v>526</v>
      </c>
      <c r="B187" t="s">
        <v>527</v>
      </c>
      <c r="C187" t="s">
        <v>184</v>
      </c>
      <c r="D187" t="s">
        <v>167</v>
      </c>
      <c r="E187" t="s">
        <v>168</v>
      </c>
      <c r="F187" t="s">
        <v>169</v>
      </c>
      <c r="G187" t="s">
        <v>170</v>
      </c>
      <c r="H187" t="s">
        <v>171</v>
      </c>
      <c r="I187" t="s">
        <v>172</v>
      </c>
      <c r="J187" t="s">
        <v>185</v>
      </c>
      <c r="K187">
        <v>283</v>
      </c>
      <c r="L187">
        <v>281</v>
      </c>
      <c r="M187" t="str">
        <f>VLOOKUP(A187,'csv import'!D:D,1,FALSE)</f>
        <v>MORTLK11</v>
      </c>
    </row>
    <row r="188" spans="1:13">
      <c r="A188" t="s">
        <v>528</v>
      </c>
      <c r="B188" t="s">
        <v>527</v>
      </c>
      <c r="C188" t="s">
        <v>184</v>
      </c>
      <c r="D188" t="s">
        <v>167</v>
      </c>
      <c r="E188" t="s">
        <v>168</v>
      </c>
      <c r="F188" t="s">
        <v>169</v>
      </c>
      <c r="G188" t="s">
        <v>170</v>
      </c>
      <c r="H188" t="s">
        <v>171</v>
      </c>
      <c r="I188" t="s">
        <v>172</v>
      </c>
      <c r="J188" t="s">
        <v>185</v>
      </c>
      <c r="K188">
        <v>283</v>
      </c>
      <c r="L188">
        <v>281</v>
      </c>
      <c r="M188" t="str">
        <f>VLOOKUP(A188,'csv import'!D:D,1,FALSE)</f>
        <v>MORTLK12</v>
      </c>
    </row>
    <row r="189" spans="1:13">
      <c r="A189" t="s">
        <v>516</v>
      </c>
      <c r="B189" t="s">
        <v>517</v>
      </c>
      <c r="C189" t="s">
        <v>184</v>
      </c>
      <c r="D189" t="s">
        <v>167</v>
      </c>
      <c r="E189" t="s">
        <v>168</v>
      </c>
      <c r="F189" t="s">
        <v>177</v>
      </c>
      <c r="G189" t="s">
        <v>198</v>
      </c>
      <c r="H189" t="s">
        <v>198</v>
      </c>
      <c r="I189" t="s">
        <v>199</v>
      </c>
      <c r="J189" t="s">
        <v>200</v>
      </c>
      <c r="K189">
        <v>20</v>
      </c>
      <c r="L189">
        <v>20</v>
      </c>
      <c r="M189" t="str">
        <f>VLOOKUP(A189,'csv import'!D:D,1,FALSE)</f>
        <v>MLWF1</v>
      </c>
    </row>
    <row r="190" spans="1:13">
      <c r="A190" t="s">
        <v>507</v>
      </c>
      <c r="B190" t="s">
        <v>508</v>
      </c>
      <c r="C190" t="s">
        <v>184</v>
      </c>
      <c r="D190" t="s">
        <v>167</v>
      </c>
      <c r="E190" t="s">
        <v>168</v>
      </c>
      <c r="F190" t="s">
        <v>197</v>
      </c>
      <c r="G190" t="s">
        <v>198</v>
      </c>
      <c r="H190" t="s">
        <v>198</v>
      </c>
      <c r="I190" t="s">
        <v>199</v>
      </c>
      <c r="J190" t="s">
        <v>200</v>
      </c>
      <c r="K190">
        <v>131</v>
      </c>
      <c r="L190">
        <v>131</v>
      </c>
      <c r="M190" t="str">
        <f>VLOOKUP(A190,'csv import'!D:D,1,FALSE)</f>
        <v>MERCER01</v>
      </c>
    </row>
    <row r="191" spans="1:13">
      <c r="A191" t="s">
        <v>539</v>
      </c>
      <c r="B191" t="s">
        <v>540</v>
      </c>
      <c r="C191" t="s">
        <v>166</v>
      </c>
      <c r="D191" t="s">
        <v>167</v>
      </c>
      <c r="E191" t="s">
        <v>168</v>
      </c>
      <c r="F191" t="s">
        <v>177</v>
      </c>
      <c r="G191" t="s">
        <v>198</v>
      </c>
      <c r="H191" t="s">
        <v>198</v>
      </c>
      <c r="I191" t="s">
        <v>199</v>
      </c>
      <c r="J191" t="s">
        <v>200</v>
      </c>
      <c r="K191">
        <v>70</v>
      </c>
      <c r="L191">
        <v>70</v>
      </c>
      <c r="M191" t="str">
        <f>VLOOKUP(A191,'csv import'!D:D,1,FALSE)</f>
        <v>MTMILLAR</v>
      </c>
    </row>
    <row r="192" spans="1:13">
      <c r="A192" t="s">
        <v>529</v>
      </c>
      <c r="B192" t="s">
        <v>530</v>
      </c>
      <c r="C192" t="s">
        <v>176</v>
      </c>
      <c r="D192" t="s">
        <v>167</v>
      </c>
      <c r="E192" t="s">
        <v>168</v>
      </c>
      <c r="F192" t="s">
        <v>169</v>
      </c>
      <c r="G192" t="s">
        <v>193</v>
      </c>
      <c r="H192" t="s">
        <v>280</v>
      </c>
      <c r="I192" t="s">
        <v>172</v>
      </c>
      <c r="J192" t="s">
        <v>195</v>
      </c>
      <c r="K192">
        <v>700</v>
      </c>
      <c r="L192">
        <v>700</v>
      </c>
      <c r="M192" t="str">
        <f>VLOOKUP(A192,'csv import'!D:D,1,FALSE)</f>
        <v>MP1</v>
      </c>
    </row>
    <row r="193" spans="1:13">
      <c r="A193" t="s">
        <v>531</v>
      </c>
      <c r="B193" t="s">
        <v>530</v>
      </c>
      <c r="C193" t="s">
        <v>176</v>
      </c>
      <c r="D193" t="s">
        <v>167</v>
      </c>
      <c r="E193" t="s">
        <v>168</v>
      </c>
      <c r="F193" t="s">
        <v>169</v>
      </c>
      <c r="G193" t="s">
        <v>193</v>
      </c>
      <c r="H193" t="s">
        <v>280</v>
      </c>
      <c r="I193" t="s">
        <v>172</v>
      </c>
      <c r="J193" t="s">
        <v>195</v>
      </c>
      <c r="K193">
        <v>700</v>
      </c>
      <c r="L193">
        <v>700</v>
      </c>
      <c r="M193" t="str">
        <f>VLOOKUP(A193,'csv import'!D:D,1,FALSE)</f>
        <v>MP2</v>
      </c>
    </row>
    <row r="194" spans="1:13">
      <c r="A194" t="s">
        <v>535</v>
      </c>
      <c r="B194" t="s">
        <v>536</v>
      </c>
      <c r="C194" t="s">
        <v>215</v>
      </c>
      <c r="D194" t="s">
        <v>167</v>
      </c>
      <c r="E194" t="s">
        <v>168</v>
      </c>
      <c r="F194" t="s">
        <v>169</v>
      </c>
      <c r="G194" t="s">
        <v>170</v>
      </c>
      <c r="H194" t="s">
        <v>411</v>
      </c>
      <c r="I194" t="s">
        <v>172</v>
      </c>
      <c r="J194" t="s">
        <v>185</v>
      </c>
      <c r="K194">
        <v>146</v>
      </c>
      <c r="L194">
        <v>152</v>
      </c>
      <c r="M194" t="str">
        <f>VLOOKUP(A194,'csv import'!D:D,1,FALSE)</f>
        <v>MSTUART1</v>
      </c>
    </row>
    <row r="195" spans="1:13">
      <c r="A195" t="s">
        <v>537</v>
      </c>
      <c r="B195" t="s">
        <v>536</v>
      </c>
      <c r="C195" t="s">
        <v>215</v>
      </c>
      <c r="D195" t="s">
        <v>167</v>
      </c>
      <c r="E195" t="s">
        <v>168</v>
      </c>
      <c r="F195" t="s">
        <v>169</v>
      </c>
      <c r="G195" t="s">
        <v>170</v>
      </c>
      <c r="H195" t="s">
        <v>411</v>
      </c>
      <c r="I195" t="s">
        <v>172</v>
      </c>
      <c r="J195" t="s">
        <v>185</v>
      </c>
      <c r="K195">
        <v>146</v>
      </c>
      <c r="L195">
        <v>152</v>
      </c>
      <c r="M195" t="str">
        <f>VLOOKUP(A195,'csv import'!D:D,1,FALSE)</f>
        <v>MSTUART2</v>
      </c>
    </row>
    <row r="196" spans="1:13">
      <c r="A196" t="s">
        <v>538</v>
      </c>
      <c r="B196" t="s">
        <v>536</v>
      </c>
      <c r="C196" t="s">
        <v>215</v>
      </c>
      <c r="D196" t="s">
        <v>167</v>
      </c>
      <c r="E196" t="s">
        <v>168</v>
      </c>
      <c r="F196" t="s">
        <v>169</v>
      </c>
      <c r="G196" t="s">
        <v>170</v>
      </c>
      <c r="H196" t="s">
        <v>411</v>
      </c>
      <c r="I196" t="s">
        <v>172</v>
      </c>
      <c r="J196" t="s">
        <v>185</v>
      </c>
      <c r="K196">
        <v>131</v>
      </c>
      <c r="L196">
        <v>139</v>
      </c>
      <c r="M196" t="str">
        <f>VLOOKUP(A196,'csv import'!D:D,1,FALSE)</f>
        <v>MSTUART3</v>
      </c>
    </row>
    <row r="197" spans="1:13">
      <c r="A197" t="s">
        <v>513</v>
      </c>
      <c r="B197" t="s">
        <v>514</v>
      </c>
      <c r="C197" t="s">
        <v>176</v>
      </c>
      <c r="D197" t="s">
        <v>167</v>
      </c>
      <c r="E197" t="s">
        <v>168</v>
      </c>
      <c r="F197" t="s">
        <v>177</v>
      </c>
      <c r="G197" t="s">
        <v>219</v>
      </c>
      <c r="H197" t="s">
        <v>219</v>
      </c>
      <c r="I197" t="s">
        <v>199</v>
      </c>
      <c r="J197" t="s">
        <v>268</v>
      </c>
      <c r="K197">
        <v>12</v>
      </c>
      <c r="L197">
        <v>12</v>
      </c>
      <c r="M197" t="e">
        <f>VLOOKUP(A197,final!D:D,1,FALSE)</f>
        <v>#N/A</v>
      </c>
    </row>
    <row r="198" spans="1:13">
      <c r="A198" t="s">
        <v>515</v>
      </c>
      <c r="B198" t="s">
        <v>514</v>
      </c>
      <c r="C198" t="s">
        <v>176</v>
      </c>
      <c r="D198" t="s">
        <v>167</v>
      </c>
      <c r="E198" t="s">
        <v>168</v>
      </c>
      <c r="F198" t="s">
        <v>177</v>
      </c>
      <c r="G198" t="s">
        <v>219</v>
      </c>
      <c r="H198" t="s">
        <v>219</v>
      </c>
      <c r="I198" t="s">
        <v>199</v>
      </c>
      <c r="J198" t="s">
        <v>268</v>
      </c>
      <c r="K198">
        <v>12</v>
      </c>
      <c r="L198">
        <v>12</v>
      </c>
      <c r="M198" t="str">
        <f>VLOOKUP(A198,final!D:D,1,FALSE)</f>
        <v>MLSP1</v>
      </c>
    </row>
    <row r="199" spans="1:13">
      <c r="A199" t="s">
        <v>541</v>
      </c>
      <c r="B199" t="s">
        <v>542</v>
      </c>
      <c r="C199" t="s">
        <v>184</v>
      </c>
      <c r="D199" t="s">
        <v>167</v>
      </c>
      <c r="E199" t="s">
        <v>168</v>
      </c>
      <c r="F199" t="s">
        <v>169</v>
      </c>
      <c r="G199" t="s">
        <v>210</v>
      </c>
      <c r="H199" t="s">
        <v>211</v>
      </c>
      <c r="I199" t="s">
        <v>199</v>
      </c>
      <c r="J199" t="s">
        <v>212</v>
      </c>
      <c r="K199">
        <v>1500</v>
      </c>
      <c r="L199">
        <v>1575</v>
      </c>
      <c r="M199" t="str">
        <f>VLOOKUP(A199,'csv import'!D:D,1,FALSE)</f>
        <v>MURRAY</v>
      </c>
    </row>
    <row r="200" spans="1:13">
      <c r="A200" t="s">
        <v>543</v>
      </c>
      <c r="B200" t="s">
        <v>544</v>
      </c>
      <c r="C200" t="s">
        <v>227</v>
      </c>
      <c r="D200" t="s">
        <v>167</v>
      </c>
      <c r="E200" t="s">
        <v>168</v>
      </c>
      <c r="F200" t="s">
        <v>197</v>
      </c>
      <c r="G200" t="s">
        <v>198</v>
      </c>
      <c r="H200" t="s">
        <v>198</v>
      </c>
      <c r="I200" t="s">
        <v>199</v>
      </c>
      <c r="J200" t="s">
        <v>200</v>
      </c>
      <c r="K200">
        <v>168</v>
      </c>
      <c r="L200">
        <v>168</v>
      </c>
      <c r="M200" t="str">
        <f>VLOOKUP(A200,'csv import'!D:D,1,FALSE)</f>
        <v>MUSSELR1</v>
      </c>
    </row>
    <row r="201" spans="1:13">
      <c r="A201" t="s">
        <v>549</v>
      </c>
      <c r="B201" t="s">
        <v>550</v>
      </c>
      <c r="C201" t="s">
        <v>184</v>
      </c>
      <c r="D201" t="s">
        <v>167</v>
      </c>
      <c r="E201" t="s">
        <v>168</v>
      </c>
      <c r="F201" t="s">
        <v>169</v>
      </c>
      <c r="G201" t="s">
        <v>170</v>
      </c>
      <c r="H201" t="s">
        <v>171</v>
      </c>
      <c r="I201" t="s">
        <v>172</v>
      </c>
      <c r="J201" t="s">
        <v>195</v>
      </c>
      <c r="K201">
        <v>500</v>
      </c>
      <c r="L201">
        <v>510</v>
      </c>
      <c r="M201" t="str">
        <f>VLOOKUP(A201,'csv import'!D:D,1,FALSE)</f>
        <v>NPS</v>
      </c>
    </row>
    <row r="202" spans="1:13" hidden="1">
      <c r="A202" t="s">
        <v>547</v>
      </c>
      <c r="B202" t="s">
        <v>548</v>
      </c>
      <c r="C202" t="s">
        <v>176</v>
      </c>
      <c r="D202" t="s">
        <v>167</v>
      </c>
      <c r="E202" t="s">
        <v>168</v>
      </c>
      <c r="F202" t="s">
        <v>177</v>
      </c>
      <c r="G202" t="s">
        <v>188</v>
      </c>
      <c r="H202" t="s">
        <v>188</v>
      </c>
      <c r="I202" t="s">
        <v>172</v>
      </c>
      <c r="J202" t="s">
        <v>179</v>
      </c>
      <c r="K202">
        <v>3.2</v>
      </c>
      <c r="L202">
        <v>2</v>
      </c>
      <c r="M202" t="e">
        <f>VLOOKUP(A202,final!D:D,1,FALSE)</f>
        <v>#N/A</v>
      </c>
    </row>
    <row r="203" spans="1:13">
      <c r="A203" t="s">
        <v>545</v>
      </c>
      <c r="B203" t="s">
        <v>546</v>
      </c>
      <c r="C203" t="s">
        <v>166</v>
      </c>
      <c r="D203" t="s">
        <v>167</v>
      </c>
      <c r="E203" t="s">
        <v>168</v>
      </c>
      <c r="F203" t="s">
        <v>197</v>
      </c>
      <c r="G203" t="s">
        <v>198</v>
      </c>
      <c r="H203" t="s">
        <v>198</v>
      </c>
      <c r="I203" t="s">
        <v>199</v>
      </c>
      <c r="J203" t="s">
        <v>200</v>
      </c>
      <c r="K203">
        <v>132.30000000000001</v>
      </c>
      <c r="L203">
        <v>132</v>
      </c>
      <c r="M203" t="str">
        <f>VLOOKUP(A203,'csv import'!D:D,1,FALSE)</f>
        <v>NBHWF1</v>
      </c>
    </row>
    <row r="204" spans="1:13">
      <c r="A204" t="s">
        <v>551</v>
      </c>
      <c r="B204" t="s">
        <v>552</v>
      </c>
      <c r="C204" t="s">
        <v>166</v>
      </c>
      <c r="D204" t="s">
        <v>167</v>
      </c>
      <c r="E204" t="s">
        <v>168</v>
      </c>
      <c r="F204" t="s">
        <v>169</v>
      </c>
      <c r="G204" t="s">
        <v>193</v>
      </c>
      <c r="H204" t="s">
        <v>194</v>
      </c>
      <c r="I204" t="s">
        <v>172</v>
      </c>
      <c r="J204" t="s">
        <v>195</v>
      </c>
      <c r="K204">
        <v>260</v>
      </c>
      <c r="L204">
        <v>260</v>
      </c>
      <c r="M204" t="str">
        <f>VLOOKUP(A204,'csv import'!D:D,1,FALSE)</f>
        <v>NPS1</v>
      </c>
    </row>
    <row r="205" spans="1:13">
      <c r="A205" t="s">
        <v>553</v>
      </c>
      <c r="B205" t="s">
        <v>552</v>
      </c>
      <c r="C205" t="s">
        <v>166</v>
      </c>
      <c r="D205" t="s">
        <v>167</v>
      </c>
      <c r="E205" t="s">
        <v>168</v>
      </c>
      <c r="F205" t="s">
        <v>169</v>
      </c>
      <c r="G205" t="s">
        <v>193</v>
      </c>
      <c r="H205" t="s">
        <v>194</v>
      </c>
      <c r="I205" t="s">
        <v>172</v>
      </c>
      <c r="J205" t="s">
        <v>195</v>
      </c>
      <c r="K205">
        <v>260</v>
      </c>
      <c r="L205">
        <v>260</v>
      </c>
      <c r="M205" t="str">
        <f>VLOOKUP(A205,'csv import'!D:D,1,FALSE)</f>
        <v>NPS2</v>
      </c>
    </row>
    <row r="206" spans="1:13">
      <c r="A206" t="s">
        <v>554</v>
      </c>
      <c r="B206" t="s">
        <v>555</v>
      </c>
      <c r="C206" t="s">
        <v>176</v>
      </c>
      <c r="D206" t="s">
        <v>167</v>
      </c>
      <c r="E206" t="s">
        <v>168</v>
      </c>
      <c r="F206" t="s">
        <v>197</v>
      </c>
      <c r="G206" t="s">
        <v>219</v>
      </c>
      <c r="H206" t="s">
        <v>219</v>
      </c>
      <c r="I206" t="s">
        <v>199</v>
      </c>
      <c r="J206" t="s">
        <v>268</v>
      </c>
      <c r="K206">
        <v>102</v>
      </c>
      <c r="L206">
        <v>102</v>
      </c>
      <c r="M206" t="str">
        <f>VLOOKUP(A206,'csv import'!D:D,1,FALSE)</f>
        <v>NYNGAN1</v>
      </c>
    </row>
    <row r="207" spans="1:13">
      <c r="A207" t="s">
        <v>556</v>
      </c>
      <c r="B207" t="s">
        <v>557</v>
      </c>
      <c r="C207" t="s">
        <v>215</v>
      </c>
      <c r="D207" t="s">
        <v>167</v>
      </c>
      <c r="E207" t="s">
        <v>168</v>
      </c>
      <c r="F207" t="s">
        <v>169</v>
      </c>
      <c r="G207" t="s">
        <v>170</v>
      </c>
      <c r="H207" t="s">
        <v>171</v>
      </c>
      <c r="I207" t="s">
        <v>172</v>
      </c>
      <c r="J207" t="s">
        <v>185</v>
      </c>
      <c r="K207">
        <v>141</v>
      </c>
      <c r="L207">
        <v>171</v>
      </c>
      <c r="M207" t="str">
        <f>VLOOKUP(A207,'csv import'!D:D,1,FALSE)</f>
        <v>OAKEY1</v>
      </c>
    </row>
    <row r="208" spans="1:13">
      <c r="A208" t="s">
        <v>558</v>
      </c>
      <c r="B208" t="s">
        <v>557</v>
      </c>
      <c r="C208" t="s">
        <v>215</v>
      </c>
      <c r="D208" t="s">
        <v>167</v>
      </c>
      <c r="E208" t="s">
        <v>168</v>
      </c>
      <c r="F208" t="s">
        <v>169</v>
      </c>
      <c r="G208" t="s">
        <v>170</v>
      </c>
      <c r="H208" t="s">
        <v>171</v>
      </c>
      <c r="I208" t="s">
        <v>172</v>
      </c>
      <c r="J208" t="s">
        <v>185</v>
      </c>
      <c r="K208">
        <v>141</v>
      </c>
      <c r="L208">
        <v>171</v>
      </c>
      <c r="M208" t="str">
        <f>VLOOKUP(A208,'csv import'!D:D,1,FALSE)</f>
        <v>OAKEY2</v>
      </c>
    </row>
    <row r="209" spans="1:13">
      <c r="A209" t="s">
        <v>559</v>
      </c>
      <c r="B209" t="s">
        <v>560</v>
      </c>
      <c r="C209" t="s">
        <v>184</v>
      </c>
      <c r="D209" t="s">
        <v>167</v>
      </c>
      <c r="E209" t="s">
        <v>168</v>
      </c>
      <c r="F209" t="s">
        <v>197</v>
      </c>
      <c r="G209" t="s">
        <v>198</v>
      </c>
      <c r="H209" t="s">
        <v>198</v>
      </c>
      <c r="I209" t="s">
        <v>199</v>
      </c>
      <c r="J209" t="s">
        <v>200</v>
      </c>
      <c r="K209">
        <v>67</v>
      </c>
      <c r="L209">
        <v>63</v>
      </c>
      <c r="M209" t="str">
        <f>VLOOKUP(A209,'csv import'!D:D,1,FALSE)</f>
        <v>OAKLAND1</v>
      </c>
    </row>
    <row r="210" spans="1:13">
      <c r="A210" t="s">
        <v>561</v>
      </c>
      <c r="B210" t="s">
        <v>562</v>
      </c>
      <c r="C210" t="s">
        <v>166</v>
      </c>
      <c r="D210" t="s">
        <v>167</v>
      </c>
      <c r="E210" t="s">
        <v>168</v>
      </c>
      <c r="F210" t="s">
        <v>169</v>
      </c>
      <c r="G210" t="s">
        <v>170</v>
      </c>
      <c r="H210" t="s">
        <v>171</v>
      </c>
      <c r="I210" t="s">
        <v>172</v>
      </c>
      <c r="J210" t="s">
        <v>216</v>
      </c>
      <c r="K210">
        <v>180</v>
      </c>
      <c r="L210">
        <v>204</v>
      </c>
      <c r="M210" t="str">
        <f>VLOOKUP(A210,'csv import'!D:D,1,FALSE)</f>
        <v>OSB-AG</v>
      </c>
    </row>
    <row r="211" spans="1:13">
      <c r="A211" t="s">
        <v>563</v>
      </c>
      <c r="B211" t="s">
        <v>564</v>
      </c>
      <c r="C211" t="s">
        <v>227</v>
      </c>
      <c r="D211" t="s">
        <v>167</v>
      </c>
      <c r="E211" t="s">
        <v>168</v>
      </c>
      <c r="F211" t="s">
        <v>177</v>
      </c>
      <c r="G211" t="s">
        <v>210</v>
      </c>
      <c r="H211" t="s">
        <v>211</v>
      </c>
      <c r="I211" t="s">
        <v>199</v>
      </c>
      <c r="J211" t="s">
        <v>212</v>
      </c>
      <c r="K211">
        <v>28</v>
      </c>
      <c r="L211">
        <v>33</v>
      </c>
      <c r="M211" t="str">
        <f>VLOOKUP(A211,'csv import'!D:D,1,FALSE)</f>
        <v>PALOONA</v>
      </c>
    </row>
    <row r="212" spans="1:13" hidden="1">
      <c r="A212" t="s">
        <v>565</v>
      </c>
      <c r="B212" t="s">
        <v>566</v>
      </c>
      <c r="C212" t="s">
        <v>166</v>
      </c>
      <c r="D212" t="s">
        <v>167</v>
      </c>
      <c r="E212" t="s">
        <v>168</v>
      </c>
      <c r="F212" t="s">
        <v>177</v>
      </c>
      <c r="G212" t="s">
        <v>170</v>
      </c>
      <c r="H212" t="s">
        <v>178</v>
      </c>
      <c r="I212" t="s">
        <v>172</v>
      </c>
      <c r="J212" t="s">
        <v>254</v>
      </c>
      <c r="K212">
        <v>3</v>
      </c>
      <c r="L212">
        <v>3</v>
      </c>
      <c r="M212" t="e">
        <f>VLOOKUP(A212,final!D:D,1,FALSE)</f>
        <v>#N/A</v>
      </c>
    </row>
    <row r="213" spans="1:13">
      <c r="A213" t="s">
        <v>581</v>
      </c>
      <c r="B213" t="s">
        <v>582</v>
      </c>
      <c r="C213" t="s">
        <v>166</v>
      </c>
      <c r="D213" t="s">
        <v>167</v>
      </c>
      <c r="E213" t="s">
        <v>168</v>
      </c>
      <c r="F213" t="s">
        <v>169</v>
      </c>
      <c r="G213" t="s">
        <v>170</v>
      </c>
      <c r="H213" t="s">
        <v>171</v>
      </c>
      <c r="I213" t="s">
        <v>172</v>
      </c>
      <c r="J213" t="s">
        <v>216</v>
      </c>
      <c r="K213">
        <v>478</v>
      </c>
      <c r="L213">
        <v>510</v>
      </c>
      <c r="M213" t="str">
        <f>VLOOKUP(A213,'csv import'!D:D,1,FALSE)</f>
        <v>PPCCGT</v>
      </c>
    </row>
    <row r="214" spans="1:13" hidden="1">
      <c r="A214" t="s">
        <v>567</v>
      </c>
      <c r="B214" t="s">
        <v>568</v>
      </c>
      <c r="C214" t="s">
        <v>176</v>
      </c>
      <c r="D214" t="s">
        <v>167</v>
      </c>
      <c r="E214" t="s">
        <v>168</v>
      </c>
      <c r="F214" t="s">
        <v>177</v>
      </c>
      <c r="G214" t="s">
        <v>210</v>
      </c>
      <c r="H214" t="s">
        <v>211</v>
      </c>
      <c r="I214" t="s">
        <v>199</v>
      </c>
      <c r="J214" t="s">
        <v>212</v>
      </c>
      <c r="K214">
        <v>6.7</v>
      </c>
      <c r="L214">
        <v>6</v>
      </c>
      <c r="M214" t="e">
        <f>VLOOKUP(A214,final!D:D,1,FALSE)</f>
        <v>#N/A</v>
      </c>
    </row>
    <row r="215" spans="1:13">
      <c r="A215" t="s">
        <v>569</v>
      </c>
      <c r="B215" t="s">
        <v>570</v>
      </c>
      <c r="C215" t="s">
        <v>215</v>
      </c>
      <c r="D215" t="s">
        <v>167</v>
      </c>
      <c r="E215" t="s">
        <v>168</v>
      </c>
      <c r="F215" t="s">
        <v>177</v>
      </c>
      <c r="G215" t="s">
        <v>286</v>
      </c>
      <c r="H215" t="s">
        <v>287</v>
      </c>
      <c r="I215" t="s">
        <v>172</v>
      </c>
      <c r="J215" t="s">
        <v>195</v>
      </c>
      <c r="K215">
        <v>63</v>
      </c>
      <c r="L215">
        <v>63</v>
      </c>
      <c r="M215" t="str">
        <f>VLOOKUP(A215,final!D:D,1,FALSE)</f>
        <v>PIONEER</v>
      </c>
    </row>
    <row r="216" spans="1:13">
      <c r="A216" t="s">
        <v>571</v>
      </c>
      <c r="B216" t="s">
        <v>572</v>
      </c>
      <c r="C216" t="s">
        <v>227</v>
      </c>
      <c r="D216" t="s">
        <v>167</v>
      </c>
      <c r="E216" t="s">
        <v>168</v>
      </c>
      <c r="F216" t="s">
        <v>169</v>
      </c>
      <c r="G216" t="s">
        <v>210</v>
      </c>
      <c r="H216" t="s">
        <v>211</v>
      </c>
      <c r="I216" t="s">
        <v>199</v>
      </c>
      <c r="J216" t="s">
        <v>212</v>
      </c>
      <c r="K216">
        <v>100</v>
      </c>
      <c r="L216">
        <v>124</v>
      </c>
      <c r="M216" t="str">
        <f>VLOOKUP(A216,'csv import'!D:D,1,FALSE)</f>
        <v>POAT110</v>
      </c>
    </row>
    <row r="217" spans="1:13">
      <c r="A217" t="s">
        <v>573</v>
      </c>
      <c r="B217" t="s">
        <v>572</v>
      </c>
      <c r="C217" t="s">
        <v>227</v>
      </c>
      <c r="D217" t="s">
        <v>167</v>
      </c>
      <c r="E217" t="s">
        <v>168</v>
      </c>
      <c r="F217" t="s">
        <v>169</v>
      </c>
      <c r="G217" t="s">
        <v>210</v>
      </c>
      <c r="H217" t="s">
        <v>211</v>
      </c>
      <c r="I217" t="s">
        <v>199</v>
      </c>
      <c r="J217" t="s">
        <v>212</v>
      </c>
      <c r="K217">
        <v>200</v>
      </c>
      <c r="L217">
        <v>248</v>
      </c>
      <c r="M217" t="str">
        <f>VLOOKUP(A217,'csv import'!D:D,1,FALSE)</f>
        <v>POAT220</v>
      </c>
    </row>
    <row r="218" spans="1:13">
      <c r="A218" t="s">
        <v>577</v>
      </c>
      <c r="B218" t="s">
        <v>578</v>
      </c>
      <c r="C218" t="s">
        <v>227</v>
      </c>
      <c r="D218" t="s">
        <v>167</v>
      </c>
      <c r="E218" t="s">
        <v>168</v>
      </c>
      <c r="F218" t="s">
        <v>177</v>
      </c>
      <c r="G218" t="s">
        <v>188</v>
      </c>
      <c r="H218" t="s">
        <v>188</v>
      </c>
      <c r="I218" t="s">
        <v>172</v>
      </c>
      <c r="J218" t="s">
        <v>179</v>
      </c>
      <c r="K218">
        <v>23</v>
      </c>
      <c r="L218">
        <v>23</v>
      </c>
      <c r="M218" t="str">
        <f>VLOOKUP(A218,final!D:D,1,FALSE)</f>
        <v>PORTLAT1</v>
      </c>
    </row>
    <row r="219" spans="1:13">
      <c r="A219" t="s">
        <v>574</v>
      </c>
      <c r="B219" t="s">
        <v>575</v>
      </c>
      <c r="C219" t="s">
        <v>166</v>
      </c>
      <c r="D219" t="s">
        <v>167</v>
      </c>
      <c r="E219" t="s">
        <v>168</v>
      </c>
      <c r="F219" t="s">
        <v>169</v>
      </c>
      <c r="G219" t="s">
        <v>188</v>
      </c>
      <c r="H219" t="s">
        <v>188</v>
      </c>
      <c r="I219" t="s">
        <v>172</v>
      </c>
      <c r="J219" t="s">
        <v>185</v>
      </c>
      <c r="K219">
        <v>50</v>
      </c>
      <c r="L219">
        <v>55</v>
      </c>
      <c r="M219" t="str">
        <f>VLOOKUP(A219,'csv import'!D:D,1,FALSE)</f>
        <v>POR01</v>
      </c>
    </row>
    <row r="220" spans="1:13">
      <c r="A220" t="s">
        <v>576</v>
      </c>
      <c r="B220" t="s">
        <v>575</v>
      </c>
      <c r="C220" t="s">
        <v>166</v>
      </c>
      <c r="D220" t="s">
        <v>167</v>
      </c>
      <c r="E220" t="s">
        <v>168</v>
      </c>
      <c r="F220" t="s">
        <v>169</v>
      </c>
      <c r="G220" t="s">
        <v>188</v>
      </c>
      <c r="H220" t="s">
        <v>188</v>
      </c>
      <c r="I220" t="s">
        <v>172</v>
      </c>
      <c r="J220" t="s">
        <v>185</v>
      </c>
      <c r="K220">
        <v>23.5</v>
      </c>
      <c r="L220">
        <v>23</v>
      </c>
      <c r="M220" t="str">
        <f>VLOOKUP(A220,'csv import'!D:D,1,FALSE)</f>
        <v>POR03</v>
      </c>
    </row>
    <row r="221" spans="1:13">
      <c r="A221" t="s">
        <v>583</v>
      </c>
      <c r="B221" t="s">
        <v>584</v>
      </c>
      <c r="C221" t="s">
        <v>166</v>
      </c>
      <c r="D221" t="s">
        <v>167</v>
      </c>
      <c r="E221" t="s">
        <v>168</v>
      </c>
      <c r="F221" t="s">
        <v>169</v>
      </c>
      <c r="G221" t="s">
        <v>188</v>
      </c>
      <c r="H221" t="s">
        <v>188</v>
      </c>
      <c r="I221" t="s">
        <v>172</v>
      </c>
      <c r="J221" t="s">
        <v>179</v>
      </c>
      <c r="K221">
        <v>58</v>
      </c>
      <c r="L221">
        <v>65</v>
      </c>
      <c r="M221" t="str">
        <f>VLOOKUP(A221,final!D:D,1,FALSE)</f>
        <v>PTSTAN1</v>
      </c>
    </row>
    <row r="222" spans="1:13">
      <c r="A222" t="s">
        <v>579</v>
      </c>
      <c r="B222" t="s">
        <v>580</v>
      </c>
      <c r="C222" t="s">
        <v>184</v>
      </c>
      <c r="D222" t="s">
        <v>167</v>
      </c>
      <c r="E222" t="s">
        <v>313</v>
      </c>
      <c r="F222" t="s">
        <v>177</v>
      </c>
      <c r="G222" t="s">
        <v>198</v>
      </c>
      <c r="H222" t="s">
        <v>198</v>
      </c>
      <c r="I222" t="s">
        <v>199</v>
      </c>
      <c r="J222" t="s">
        <v>200</v>
      </c>
      <c r="K222">
        <v>148</v>
      </c>
      <c r="L222">
        <v>148</v>
      </c>
      <c r="M222" t="str">
        <f>VLOOKUP(A222,'csv import'!D:D,1,FALSE)</f>
        <v>PORTWF</v>
      </c>
    </row>
    <row r="223" spans="1:13">
      <c r="A223" t="s">
        <v>590</v>
      </c>
      <c r="B223" t="s">
        <v>591</v>
      </c>
      <c r="C223" t="s">
        <v>166</v>
      </c>
      <c r="D223" t="s">
        <v>167</v>
      </c>
      <c r="E223" t="s">
        <v>168</v>
      </c>
      <c r="F223" t="s">
        <v>169</v>
      </c>
      <c r="G223" t="s">
        <v>170</v>
      </c>
      <c r="H223" t="s">
        <v>171</v>
      </c>
      <c r="I223" t="s">
        <v>172</v>
      </c>
      <c r="J223" t="s">
        <v>185</v>
      </c>
      <c r="K223">
        <v>24</v>
      </c>
      <c r="L223">
        <v>25</v>
      </c>
      <c r="M223" t="str">
        <f>VLOOKUP(A223,'csv import'!D:D,1,FALSE)</f>
        <v>QPS1</v>
      </c>
    </row>
    <row r="224" spans="1:13">
      <c r="A224" t="s">
        <v>592</v>
      </c>
      <c r="B224" t="s">
        <v>591</v>
      </c>
      <c r="C224" t="s">
        <v>166</v>
      </c>
      <c r="D224" t="s">
        <v>167</v>
      </c>
      <c r="E224" t="s">
        <v>168</v>
      </c>
      <c r="F224" t="s">
        <v>169</v>
      </c>
      <c r="G224" t="s">
        <v>170</v>
      </c>
      <c r="H224" t="s">
        <v>171</v>
      </c>
      <c r="I224" t="s">
        <v>172</v>
      </c>
      <c r="J224" t="s">
        <v>185</v>
      </c>
      <c r="K224">
        <v>24</v>
      </c>
      <c r="L224">
        <v>25</v>
      </c>
      <c r="M224" t="str">
        <f>VLOOKUP(A224,'csv import'!D:D,1,FALSE)</f>
        <v>QPS2</v>
      </c>
    </row>
    <row r="225" spans="1:13">
      <c r="A225" t="s">
        <v>593</v>
      </c>
      <c r="B225" t="s">
        <v>591</v>
      </c>
      <c r="C225" t="s">
        <v>166</v>
      </c>
      <c r="D225" t="s">
        <v>167</v>
      </c>
      <c r="E225" t="s">
        <v>168</v>
      </c>
      <c r="F225" t="s">
        <v>169</v>
      </c>
      <c r="G225" t="s">
        <v>170</v>
      </c>
      <c r="H225" t="s">
        <v>171</v>
      </c>
      <c r="I225" t="s">
        <v>172</v>
      </c>
      <c r="J225" t="s">
        <v>185</v>
      </c>
      <c r="K225">
        <v>24</v>
      </c>
      <c r="L225">
        <v>25</v>
      </c>
      <c r="M225" t="str">
        <f>VLOOKUP(A225,'csv import'!D:D,1,FALSE)</f>
        <v>QPS3</v>
      </c>
    </row>
    <row r="226" spans="1:13">
      <c r="A226" t="s">
        <v>594</v>
      </c>
      <c r="B226" t="s">
        <v>591</v>
      </c>
      <c r="C226" t="s">
        <v>166</v>
      </c>
      <c r="D226" t="s">
        <v>167</v>
      </c>
      <c r="E226" t="s">
        <v>168</v>
      </c>
      <c r="F226" t="s">
        <v>169</v>
      </c>
      <c r="G226" t="s">
        <v>170</v>
      </c>
      <c r="H226" t="s">
        <v>171</v>
      </c>
      <c r="I226" t="s">
        <v>172</v>
      </c>
      <c r="J226" t="s">
        <v>185</v>
      </c>
      <c r="K226">
        <v>24</v>
      </c>
      <c r="L226">
        <v>25</v>
      </c>
      <c r="M226" t="str">
        <f>VLOOKUP(A226,'csv import'!D:D,1,FALSE)</f>
        <v>QPS4</v>
      </c>
    </row>
    <row r="227" spans="1:13">
      <c r="A227" t="s">
        <v>595</v>
      </c>
      <c r="B227" t="s">
        <v>591</v>
      </c>
      <c r="C227" t="s">
        <v>166</v>
      </c>
      <c r="D227" t="s">
        <v>167</v>
      </c>
      <c r="E227" t="s">
        <v>168</v>
      </c>
      <c r="F227" t="s">
        <v>169</v>
      </c>
      <c r="G227" t="s">
        <v>170</v>
      </c>
      <c r="H227" t="s">
        <v>171</v>
      </c>
      <c r="I227" t="s">
        <v>172</v>
      </c>
      <c r="J227" t="s">
        <v>185</v>
      </c>
      <c r="K227">
        <v>128</v>
      </c>
      <c r="L227">
        <v>128</v>
      </c>
      <c r="M227" t="str">
        <f>VLOOKUP(A227,'csv import'!D:D,1,FALSE)</f>
        <v>QPS5</v>
      </c>
    </row>
    <row r="228" spans="1:13" hidden="1">
      <c r="A228" t="s">
        <v>596</v>
      </c>
      <c r="B228" t="s">
        <v>597</v>
      </c>
      <c r="C228" t="s">
        <v>227</v>
      </c>
      <c r="D228" t="s">
        <v>167</v>
      </c>
      <c r="E228" t="s">
        <v>168</v>
      </c>
      <c r="F228" t="s">
        <v>177</v>
      </c>
      <c r="G228" t="s">
        <v>188</v>
      </c>
      <c r="H228" t="s">
        <v>188</v>
      </c>
      <c r="I228" t="s">
        <v>172</v>
      </c>
      <c r="J228" t="s">
        <v>179</v>
      </c>
      <c r="K228">
        <v>0</v>
      </c>
      <c r="L228">
        <v>0</v>
      </c>
      <c r="M228" t="e">
        <f>VLOOKUP(A228,final!D:D,1,FALSE)</f>
        <v>#N/A</v>
      </c>
    </row>
    <row r="229" spans="1:13">
      <c r="A229" t="s">
        <v>598</v>
      </c>
      <c r="B229" t="s">
        <v>599</v>
      </c>
      <c r="C229" t="s">
        <v>227</v>
      </c>
      <c r="D229" t="s">
        <v>167</v>
      </c>
      <c r="E229" t="s">
        <v>168</v>
      </c>
      <c r="F229" t="s">
        <v>169</v>
      </c>
      <c r="G229" t="s">
        <v>210</v>
      </c>
      <c r="H229" t="s">
        <v>211</v>
      </c>
      <c r="I229" t="s">
        <v>199</v>
      </c>
      <c r="J229" t="s">
        <v>212</v>
      </c>
      <c r="K229">
        <v>115.6</v>
      </c>
      <c r="L229">
        <v>119</v>
      </c>
      <c r="M229" t="str">
        <f>VLOOKUP(A229,'csv import'!D:D,1,FALSE)</f>
        <v>REECE1</v>
      </c>
    </row>
    <row r="230" spans="1:13">
      <c r="A230" t="s">
        <v>600</v>
      </c>
      <c r="B230" t="s">
        <v>599</v>
      </c>
      <c r="C230" t="s">
        <v>227</v>
      </c>
      <c r="D230" t="s">
        <v>167</v>
      </c>
      <c r="E230" t="s">
        <v>168</v>
      </c>
      <c r="F230" t="s">
        <v>169</v>
      </c>
      <c r="G230" t="s">
        <v>210</v>
      </c>
      <c r="H230" t="s">
        <v>211</v>
      </c>
      <c r="I230" t="s">
        <v>199</v>
      </c>
      <c r="J230" t="s">
        <v>212</v>
      </c>
      <c r="K230">
        <v>115.6</v>
      </c>
      <c r="L230">
        <v>119</v>
      </c>
      <c r="M230" t="str">
        <f>VLOOKUP(A230,'csv import'!D:D,1,FALSE)</f>
        <v>REECE2</v>
      </c>
    </row>
    <row r="231" spans="1:13" hidden="1">
      <c r="A231" t="s">
        <v>601</v>
      </c>
      <c r="B231" t="s">
        <v>602</v>
      </c>
      <c r="C231" t="s">
        <v>227</v>
      </c>
      <c r="D231" t="s">
        <v>167</v>
      </c>
      <c r="E231" t="s">
        <v>168</v>
      </c>
      <c r="F231" t="s">
        <v>177</v>
      </c>
      <c r="G231" t="s">
        <v>170</v>
      </c>
      <c r="H231" t="s">
        <v>178</v>
      </c>
      <c r="K231">
        <v>2</v>
      </c>
      <c r="L231">
        <v>2</v>
      </c>
      <c r="M231" t="e">
        <f>VLOOKUP(A231,final!D:D,1,FALSE)</f>
        <v>#N/A</v>
      </c>
    </row>
    <row r="232" spans="1:13">
      <c r="A232" t="s">
        <v>603</v>
      </c>
      <c r="B232" t="s">
        <v>604</v>
      </c>
      <c r="C232" t="s">
        <v>227</v>
      </c>
      <c r="D232" t="s">
        <v>167</v>
      </c>
      <c r="E232" t="s">
        <v>168</v>
      </c>
      <c r="F232" t="s">
        <v>177</v>
      </c>
      <c r="G232" t="s">
        <v>210</v>
      </c>
      <c r="H232" t="s">
        <v>211</v>
      </c>
      <c r="I232" t="s">
        <v>199</v>
      </c>
      <c r="J232" t="s">
        <v>212</v>
      </c>
      <c r="K232">
        <v>28</v>
      </c>
      <c r="L232">
        <v>29</v>
      </c>
      <c r="M232" t="str">
        <f>VLOOKUP(A232,'csv import'!D:D,1,FALSE)</f>
        <v>REPULSE</v>
      </c>
    </row>
    <row r="233" spans="1:13" hidden="1">
      <c r="A233" t="s">
        <v>605</v>
      </c>
      <c r="B233" t="s">
        <v>606</v>
      </c>
      <c r="C233" t="s">
        <v>215</v>
      </c>
      <c r="D233" t="s">
        <v>167</v>
      </c>
      <c r="E233" t="s">
        <v>168</v>
      </c>
      <c r="F233" t="s">
        <v>177</v>
      </c>
      <c r="G233" t="s">
        <v>170</v>
      </c>
      <c r="H233" t="s">
        <v>178</v>
      </c>
      <c r="I233" t="s">
        <v>172</v>
      </c>
      <c r="J233" t="s">
        <v>179</v>
      </c>
      <c r="K233">
        <v>4</v>
      </c>
      <c r="L233">
        <v>4</v>
      </c>
      <c r="M233" t="e">
        <f>VLOOKUP(A233,final!D:D,1,FALSE)</f>
        <v>#N/A</v>
      </c>
    </row>
    <row r="234" spans="1:13">
      <c r="A234" t="s">
        <v>614</v>
      </c>
      <c r="B234" t="s">
        <v>615</v>
      </c>
      <c r="C234" t="s">
        <v>215</v>
      </c>
      <c r="D234" t="s">
        <v>616</v>
      </c>
      <c r="E234" t="s">
        <v>168</v>
      </c>
      <c r="F234" t="s">
        <v>177</v>
      </c>
      <c r="G234" t="s">
        <v>286</v>
      </c>
      <c r="H234" t="s">
        <v>287</v>
      </c>
      <c r="I234" t="s">
        <v>172</v>
      </c>
      <c r="J234" t="s">
        <v>195</v>
      </c>
      <c r="K234">
        <v>30</v>
      </c>
      <c r="L234">
        <v>30</v>
      </c>
      <c r="M234" t="str">
        <f>VLOOKUP(A234,final!D:D,1,FALSE)</f>
        <v>RPCG</v>
      </c>
    </row>
    <row r="235" spans="1:13" hidden="1">
      <c r="A235" t="s">
        <v>353</v>
      </c>
      <c r="B235" t="s">
        <v>354</v>
      </c>
      <c r="C235" t="s">
        <v>215</v>
      </c>
      <c r="D235" t="s">
        <v>167</v>
      </c>
      <c r="E235" t="s">
        <v>168</v>
      </c>
      <c r="F235" t="s">
        <v>177</v>
      </c>
      <c r="G235" t="s">
        <v>286</v>
      </c>
      <c r="H235" t="s">
        <v>287</v>
      </c>
      <c r="I235" t="s">
        <v>172</v>
      </c>
      <c r="J235" t="s">
        <v>195</v>
      </c>
      <c r="K235">
        <v>2</v>
      </c>
      <c r="L235">
        <v>2</v>
      </c>
      <c r="M235" t="e">
        <f>VLOOKUP(A235,final!D:D,1,FALSE)</f>
        <v>#N/A</v>
      </c>
    </row>
    <row r="236" spans="1:13">
      <c r="A236" t="s">
        <v>607</v>
      </c>
      <c r="B236" t="s">
        <v>608</v>
      </c>
      <c r="C236" t="s">
        <v>215</v>
      </c>
      <c r="D236" t="s">
        <v>167</v>
      </c>
      <c r="E236" t="s">
        <v>168</v>
      </c>
      <c r="F236" t="s">
        <v>169</v>
      </c>
      <c r="G236" t="s">
        <v>170</v>
      </c>
      <c r="H236" t="s">
        <v>171</v>
      </c>
      <c r="I236" t="s">
        <v>172</v>
      </c>
      <c r="J236" t="s">
        <v>185</v>
      </c>
      <c r="K236">
        <v>40</v>
      </c>
      <c r="L236">
        <v>42</v>
      </c>
      <c r="M236" t="str">
        <f>VLOOKUP(A236,'csv import'!D:D,1,FALSE)</f>
        <v>ROMA_7</v>
      </c>
    </row>
    <row r="237" spans="1:13">
      <c r="A237" t="s">
        <v>609</v>
      </c>
      <c r="B237" t="s">
        <v>608</v>
      </c>
      <c r="C237" t="s">
        <v>215</v>
      </c>
      <c r="D237" t="s">
        <v>167</v>
      </c>
      <c r="E237" t="s">
        <v>168</v>
      </c>
      <c r="F237" t="s">
        <v>169</v>
      </c>
      <c r="G237" t="s">
        <v>170</v>
      </c>
      <c r="H237" t="s">
        <v>171</v>
      </c>
      <c r="I237" t="s">
        <v>172</v>
      </c>
      <c r="J237" t="s">
        <v>185</v>
      </c>
      <c r="K237">
        <v>40</v>
      </c>
      <c r="L237">
        <v>42</v>
      </c>
      <c r="M237" t="str">
        <f>VLOOKUP(A237,'csv import'!D:D,1,FALSE)</f>
        <v>ROMA_8</v>
      </c>
    </row>
    <row r="238" spans="1:13">
      <c r="A238" t="s">
        <v>610</v>
      </c>
      <c r="B238" t="s">
        <v>611</v>
      </c>
      <c r="C238" t="s">
        <v>227</v>
      </c>
      <c r="D238" t="s">
        <v>167</v>
      </c>
      <c r="E238" t="s">
        <v>168</v>
      </c>
      <c r="F238" t="s">
        <v>177</v>
      </c>
      <c r="G238" t="s">
        <v>210</v>
      </c>
      <c r="H238" t="s">
        <v>211</v>
      </c>
      <c r="I238" t="s">
        <v>199</v>
      </c>
      <c r="J238" t="s">
        <v>212</v>
      </c>
      <c r="K238">
        <v>10.5</v>
      </c>
      <c r="L238">
        <v>11</v>
      </c>
      <c r="M238" t="str">
        <f>VLOOKUP(A238,'csv import'!D:D,1,FALSE)</f>
        <v>ROWALLAN</v>
      </c>
    </row>
    <row r="239" spans="1:13">
      <c r="A239" t="s">
        <v>612</v>
      </c>
      <c r="B239" t="s">
        <v>613</v>
      </c>
      <c r="C239" t="s">
        <v>176</v>
      </c>
      <c r="D239" t="s">
        <v>167</v>
      </c>
      <c r="E239" t="s">
        <v>168</v>
      </c>
      <c r="F239" t="s">
        <v>177</v>
      </c>
      <c r="G239" t="s">
        <v>219</v>
      </c>
      <c r="H239" t="s">
        <v>219</v>
      </c>
      <c r="I239" t="s">
        <v>199</v>
      </c>
      <c r="J239" t="s">
        <v>268</v>
      </c>
      <c r="K239">
        <v>20</v>
      </c>
      <c r="L239">
        <v>20</v>
      </c>
      <c r="M239" t="str">
        <f>VLOOKUP(A239,'csv import'!D:D,1,FALSE)</f>
        <v>ROYALLA1</v>
      </c>
    </row>
    <row r="240" spans="1:13" hidden="1">
      <c r="A240" t="s">
        <v>249</v>
      </c>
      <c r="B240" t="s">
        <v>250</v>
      </c>
      <c r="C240" t="s">
        <v>166</v>
      </c>
      <c r="D240" t="s">
        <v>167</v>
      </c>
      <c r="E240" t="s">
        <v>168</v>
      </c>
      <c r="F240" t="s">
        <v>177</v>
      </c>
      <c r="G240" t="s">
        <v>170</v>
      </c>
      <c r="H240" t="s">
        <v>251</v>
      </c>
      <c r="I240" t="s">
        <v>172</v>
      </c>
      <c r="J240" t="s">
        <v>179</v>
      </c>
      <c r="K240">
        <v>9.9</v>
      </c>
      <c r="L240">
        <v>9.9</v>
      </c>
      <c r="M240" t="e">
        <f>VLOOKUP(A240,final!D:D,1,FALSE)</f>
        <v>#N/A</v>
      </c>
    </row>
    <row r="241" spans="1:13" hidden="1">
      <c r="A241" t="s">
        <v>617</v>
      </c>
      <c r="B241" t="s">
        <v>618</v>
      </c>
      <c r="C241" t="s">
        <v>184</v>
      </c>
      <c r="D241" t="s">
        <v>167</v>
      </c>
      <c r="E241" t="s">
        <v>168</v>
      </c>
      <c r="F241" t="s">
        <v>177</v>
      </c>
      <c r="G241" t="s">
        <v>170</v>
      </c>
      <c r="H241" t="s">
        <v>619</v>
      </c>
      <c r="I241" t="s">
        <v>172</v>
      </c>
      <c r="J241" t="s">
        <v>179</v>
      </c>
      <c r="K241">
        <v>1.1000000000000001</v>
      </c>
      <c r="L241">
        <v>1</v>
      </c>
      <c r="M241" t="e">
        <f>VLOOKUP(A241,final!D:D,1,FALSE)</f>
        <v>#N/A</v>
      </c>
    </row>
    <row r="242" spans="1:13">
      <c r="A242" t="s">
        <v>625</v>
      </c>
      <c r="B242" t="s">
        <v>626</v>
      </c>
      <c r="C242" t="s">
        <v>176</v>
      </c>
      <c r="D242" t="s">
        <v>167</v>
      </c>
      <c r="E242" t="s">
        <v>313</v>
      </c>
      <c r="F242" t="s">
        <v>169</v>
      </c>
      <c r="G242" t="s">
        <v>170</v>
      </c>
      <c r="H242" t="s">
        <v>171</v>
      </c>
      <c r="I242" t="s">
        <v>172</v>
      </c>
      <c r="J242" t="s">
        <v>216</v>
      </c>
      <c r="K242">
        <v>160</v>
      </c>
      <c r="L242">
        <v>175</v>
      </c>
      <c r="M242" t="str">
        <f>VLOOKUP(A242,'csv import'!D:D,1,FALSE)</f>
        <v>SITHE01</v>
      </c>
    </row>
    <row r="243" spans="1:13">
      <c r="A243" t="s">
        <v>629</v>
      </c>
      <c r="B243" t="s">
        <v>630</v>
      </c>
      <c r="C243" t="s">
        <v>166</v>
      </c>
      <c r="D243" t="s">
        <v>167</v>
      </c>
      <c r="E243" t="s">
        <v>168</v>
      </c>
      <c r="F243" t="s">
        <v>197</v>
      </c>
      <c r="G243" t="s">
        <v>198</v>
      </c>
      <c r="H243" t="s">
        <v>198</v>
      </c>
      <c r="I243" t="s">
        <v>199</v>
      </c>
      <c r="J243" t="s">
        <v>200</v>
      </c>
      <c r="K243">
        <v>126</v>
      </c>
      <c r="L243">
        <v>126</v>
      </c>
      <c r="M243" t="str">
        <f>VLOOKUP(A243,'csv import'!D:D,1,FALSE)</f>
        <v>SNOWSTH1</v>
      </c>
    </row>
    <row r="244" spans="1:13">
      <c r="A244" t="s">
        <v>627</v>
      </c>
      <c r="B244" t="s">
        <v>628</v>
      </c>
      <c r="C244" t="s">
        <v>166</v>
      </c>
      <c r="D244" t="s">
        <v>167</v>
      </c>
      <c r="E244" t="s">
        <v>168</v>
      </c>
      <c r="F244" t="s">
        <v>197</v>
      </c>
      <c r="G244" t="s">
        <v>198</v>
      </c>
      <c r="H244" t="s">
        <v>198</v>
      </c>
      <c r="I244" t="s">
        <v>199</v>
      </c>
      <c r="J244" t="s">
        <v>200</v>
      </c>
      <c r="K244">
        <v>144</v>
      </c>
      <c r="L244">
        <v>144</v>
      </c>
      <c r="M244" t="str">
        <f>VLOOKUP(A244,'csv import'!D:D,1,FALSE)</f>
        <v>SNOWNTH1</v>
      </c>
    </row>
    <row r="245" spans="1:13">
      <c r="A245" t="s">
        <v>631</v>
      </c>
      <c r="B245" t="s">
        <v>632</v>
      </c>
      <c r="C245" t="s">
        <v>166</v>
      </c>
      <c r="D245" t="s">
        <v>167</v>
      </c>
      <c r="E245" t="s">
        <v>168</v>
      </c>
      <c r="F245" t="s">
        <v>197</v>
      </c>
      <c r="G245" t="s">
        <v>198</v>
      </c>
      <c r="H245" t="s">
        <v>198</v>
      </c>
      <c r="I245" t="s">
        <v>199</v>
      </c>
      <c r="J245" t="s">
        <v>200</v>
      </c>
      <c r="K245">
        <v>99</v>
      </c>
      <c r="L245">
        <v>99</v>
      </c>
      <c r="M245" t="str">
        <f>VLOOKUP(A245,'csv import'!D:D,1,FALSE)</f>
        <v>SNOWTWN1</v>
      </c>
    </row>
    <row r="246" spans="1:13">
      <c r="A246" t="s">
        <v>634</v>
      </c>
      <c r="B246" t="s">
        <v>635</v>
      </c>
      <c r="C246" t="s">
        <v>166</v>
      </c>
      <c r="D246" t="s">
        <v>167</v>
      </c>
      <c r="E246" t="s">
        <v>168</v>
      </c>
      <c r="F246" t="s">
        <v>169</v>
      </c>
      <c r="G246" t="s">
        <v>188</v>
      </c>
      <c r="H246" t="s">
        <v>188</v>
      </c>
      <c r="I246" t="s">
        <v>172</v>
      </c>
      <c r="J246" t="s">
        <v>185</v>
      </c>
      <c r="K246">
        <v>63</v>
      </c>
      <c r="L246">
        <v>69</v>
      </c>
      <c r="M246" t="str">
        <f>VLOOKUP(A246,'csv import'!D:D,1,FALSE)</f>
        <v>SNUG1</v>
      </c>
    </row>
    <row r="247" spans="1:13">
      <c r="A247" t="s">
        <v>182</v>
      </c>
      <c r="B247" t="s">
        <v>183</v>
      </c>
      <c r="C247" t="s">
        <v>184</v>
      </c>
      <c r="D247" t="s">
        <v>167</v>
      </c>
      <c r="E247" t="s">
        <v>168</v>
      </c>
      <c r="F247" t="s">
        <v>169</v>
      </c>
      <c r="G247" t="s">
        <v>170</v>
      </c>
      <c r="H247" t="s">
        <v>171</v>
      </c>
      <c r="I247" t="s">
        <v>172</v>
      </c>
      <c r="J247" t="s">
        <v>185</v>
      </c>
      <c r="K247">
        <v>160</v>
      </c>
      <c r="L247">
        <v>170</v>
      </c>
      <c r="M247" t="str">
        <f>VLOOKUP(A247,'csv import'!D:D,1,FALSE)</f>
        <v>AGLSOM</v>
      </c>
    </row>
    <row r="248" spans="1:13" hidden="1">
      <c r="A248" t="s">
        <v>405</v>
      </c>
      <c r="B248" t="s">
        <v>406</v>
      </c>
      <c r="C248" t="s">
        <v>184</v>
      </c>
      <c r="D248" t="s">
        <v>167</v>
      </c>
      <c r="E248" t="s">
        <v>168</v>
      </c>
      <c r="F248" t="s">
        <v>177</v>
      </c>
      <c r="G248" t="s">
        <v>210</v>
      </c>
      <c r="H248" t="s">
        <v>211</v>
      </c>
      <c r="I248" t="s">
        <v>199</v>
      </c>
      <c r="J248" t="s">
        <v>212</v>
      </c>
      <c r="K248">
        <v>0.25</v>
      </c>
      <c r="L248">
        <v>1</v>
      </c>
      <c r="M248" t="e">
        <f>VLOOKUP(A248,final!D:D,1,FALSE)</f>
        <v>#N/A</v>
      </c>
    </row>
    <row r="249" spans="1:13" hidden="1">
      <c r="A249" t="s">
        <v>645</v>
      </c>
      <c r="B249" t="s">
        <v>646</v>
      </c>
      <c r="C249" t="s">
        <v>215</v>
      </c>
      <c r="D249" t="s">
        <v>167</v>
      </c>
      <c r="E249" t="s">
        <v>168</v>
      </c>
      <c r="F249" t="s">
        <v>177</v>
      </c>
      <c r="G249" t="s">
        <v>188</v>
      </c>
      <c r="H249" t="s">
        <v>188</v>
      </c>
      <c r="I249" t="s">
        <v>172</v>
      </c>
      <c r="J249" t="s">
        <v>179</v>
      </c>
      <c r="K249">
        <v>1</v>
      </c>
      <c r="L249">
        <v>1</v>
      </c>
      <c r="M249" t="e">
        <f>VLOOKUP(A249,final!D:D,1,FALSE)</f>
        <v>#N/A</v>
      </c>
    </row>
    <row r="250" spans="1:13" hidden="1">
      <c r="A250" t="s">
        <v>650</v>
      </c>
      <c r="B250" t="s">
        <v>651</v>
      </c>
      <c r="C250" t="s">
        <v>184</v>
      </c>
      <c r="D250" t="s">
        <v>167</v>
      </c>
      <c r="E250" t="s">
        <v>168</v>
      </c>
      <c r="F250" t="s">
        <v>177</v>
      </c>
      <c r="G250" t="s">
        <v>170</v>
      </c>
      <c r="H250" t="s">
        <v>178</v>
      </c>
      <c r="I250" t="s">
        <v>172</v>
      </c>
      <c r="J250" t="s">
        <v>254</v>
      </c>
      <c r="K250">
        <v>4.2</v>
      </c>
      <c r="L250">
        <v>4.2</v>
      </c>
      <c r="M250" t="e">
        <f>VLOOKUP(A250,final!D:D,1,FALSE)</f>
        <v>#N/A</v>
      </c>
    </row>
    <row r="251" spans="1:13" hidden="1">
      <c r="A251" t="s">
        <v>643</v>
      </c>
      <c r="B251" t="s">
        <v>644</v>
      </c>
      <c r="C251" t="s">
        <v>176</v>
      </c>
      <c r="D251" t="s">
        <v>167</v>
      </c>
      <c r="E251" t="s">
        <v>168</v>
      </c>
      <c r="F251" t="s">
        <v>177</v>
      </c>
      <c r="G251" t="s">
        <v>188</v>
      </c>
      <c r="H251" t="s">
        <v>188</v>
      </c>
      <c r="I251" t="s">
        <v>172</v>
      </c>
      <c r="J251" t="s">
        <v>179</v>
      </c>
      <c r="K251">
        <v>1</v>
      </c>
      <c r="L251">
        <v>1</v>
      </c>
      <c r="M251" t="e">
        <f>VLOOKUP(A251,final!D:D,1,FALSE)</f>
        <v>#N/A</v>
      </c>
    </row>
    <row r="252" spans="1:13">
      <c r="A252" t="s">
        <v>636</v>
      </c>
      <c r="B252" t="s">
        <v>637</v>
      </c>
      <c r="C252" t="s">
        <v>215</v>
      </c>
      <c r="D252" t="s">
        <v>167</v>
      </c>
      <c r="E252" t="s">
        <v>168</v>
      </c>
      <c r="F252" t="s">
        <v>169</v>
      </c>
      <c r="G252" t="s">
        <v>193</v>
      </c>
      <c r="H252" t="s">
        <v>280</v>
      </c>
      <c r="I252" t="s">
        <v>172</v>
      </c>
      <c r="J252" t="s">
        <v>195</v>
      </c>
      <c r="K252">
        <v>365</v>
      </c>
      <c r="L252">
        <v>385</v>
      </c>
      <c r="M252" t="str">
        <f>VLOOKUP(A252,'csv import'!D:D,1,FALSE)</f>
        <v>STAN-1</v>
      </c>
    </row>
    <row r="253" spans="1:13">
      <c r="A253" t="s">
        <v>638</v>
      </c>
      <c r="B253" t="s">
        <v>637</v>
      </c>
      <c r="C253" t="s">
        <v>215</v>
      </c>
      <c r="D253" t="s">
        <v>167</v>
      </c>
      <c r="E253" t="s">
        <v>168</v>
      </c>
      <c r="F253" t="s">
        <v>169</v>
      </c>
      <c r="G253" t="s">
        <v>193</v>
      </c>
      <c r="H253" t="s">
        <v>280</v>
      </c>
      <c r="I253" t="s">
        <v>172</v>
      </c>
      <c r="J253" t="s">
        <v>195</v>
      </c>
      <c r="K253">
        <v>365</v>
      </c>
      <c r="L253">
        <v>385</v>
      </c>
      <c r="M253" t="str">
        <f>VLOOKUP(A253,'csv import'!D:D,1,FALSE)</f>
        <v>STAN-2</v>
      </c>
    </row>
    <row r="254" spans="1:13">
      <c r="A254" t="s">
        <v>639</v>
      </c>
      <c r="B254" t="s">
        <v>637</v>
      </c>
      <c r="C254" t="s">
        <v>215</v>
      </c>
      <c r="D254" t="s">
        <v>167</v>
      </c>
      <c r="E254" t="s">
        <v>168</v>
      </c>
      <c r="F254" t="s">
        <v>169</v>
      </c>
      <c r="G254" t="s">
        <v>193</v>
      </c>
      <c r="H254" t="s">
        <v>280</v>
      </c>
      <c r="I254" t="s">
        <v>172</v>
      </c>
      <c r="J254" t="s">
        <v>195</v>
      </c>
      <c r="K254">
        <v>365</v>
      </c>
      <c r="L254">
        <v>385</v>
      </c>
      <c r="M254" t="str">
        <f>VLOOKUP(A254,'csv import'!D:D,1,FALSE)</f>
        <v>STAN-3</v>
      </c>
    </row>
    <row r="255" spans="1:13">
      <c r="A255" t="s">
        <v>640</v>
      </c>
      <c r="B255" t="s">
        <v>637</v>
      </c>
      <c r="C255" t="s">
        <v>215</v>
      </c>
      <c r="D255" t="s">
        <v>167</v>
      </c>
      <c r="E255" t="s">
        <v>168</v>
      </c>
      <c r="F255" t="s">
        <v>169</v>
      </c>
      <c r="G255" t="s">
        <v>193</v>
      </c>
      <c r="H255" t="s">
        <v>280</v>
      </c>
      <c r="I255" t="s">
        <v>172</v>
      </c>
      <c r="J255" t="s">
        <v>195</v>
      </c>
      <c r="K255">
        <v>365</v>
      </c>
      <c r="L255">
        <v>385</v>
      </c>
      <c r="M255" t="str">
        <f>VLOOKUP(A255,'csv import'!D:D,1,FALSE)</f>
        <v>STAN-4</v>
      </c>
    </row>
    <row r="256" spans="1:13">
      <c r="A256" t="s">
        <v>641</v>
      </c>
      <c r="B256" t="s">
        <v>642</v>
      </c>
      <c r="C256" t="s">
        <v>166</v>
      </c>
      <c r="D256" t="s">
        <v>167</v>
      </c>
      <c r="E256" t="s">
        <v>168</v>
      </c>
      <c r="F256" t="s">
        <v>177</v>
      </c>
      <c r="G256" t="s">
        <v>198</v>
      </c>
      <c r="H256" t="s">
        <v>198</v>
      </c>
      <c r="I256" t="s">
        <v>199</v>
      </c>
      <c r="J256" t="s">
        <v>200</v>
      </c>
      <c r="K256">
        <v>34.5</v>
      </c>
      <c r="L256">
        <v>35</v>
      </c>
      <c r="M256" t="str">
        <f>VLOOKUP(A256,'csv import'!D:D,1,FALSE)</f>
        <v>STARHLWF</v>
      </c>
    </row>
    <row r="257" spans="1:13" hidden="1">
      <c r="A257" t="s">
        <v>647</v>
      </c>
      <c r="B257" t="s">
        <v>648</v>
      </c>
      <c r="C257" t="s">
        <v>215</v>
      </c>
      <c r="D257" t="s">
        <v>167</v>
      </c>
      <c r="E257" t="s">
        <v>168</v>
      </c>
      <c r="F257" t="s">
        <v>177</v>
      </c>
      <c r="G257" t="s">
        <v>286</v>
      </c>
      <c r="H257" t="s">
        <v>649</v>
      </c>
      <c r="I257" t="s">
        <v>172</v>
      </c>
      <c r="J257" t="s">
        <v>195</v>
      </c>
      <c r="K257">
        <v>1.5</v>
      </c>
      <c r="L257">
        <v>1</v>
      </c>
      <c r="M257" t="e">
        <f>VLOOKUP(A257,final!D:D,1,FALSE)</f>
        <v>#N/A</v>
      </c>
    </row>
    <row r="258" spans="1:13">
      <c r="A258" t="s">
        <v>652</v>
      </c>
      <c r="B258" t="s">
        <v>653</v>
      </c>
      <c r="C258" t="s">
        <v>215</v>
      </c>
      <c r="D258" t="s">
        <v>167</v>
      </c>
      <c r="E258" t="s">
        <v>168</v>
      </c>
      <c r="F258" t="s">
        <v>169</v>
      </c>
      <c r="G258" t="s">
        <v>170</v>
      </c>
      <c r="H258" t="s">
        <v>171</v>
      </c>
      <c r="I258" t="s">
        <v>172</v>
      </c>
      <c r="J258" t="s">
        <v>216</v>
      </c>
      <c r="K258">
        <v>385</v>
      </c>
      <c r="L258">
        <v>385</v>
      </c>
      <c r="M258" t="str">
        <f>VLOOKUP(A258,'csv import'!D:D,1,FALSE)</f>
        <v>SWAN_E</v>
      </c>
    </row>
    <row r="259" spans="1:13">
      <c r="A259" t="s">
        <v>654</v>
      </c>
      <c r="B259" t="s">
        <v>655</v>
      </c>
      <c r="C259" t="s">
        <v>176</v>
      </c>
      <c r="D259" t="s">
        <v>167</v>
      </c>
      <c r="E259" t="s">
        <v>168</v>
      </c>
      <c r="F259" t="s">
        <v>169</v>
      </c>
      <c r="G259" t="s">
        <v>170</v>
      </c>
      <c r="H259" t="s">
        <v>171</v>
      </c>
      <c r="I259" t="s">
        <v>172</v>
      </c>
      <c r="J259" t="s">
        <v>216</v>
      </c>
      <c r="K259">
        <v>460</v>
      </c>
      <c r="L259">
        <v>460</v>
      </c>
      <c r="M259" t="str">
        <f>VLOOKUP(A259,'csv import'!D:D,1,FALSE)</f>
        <v>TALWA1</v>
      </c>
    </row>
    <row r="260" spans="1:13">
      <c r="A260" t="s">
        <v>699</v>
      </c>
      <c r="B260" t="s">
        <v>700</v>
      </c>
      <c r="C260" t="s">
        <v>227</v>
      </c>
      <c r="D260" t="s">
        <v>167</v>
      </c>
      <c r="E260" t="s">
        <v>168</v>
      </c>
      <c r="F260" t="s">
        <v>169</v>
      </c>
      <c r="G260" t="s">
        <v>170</v>
      </c>
      <c r="H260" t="s">
        <v>171</v>
      </c>
      <c r="I260" t="s">
        <v>172</v>
      </c>
      <c r="J260" t="s">
        <v>216</v>
      </c>
      <c r="K260">
        <v>208</v>
      </c>
      <c r="L260">
        <v>208</v>
      </c>
      <c r="M260" t="str">
        <f>VLOOKUP(A260,'csv import'!D:D,1,FALSE)</f>
        <v>TVCC201</v>
      </c>
    </row>
    <row r="261" spans="1:13">
      <c r="A261" t="s">
        <v>701</v>
      </c>
      <c r="B261" t="s">
        <v>702</v>
      </c>
      <c r="C261" t="s">
        <v>227</v>
      </c>
      <c r="D261" t="s">
        <v>167</v>
      </c>
      <c r="E261" t="s">
        <v>168</v>
      </c>
      <c r="F261" t="s">
        <v>169</v>
      </c>
      <c r="G261" t="s">
        <v>170</v>
      </c>
      <c r="H261" t="s">
        <v>171</v>
      </c>
      <c r="I261" t="s">
        <v>172</v>
      </c>
      <c r="J261" t="s">
        <v>185</v>
      </c>
      <c r="K261">
        <v>58</v>
      </c>
      <c r="L261">
        <v>58</v>
      </c>
      <c r="M261" t="str">
        <f>VLOOKUP(A261,'csv import'!D:D,1,FALSE)</f>
        <v>TVPP104</v>
      </c>
    </row>
    <row r="262" spans="1:13">
      <c r="A262" t="s">
        <v>656</v>
      </c>
      <c r="B262" t="s">
        <v>657</v>
      </c>
      <c r="C262" t="s">
        <v>176</v>
      </c>
      <c r="D262" t="s">
        <v>167</v>
      </c>
      <c r="E262" t="s">
        <v>168</v>
      </c>
      <c r="F262" t="s">
        <v>197</v>
      </c>
      <c r="G262" t="s">
        <v>198</v>
      </c>
      <c r="H262" t="s">
        <v>198</v>
      </c>
      <c r="I262" t="s">
        <v>199</v>
      </c>
      <c r="J262" t="s">
        <v>200</v>
      </c>
      <c r="K262">
        <v>106.8</v>
      </c>
      <c r="L262">
        <v>106.8</v>
      </c>
      <c r="M262" t="str">
        <f>VLOOKUP(A262,'csv import'!D:D,1,FALSE)</f>
        <v>TARALGA1</v>
      </c>
    </row>
    <row r="263" spans="1:13" hidden="1">
      <c r="A263" t="s">
        <v>673</v>
      </c>
      <c r="B263" t="s">
        <v>674</v>
      </c>
      <c r="C263" t="s">
        <v>184</v>
      </c>
      <c r="D263" t="s">
        <v>167</v>
      </c>
      <c r="E263" t="s">
        <v>168</v>
      </c>
      <c r="F263" t="s">
        <v>177</v>
      </c>
      <c r="G263" t="s">
        <v>170</v>
      </c>
      <c r="H263" t="s">
        <v>171</v>
      </c>
      <c r="I263" t="s">
        <v>172</v>
      </c>
      <c r="J263" t="s">
        <v>254</v>
      </c>
      <c r="K263">
        <v>10</v>
      </c>
      <c r="L263">
        <v>10</v>
      </c>
      <c r="M263" t="e">
        <f>VLOOKUP(A263,final!D:D,1,FALSE)</f>
        <v>#N/A</v>
      </c>
    </row>
    <row r="264" spans="1:13">
      <c r="A264" t="s">
        <v>679</v>
      </c>
      <c r="B264" t="s">
        <v>680</v>
      </c>
      <c r="C264" t="s">
        <v>215</v>
      </c>
      <c r="D264" t="s">
        <v>167</v>
      </c>
      <c r="E264" t="s">
        <v>168</v>
      </c>
      <c r="F264" t="s">
        <v>169</v>
      </c>
      <c r="G264" t="s">
        <v>193</v>
      </c>
      <c r="H264" t="s">
        <v>280</v>
      </c>
      <c r="I264" t="s">
        <v>172</v>
      </c>
      <c r="J264" t="s">
        <v>334</v>
      </c>
      <c r="K264">
        <v>443</v>
      </c>
      <c r="L264">
        <v>480</v>
      </c>
      <c r="M264" t="str">
        <f>VLOOKUP(A264,'csv import'!D:D,1,FALSE)</f>
        <v>TNPS1</v>
      </c>
    </row>
    <row r="265" spans="1:13">
      <c r="A265" t="s">
        <v>658</v>
      </c>
      <c r="B265" t="s">
        <v>659</v>
      </c>
      <c r="C265" t="s">
        <v>215</v>
      </c>
      <c r="D265" t="s">
        <v>167</v>
      </c>
      <c r="E265" t="s">
        <v>168</v>
      </c>
      <c r="F265" t="s">
        <v>169</v>
      </c>
      <c r="G265" t="s">
        <v>193</v>
      </c>
      <c r="H265" t="s">
        <v>280</v>
      </c>
      <c r="I265" t="s">
        <v>172</v>
      </c>
      <c r="J265" t="s">
        <v>195</v>
      </c>
      <c r="K265">
        <v>350</v>
      </c>
      <c r="L265">
        <v>385</v>
      </c>
      <c r="M265" t="str">
        <f>VLOOKUP(A265,'csv import'!D:D,1,FALSE)</f>
        <v>TARONG#1</v>
      </c>
    </row>
    <row r="266" spans="1:13">
      <c r="A266" t="s">
        <v>660</v>
      </c>
      <c r="B266" t="s">
        <v>659</v>
      </c>
      <c r="C266" t="s">
        <v>215</v>
      </c>
      <c r="D266" t="s">
        <v>167</v>
      </c>
      <c r="E266" t="s">
        <v>168</v>
      </c>
      <c r="F266" t="s">
        <v>169</v>
      </c>
      <c r="G266" t="s">
        <v>193</v>
      </c>
      <c r="H266" t="s">
        <v>280</v>
      </c>
      <c r="I266" t="s">
        <v>172</v>
      </c>
      <c r="J266" t="s">
        <v>195</v>
      </c>
      <c r="K266">
        <v>350</v>
      </c>
      <c r="L266">
        <v>385</v>
      </c>
      <c r="M266" t="str">
        <f>VLOOKUP(A266,'csv import'!D:D,1,FALSE)</f>
        <v>TARONG#2</v>
      </c>
    </row>
    <row r="267" spans="1:13">
      <c r="A267" t="s">
        <v>661</v>
      </c>
      <c r="B267" t="s">
        <v>659</v>
      </c>
      <c r="C267" t="s">
        <v>215</v>
      </c>
      <c r="D267" t="s">
        <v>167</v>
      </c>
      <c r="E267" t="s">
        <v>168</v>
      </c>
      <c r="F267" t="s">
        <v>169</v>
      </c>
      <c r="G267" t="s">
        <v>193</v>
      </c>
      <c r="H267" t="s">
        <v>280</v>
      </c>
      <c r="I267" t="s">
        <v>172</v>
      </c>
      <c r="J267" t="s">
        <v>195</v>
      </c>
      <c r="K267">
        <v>350</v>
      </c>
      <c r="L267">
        <v>385</v>
      </c>
      <c r="M267" t="str">
        <f>VLOOKUP(A267,'csv import'!D:D,1,FALSE)</f>
        <v>TARONG#3</v>
      </c>
    </row>
    <row r="268" spans="1:13">
      <c r="A268" t="s">
        <v>662</v>
      </c>
      <c r="B268" t="s">
        <v>659</v>
      </c>
      <c r="C268" t="s">
        <v>215</v>
      </c>
      <c r="D268" t="s">
        <v>167</v>
      </c>
      <c r="E268" t="s">
        <v>168</v>
      </c>
      <c r="F268" t="s">
        <v>169</v>
      </c>
      <c r="G268" t="s">
        <v>193</v>
      </c>
      <c r="H268" t="s">
        <v>280</v>
      </c>
      <c r="I268" t="s">
        <v>172</v>
      </c>
      <c r="J268" t="s">
        <v>195</v>
      </c>
      <c r="K268">
        <v>350</v>
      </c>
      <c r="L268">
        <v>385</v>
      </c>
      <c r="M268" t="str">
        <f>VLOOKUP(A268,'csv import'!D:D,1,FALSE)</f>
        <v>TARONG#4</v>
      </c>
    </row>
    <row r="269" spans="1:13">
      <c r="A269" t="s">
        <v>663</v>
      </c>
      <c r="B269" t="s">
        <v>664</v>
      </c>
      <c r="C269" t="s">
        <v>227</v>
      </c>
      <c r="D269" t="s">
        <v>167</v>
      </c>
      <c r="E269" t="s">
        <v>168</v>
      </c>
      <c r="F269" t="s">
        <v>169</v>
      </c>
      <c r="G269" t="s">
        <v>210</v>
      </c>
      <c r="H269" t="s">
        <v>211</v>
      </c>
      <c r="I269" t="s">
        <v>199</v>
      </c>
      <c r="J269" t="s">
        <v>212</v>
      </c>
      <c r="K269">
        <v>90</v>
      </c>
      <c r="L269">
        <v>94</v>
      </c>
      <c r="M269" t="str">
        <f>VLOOKUP(A269,'csv import'!D:D,1,FALSE)</f>
        <v>TARRALEA</v>
      </c>
    </row>
    <row r="270" spans="1:13" hidden="1">
      <c r="A270" t="s">
        <v>665</v>
      </c>
      <c r="B270" t="s">
        <v>666</v>
      </c>
      <c r="C270" t="s">
        <v>166</v>
      </c>
      <c r="D270" t="s">
        <v>167</v>
      </c>
      <c r="E270" t="s">
        <v>168</v>
      </c>
      <c r="F270" t="s">
        <v>177</v>
      </c>
      <c r="G270" t="s">
        <v>188</v>
      </c>
      <c r="H270" t="s">
        <v>188</v>
      </c>
      <c r="I270" t="s">
        <v>172</v>
      </c>
      <c r="J270" t="s">
        <v>179</v>
      </c>
      <c r="K270">
        <v>0.5</v>
      </c>
      <c r="L270">
        <v>1</v>
      </c>
      <c r="M270" t="e">
        <f>VLOOKUP(A270,final!D:D,1,FALSE)</f>
        <v>#N/A</v>
      </c>
    </row>
    <row r="271" spans="1:13" hidden="1">
      <c r="A271" t="s">
        <v>667</v>
      </c>
      <c r="B271" t="s">
        <v>668</v>
      </c>
      <c r="C271" t="s">
        <v>184</v>
      </c>
      <c r="D271" t="s">
        <v>167</v>
      </c>
      <c r="E271" t="s">
        <v>168</v>
      </c>
      <c r="F271" t="s">
        <v>177</v>
      </c>
      <c r="G271" t="s">
        <v>170</v>
      </c>
      <c r="H271" t="s">
        <v>619</v>
      </c>
      <c r="I271" t="s">
        <v>172</v>
      </c>
      <c r="J271" t="s">
        <v>179</v>
      </c>
      <c r="K271">
        <v>1.1000000000000001</v>
      </c>
      <c r="L271">
        <v>1</v>
      </c>
      <c r="M271" t="e">
        <f>VLOOKUP(A271,final!D:D,1,FALSE)</f>
        <v>#N/A</v>
      </c>
    </row>
    <row r="272" spans="1:13" hidden="1">
      <c r="A272" t="s">
        <v>669</v>
      </c>
      <c r="B272" t="s">
        <v>670</v>
      </c>
      <c r="C272" t="s">
        <v>176</v>
      </c>
      <c r="D272" t="s">
        <v>167</v>
      </c>
      <c r="E272" t="s">
        <v>168</v>
      </c>
      <c r="F272" t="s">
        <v>177</v>
      </c>
      <c r="G272" t="s">
        <v>170</v>
      </c>
      <c r="H272" t="s">
        <v>257</v>
      </c>
      <c r="I272" t="s">
        <v>172</v>
      </c>
      <c r="J272" t="s">
        <v>179</v>
      </c>
      <c r="K272">
        <v>3</v>
      </c>
      <c r="L272">
        <v>3</v>
      </c>
      <c r="M272" t="e">
        <f>VLOOKUP(A272,final!D:D,1,FALSE)</f>
        <v>#N/A</v>
      </c>
    </row>
    <row r="273" spans="1:13" hidden="1">
      <c r="A273" t="s">
        <v>671</v>
      </c>
      <c r="B273" t="s">
        <v>672</v>
      </c>
      <c r="C273" t="s">
        <v>166</v>
      </c>
      <c r="D273" t="s">
        <v>167</v>
      </c>
      <c r="E273" t="s">
        <v>168</v>
      </c>
      <c r="F273" t="s">
        <v>177</v>
      </c>
      <c r="G273" t="s">
        <v>210</v>
      </c>
      <c r="H273" t="s">
        <v>211</v>
      </c>
      <c r="I273" t="s">
        <v>199</v>
      </c>
      <c r="J273" t="s">
        <v>212</v>
      </c>
      <c r="K273">
        <v>2.5</v>
      </c>
      <c r="L273">
        <v>2</v>
      </c>
      <c r="M273" t="e">
        <f>VLOOKUP(A273,final!D:D,1,FALSE)</f>
        <v>#N/A</v>
      </c>
    </row>
    <row r="274" spans="1:13">
      <c r="A274" t="s">
        <v>243</v>
      </c>
      <c r="B274" t="s">
        <v>244</v>
      </c>
      <c r="C274" t="s">
        <v>166</v>
      </c>
      <c r="D274" t="s">
        <v>167</v>
      </c>
      <c r="E274" t="s">
        <v>168</v>
      </c>
      <c r="F274" t="s">
        <v>197</v>
      </c>
      <c r="G274" t="s">
        <v>198</v>
      </c>
      <c r="H274" t="s">
        <v>198</v>
      </c>
      <c r="I274" t="s">
        <v>199</v>
      </c>
      <c r="J274" t="s">
        <v>200</v>
      </c>
      <c r="K274">
        <v>52.5</v>
      </c>
      <c r="L274">
        <v>52.5</v>
      </c>
      <c r="M274" t="str">
        <f>VLOOKUP(A274,'csv import'!D:D,1,FALSE)</f>
        <v>BLUFF1</v>
      </c>
    </row>
    <row r="275" spans="1:13" hidden="1">
      <c r="A275" t="s">
        <v>675</v>
      </c>
      <c r="B275" t="s">
        <v>676</v>
      </c>
      <c r="C275" t="s">
        <v>176</v>
      </c>
      <c r="D275" t="s">
        <v>167</v>
      </c>
      <c r="E275" t="s">
        <v>168</v>
      </c>
      <c r="F275" t="s">
        <v>177</v>
      </c>
      <c r="G275" t="s">
        <v>210</v>
      </c>
      <c r="H275" t="s">
        <v>211</v>
      </c>
      <c r="I275" t="s">
        <v>199</v>
      </c>
      <c r="J275" t="s">
        <v>223</v>
      </c>
      <c r="K275">
        <v>3</v>
      </c>
      <c r="L275">
        <v>3</v>
      </c>
      <c r="M275" t="e">
        <f>VLOOKUP(A275,final!D:D,1,FALSE)</f>
        <v>#N/A</v>
      </c>
    </row>
    <row r="276" spans="1:13">
      <c r="A276" t="s">
        <v>681</v>
      </c>
      <c r="B276" t="s">
        <v>83</v>
      </c>
      <c r="C276" t="s">
        <v>184</v>
      </c>
      <c r="D276" t="s">
        <v>167</v>
      </c>
      <c r="E276" t="s">
        <v>168</v>
      </c>
      <c r="F276" t="s">
        <v>177</v>
      </c>
      <c r="G276" t="s">
        <v>198</v>
      </c>
      <c r="H276" t="s">
        <v>198</v>
      </c>
      <c r="I276" t="s">
        <v>199</v>
      </c>
      <c r="J276" t="s">
        <v>200</v>
      </c>
      <c r="K276">
        <v>21</v>
      </c>
      <c r="L276">
        <v>21</v>
      </c>
      <c r="M276" t="str">
        <f>VLOOKUP(A276,'csv import'!D:D,1,FALSE)</f>
        <v>TOORAWF</v>
      </c>
    </row>
    <row r="277" spans="1:13">
      <c r="A277" t="s">
        <v>682</v>
      </c>
      <c r="B277" t="s">
        <v>683</v>
      </c>
      <c r="C277" t="s">
        <v>166</v>
      </c>
      <c r="D277" t="s">
        <v>167</v>
      </c>
      <c r="E277" t="s">
        <v>168</v>
      </c>
      <c r="F277" t="s">
        <v>169</v>
      </c>
      <c r="G277" t="s">
        <v>170</v>
      </c>
      <c r="H277" t="s">
        <v>171</v>
      </c>
      <c r="I277" t="s">
        <v>172</v>
      </c>
      <c r="J277" t="s">
        <v>195</v>
      </c>
      <c r="K277">
        <v>120</v>
      </c>
      <c r="L277">
        <v>120</v>
      </c>
      <c r="M277" t="str">
        <f>VLOOKUP(A277,'csv import'!D:D,1,FALSE)</f>
        <v>TORRA1</v>
      </c>
    </row>
    <row r="278" spans="1:13">
      <c r="A278" t="s">
        <v>684</v>
      </c>
      <c r="B278" t="s">
        <v>683</v>
      </c>
      <c r="C278" t="s">
        <v>166</v>
      </c>
      <c r="D278" t="s">
        <v>167</v>
      </c>
      <c r="E278" t="s">
        <v>168</v>
      </c>
      <c r="F278" t="s">
        <v>169</v>
      </c>
      <c r="G278" t="s">
        <v>170</v>
      </c>
      <c r="H278" t="s">
        <v>171</v>
      </c>
      <c r="I278" t="s">
        <v>172</v>
      </c>
      <c r="J278" t="s">
        <v>195</v>
      </c>
      <c r="K278">
        <v>120</v>
      </c>
      <c r="L278">
        <v>120</v>
      </c>
      <c r="M278" t="str">
        <f>VLOOKUP(A278,'csv import'!D:D,1,FALSE)</f>
        <v>TORRA2</v>
      </c>
    </row>
    <row r="279" spans="1:13">
      <c r="A279" t="s">
        <v>685</v>
      </c>
      <c r="B279" t="s">
        <v>683</v>
      </c>
      <c r="C279" t="s">
        <v>166</v>
      </c>
      <c r="D279" t="s">
        <v>167</v>
      </c>
      <c r="E279" t="s">
        <v>168</v>
      </c>
      <c r="F279" t="s">
        <v>169</v>
      </c>
      <c r="G279" t="s">
        <v>170</v>
      </c>
      <c r="H279" t="s">
        <v>171</v>
      </c>
      <c r="I279" t="s">
        <v>172</v>
      </c>
      <c r="J279" t="s">
        <v>195</v>
      </c>
      <c r="K279">
        <v>120</v>
      </c>
      <c r="L279">
        <v>120</v>
      </c>
      <c r="M279" t="str">
        <f>VLOOKUP(A279,'csv import'!D:D,1,FALSE)</f>
        <v>TORRA3</v>
      </c>
    </row>
    <row r="280" spans="1:13">
      <c r="A280" t="s">
        <v>686</v>
      </c>
      <c r="B280" t="s">
        <v>683</v>
      </c>
      <c r="C280" t="s">
        <v>166</v>
      </c>
      <c r="D280" t="s">
        <v>167</v>
      </c>
      <c r="E280" t="s">
        <v>168</v>
      </c>
      <c r="F280" t="s">
        <v>169</v>
      </c>
      <c r="G280" t="s">
        <v>170</v>
      </c>
      <c r="H280" t="s">
        <v>171</v>
      </c>
      <c r="I280" t="s">
        <v>172</v>
      </c>
      <c r="J280" t="s">
        <v>195</v>
      </c>
      <c r="K280">
        <v>120</v>
      </c>
      <c r="L280">
        <v>120</v>
      </c>
      <c r="M280" t="str">
        <f>VLOOKUP(A280,'csv import'!D:D,1,FALSE)</f>
        <v>TORRA4</v>
      </c>
    </row>
    <row r="281" spans="1:13">
      <c r="A281" t="s">
        <v>687</v>
      </c>
      <c r="B281" t="s">
        <v>688</v>
      </c>
      <c r="C281" t="s">
        <v>166</v>
      </c>
      <c r="D281" t="s">
        <v>167</v>
      </c>
      <c r="E281" t="s">
        <v>168</v>
      </c>
      <c r="F281" t="s">
        <v>169</v>
      </c>
      <c r="G281" t="s">
        <v>170</v>
      </c>
      <c r="H281" t="s">
        <v>171</v>
      </c>
      <c r="I281" t="s">
        <v>172</v>
      </c>
      <c r="J281" t="s">
        <v>195</v>
      </c>
      <c r="K281">
        <v>200</v>
      </c>
      <c r="L281">
        <v>210</v>
      </c>
      <c r="M281" t="str">
        <f>VLOOKUP(A281,'csv import'!D:D,1,FALSE)</f>
        <v>TORRB1</v>
      </c>
    </row>
    <row r="282" spans="1:13">
      <c r="A282" t="s">
        <v>689</v>
      </c>
      <c r="B282" t="s">
        <v>688</v>
      </c>
      <c r="C282" t="s">
        <v>166</v>
      </c>
      <c r="D282" t="s">
        <v>167</v>
      </c>
      <c r="E282" t="s">
        <v>168</v>
      </c>
      <c r="F282" t="s">
        <v>169</v>
      </c>
      <c r="G282" t="s">
        <v>170</v>
      </c>
      <c r="H282" t="s">
        <v>171</v>
      </c>
      <c r="I282" t="s">
        <v>172</v>
      </c>
      <c r="J282" t="s">
        <v>195</v>
      </c>
      <c r="K282">
        <v>200</v>
      </c>
      <c r="L282">
        <v>210</v>
      </c>
      <c r="M282" t="str">
        <f>VLOOKUP(A282,'csv import'!D:D,1,FALSE)</f>
        <v>TORRB2</v>
      </c>
    </row>
    <row r="283" spans="1:13">
      <c r="A283" t="s">
        <v>690</v>
      </c>
      <c r="B283" t="s">
        <v>688</v>
      </c>
      <c r="C283" t="s">
        <v>166</v>
      </c>
      <c r="D283" t="s">
        <v>167</v>
      </c>
      <c r="E283" t="s">
        <v>168</v>
      </c>
      <c r="F283" t="s">
        <v>169</v>
      </c>
      <c r="G283" t="s">
        <v>170</v>
      </c>
      <c r="H283" t="s">
        <v>171</v>
      </c>
      <c r="I283" t="s">
        <v>172</v>
      </c>
      <c r="J283" t="s">
        <v>195</v>
      </c>
      <c r="K283">
        <v>200</v>
      </c>
      <c r="L283">
        <v>210</v>
      </c>
      <c r="M283" t="str">
        <f>VLOOKUP(A283,'csv import'!D:D,1,FALSE)</f>
        <v>TORRB3</v>
      </c>
    </row>
    <row r="284" spans="1:13">
      <c r="A284" t="s">
        <v>691</v>
      </c>
      <c r="B284" t="s">
        <v>688</v>
      </c>
      <c r="C284" t="s">
        <v>166</v>
      </c>
      <c r="D284" t="s">
        <v>167</v>
      </c>
      <c r="E284" t="s">
        <v>168</v>
      </c>
      <c r="F284" t="s">
        <v>169</v>
      </c>
      <c r="G284" t="s">
        <v>170</v>
      </c>
      <c r="H284" t="s">
        <v>171</v>
      </c>
      <c r="I284" t="s">
        <v>172</v>
      </c>
      <c r="J284" t="s">
        <v>195</v>
      </c>
      <c r="K284">
        <v>200</v>
      </c>
      <c r="L284">
        <v>210</v>
      </c>
      <c r="M284" t="str">
        <f>VLOOKUP(A284,'csv import'!D:D,1,FALSE)</f>
        <v>TORRB4</v>
      </c>
    </row>
    <row r="285" spans="1:13">
      <c r="A285" t="s">
        <v>770</v>
      </c>
      <c r="B285" t="s">
        <v>771</v>
      </c>
      <c r="C285" t="s">
        <v>215</v>
      </c>
      <c r="D285" t="s">
        <v>167</v>
      </c>
      <c r="E285" t="s">
        <v>168</v>
      </c>
      <c r="F285" t="s">
        <v>169</v>
      </c>
      <c r="G285" t="s">
        <v>170</v>
      </c>
      <c r="H285" t="s">
        <v>171</v>
      </c>
      <c r="I285" t="s">
        <v>172</v>
      </c>
      <c r="J285" t="s">
        <v>185</v>
      </c>
      <c r="K285">
        <v>160</v>
      </c>
      <c r="L285">
        <v>174</v>
      </c>
      <c r="M285" t="str">
        <f>VLOOKUP(A285,'csv import'!D:D,1,FALSE)</f>
        <v>YABULU</v>
      </c>
    </row>
    <row r="286" spans="1:13">
      <c r="A286" t="s">
        <v>772</v>
      </c>
      <c r="B286" t="s">
        <v>771</v>
      </c>
      <c r="C286" t="s">
        <v>215</v>
      </c>
      <c r="D286" t="s">
        <v>167</v>
      </c>
      <c r="E286" t="s">
        <v>168</v>
      </c>
      <c r="F286" t="s">
        <v>169</v>
      </c>
      <c r="G286" t="s">
        <v>170</v>
      </c>
      <c r="H286" t="s">
        <v>171</v>
      </c>
      <c r="I286" t="s">
        <v>172</v>
      </c>
      <c r="J286" t="s">
        <v>185</v>
      </c>
      <c r="K286">
        <v>82</v>
      </c>
      <c r="L286">
        <v>84</v>
      </c>
      <c r="M286" t="str">
        <f>VLOOKUP(A286,'csv import'!D:D,1,FALSE)</f>
        <v>YABULU2</v>
      </c>
    </row>
    <row r="287" spans="1:13">
      <c r="A287" t="s">
        <v>692</v>
      </c>
      <c r="B287" t="s">
        <v>693</v>
      </c>
      <c r="C287" t="s">
        <v>227</v>
      </c>
      <c r="D287" t="s">
        <v>167</v>
      </c>
      <c r="E287" t="s">
        <v>168</v>
      </c>
      <c r="F287" t="s">
        <v>169</v>
      </c>
      <c r="G287" t="s">
        <v>210</v>
      </c>
      <c r="H287" t="s">
        <v>211</v>
      </c>
      <c r="I287" t="s">
        <v>199</v>
      </c>
      <c r="J287" t="s">
        <v>212</v>
      </c>
      <c r="K287">
        <v>80</v>
      </c>
      <c r="L287">
        <v>103</v>
      </c>
      <c r="M287" t="str">
        <f>VLOOKUP(A287,'csv import'!D:D,1,FALSE)</f>
        <v>TREVALLN</v>
      </c>
    </row>
    <row r="288" spans="1:13">
      <c r="A288" t="s">
        <v>694</v>
      </c>
      <c r="B288" t="s">
        <v>695</v>
      </c>
      <c r="C288" t="s">
        <v>227</v>
      </c>
      <c r="D288" t="s">
        <v>167</v>
      </c>
      <c r="E288" t="s">
        <v>168</v>
      </c>
      <c r="F288" t="s">
        <v>169</v>
      </c>
      <c r="G288" t="s">
        <v>210</v>
      </c>
      <c r="H288" t="s">
        <v>211</v>
      </c>
      <c r="I288" t="s">
        <v>199</v>
      </c>
      <c r="J288" t="s">
        <v>212</v>
      </c>
      <c r="K288">
        <v>82.8</v>
      </c>
      <c r="L288">
        <v>92</v>
      </c>
      <c r="M288" t="str">
        <f>VLOOKUP(A288,'csv import'!D:D,1,FALSE)</f>
        <v>TRIBUTE</v>
      </c>
    </row>
    <row r="289" spans="1:13">
      <c r="A289" t="s">
        <v>703</v>
      </c>
      <c r="B289" t="s">
        <v>704</v>
      </c>
      <c r="C289" t="s">
        <v>176</v>
      </c>
      <c r="D289" t="s">
        <v>167</v>
      </c>
      <c r="E289" t="s">
        <v>168</v>
      </c>
      <c r="F289" t="s">
        <v>169</v>
      </c>
      <c r="G289" t="s">
        <v>210</v>
      </c>
      <c r="H289" t="s">
        <v>211</v>
      </c>
      <c r="I289" t="s">
        <v>199</v>
      </c>
      <c r="J289" t="s">
        <v>212</v>
      </c>
      <c r="K289">
        <v>616</v>
      </c>
      <c r="L289">
        <v>665</v>
      </c>
      <c r="M289" t="str">
        <f>VLOOKUP(A289,'csv import'!D:D,1,FALSE)</f>
        <v>UPPTUMUT</v>
      </c>
    </row>
    <row r="290" spans="1:13">
      <c r="A290" t="s">
        <v>696</v>
      </c>
      <c r="B290" t="s">
        <v>633</v>
      </c>
      <c r="C290" t="s">
        <v>176</v>
      </c>
      <c r="D290" t="s">
        <v>167</v>
      </c>
      <c r="E290" t="s">
        <v>168</v>
      </c>
      <c r="F290" t="s">
        <v>169</v>
      </c>
      <c r="G290" t="s">
        <v>210</v>
      </c>
      <c r="H290" t="s">
        <v>211</v>
      </c>
      <c r="I290" t="s">
        <v>199</v>
      </c>
      <c r="J290" t="s">
        <v>212</v>
      </c>
      <c r="K290">
        <v>1500</v>
      </c>
      <c r="L290">
        <v>1800</v>
      </c>
      <c r="M290" t="str">
        <f>VLOOKUP(A290,'csv import'!D:D,1,FALSE)</f>
        <v>TUMUT3</v>
      </c>
    </row>
    <row r="291" spans="1:13">
      <c r="A291" t="s">
        <v>697</v>
      </c>
      <c r="B291" t="s">
        <v>698</v>
      </c>
      <c r="C291" t="s">
        <v>227</v>
      </c>
      <c r="D291" t="s">
        <v>167</v>
      </c>
      <c r="E291" t="s">
        <v>168</v>
      </c>
      <c r="F291" t="s">
        <v>169</v>
      </c>
      <c r="G291" t="s">
        <v>210</v>
      </c>
      <c r="H291" t="s">
        <v>211</v>
      </c>
      <c r="I291" t="s">
        <v>199</v>
      </c>
      <c r="J291" t="s">
        <v>212</v>
      </c>
      <c r="K291">
        <v>125</v>
      </c>
      <c r="L291">
        <v>142.19999999999999</v>
      </c>
      <c r="M291" t="str">
        <f>VLOOKUP(A291,'csv import'!D:D,1,FALSE)</f>
        <v>TUNGATIN</v>
      </c>
    </row>
    <row r="292" spans="1:13">
      <c r="A292" t="s">
        <v>705</v>
      </c>
      <c r="B292" t="s">
        <v>706</v>
      </c>
      <c r="C292" t="s">
        <v>176</v>
      </c>
      <c r="D292" t="s">
        <v>167</v>
      </c>
      <c r="E292" t="s">
        <v>168</v>
      </c>
      <c r="F292" t="s">
        <v>169</v>
      </c>
      <c r="G292" t="s">
        <v>170</v>
      </c>
      <c r="H292" t="s">
        <v>171</v>
      </c>
      <c r="I292" t="s">
        <v>172</v>
      </c>
      <c r="J292" t="s">
        <v>185</v>
      </c>
      <c r="K292">
        <v>166</v>
      </c>
      <c r="L292">
        <v>166</v>
      </c>
      <c r="M292" t="str">
        <f>VLOOKUP(A292,'csv import'!D:D,1,FALSE)</f>
        <v>URANQ11</v>
      </c>
    </row>
    <row r="293" spans="1:13">
      <c r="A293" t="s">
        <v>707</v>
      </c>
      <c r="B293" t="s">
        <v>706</v>
      </c>
      <c r="C293" t="s">
        <v>176</v>
      </c>
      <c r="D293" t="s">
        <v>167</v>
      </c>
      <c r="E293" t="s">
        <v>168</v>
      </c>
      <c r="F293" t="s">
        <v>169</v>
      </c>
      <c r="G293" t="s">
        <v>170</v>
      </c>
      <c r="H293" t="s">
        <v>171</v>
      </c>
      <c r="I293" t="s">
        <v>172</v>
      </c>
      <c r="J293" t="s">
        <v>185</v>
      </c>
      <c r="K293">
        <v>166</v>
      </c>
      <c r="L293">
        <v>166</v>
      </c>
      <c r="M293" t="str">
        <f>VLOOKUP(A293,'csv import'!D:D,1,FALSE)</f>
        <v>URANQ12</v>
      </c>
    </row>
    <row r="294" spans="1:13">
      <c r="A294" t="s">
        <v>708</v>
      </c>
      <c r="B294" t="s">
        <v>706</v>
      </c>
      <c r="C294" t="s">
        <v>176</v>
      </c>
      <c r="D294" t="s">
        <v>167</v>
      </c>
      <c r="E294" t="s">
        <v>168</v>
      </c>
      <c r="F294" t="s">
        <v>169</v>
      </c>
      <c r="G294" t="s">
        <v>170</v>
      </c>
      <c r="H294" t="s">
        <v>171</v>
      </c>
      <c r="I294" t="s">
        <v>172</v>
      </c>
      <c r="J294" t="s">
        <v>185</v>
      </c>
      <c r="K294">
        <v>166</v>
      </c>
      <c r="L294">
        <v>166</v>
      </c>
      <c r="M294" t="str">
        <f>VLOOKUP(A294,'csv import'!D:D,1,FALSE)</f>
        <v>URANQ13</v>
      </c>
    </row>
    <row r="295" spans="1:13">
      <c r="A295" t="s">
        <v>709</v>
      </c>
      <c r="B295" t="s">
        <v>706</v>
      </c>
      <c r="C295" t="s">
        <v>176</v>
      </c>
      <c r="D295" t="s">
        <v>167</v>
      </c>
      <c r="E295" t="s">
        <v>168</v>
      </c>
      <c r="F295" t="s">
        <v>169</v>
      </c>
      <c r="G295" t="s">
        <v>170</v>
      </c>
      <c r="H295" t="s">
        <v>171</v>
      </c>
      <c r="I295" t="s">
        <v>172</v>
      </c>
      <c r="J295" t="s">
        <v>185</v>
      </c>
      <c r="K295">
        <v>166</v>
      </c>
      <c r="L295">
        <v>166</v>
      </c>
      <c r="M295" t="str">
        <f>VLOOKUP(A295,'csv import'!D:D,1,FALSE)</f>
        <v>URANQ14</v>
      </c>
    </row>
    <row r="296" spans="1:13">
      <c r="A296" t="s">
        <v>710</v>
      </c>
      <c r="B296" t="s">
        <v>711</v>
      </c>
      <c r="C296" t="s">
        <v>176</v>
      </c>
      <c r="D296" t="s">
        <v>167</v>
      </c>
      <c r="E296" t="s">
        <v>168</v>
      </c>
      <c r="F296" t="s">
        <v>169</v>
      </c>
      <c r="G296" t="s">
        <v>193</v>
      </c>
      <c r="H296" t="s">
        <v>280</v>
      </c>
      <c r="I296" t="s">
        <v>172</v>
      </c>
      <c r="J296" t="s">
        <v>195</v>
      </c>
      <c r="K296">
        <v>660</v>
      </c>
      <c r="L296">
        <v>680</v>
      </c>
      <c r="M296" t="str">
        <f>VLOOKUP(A296,'csv import'!D:D,1,FALSE)</f>
        <v>VP5</v>
      </c>
    </row>
    <row r="297" spans="1:13">
      <c r="A297" t="s">
        <v>712</v>
      </c>
      <c r="B297" t="s">
        <v>711</v>
      </c>
      <c r="C297" t="s">
        <v>176</v>
      </c>
      <c r="D297" t="s">
        <v>167</v>
      </c>
      <c r="E297" t="s">
        <v>168</v>
      </c>
      <c r="F297" t="s">
        <v>169</v>
      </c>
      <c r="G297" t="s">
        <v>193</v>
      </c>
      <c r="H297" t="s">
        <v>280</v>
      </c>
      <c r="I297" t="s">
        <v>172</v>
      </c>
      <c r="J297" t="s">
        <v>195</v>
      </c>
      <c r="K297">
        <v>660</v>
      </c>
      <c r="L297">
        <v>680</v>
      </c>
      <c r="M297" t="str">
        <f>VLOOKUP(A297,'csv import'!D:D,1,FALSE)</f>
        <v>VP6</v>
      </c>
    </row>
    <row r="298" spans="1:13">
      <c r="A298" t="s">
        <v>713</v>
      </c>
      <c r="B298" t="s">
        <v>714</v>
      </c>
      <c r="C298" t="s">
        <v>184</v>
      </c>
      <c r="D298" t="s">
        <v>167</v>
      </c>
      <c r="E298" t="s">
        <v>168</v>
      </c>
      <c r="F298" t="s">
        <v>169</v>
      </c>
      <c r="G298" t="s">
        <v>170</v>
      </c>
      <c r="H298" t="s">
        <v>171</v>
      </c>
      <c r="I298" t="s">
        <v>172</v>
      </c>
      <c r="J298" t="s">
        <v>185</v>
      </c>
      <c r="K298">
        <v>50</v>
      </c>
      <c r="L298">
        <v>60</v>
      </c>
      <c r="M298" t="str">
        <f>VLOOKUP(A298,'csv import'!D:D,1,FALSE)</f>
        <v>VPGS</v>
      </c>
    </row>
    <row r="299" spans="1:13">
      <c r="A299" t="s">
        <v>715</v>
      </c>
      <c r="B299" t="s">
        <v>714</v>
      </c>
      <c r="C299" t="s">
        <v>184</v>
      </c>
      <c r="D299" t="s">
        <v>167</v>
      </c>
      <c r="E299" t="s">
        <v>168</v>
      </c>
      <c r="F299" t="s">
        <v>169</v>
      </c>
      <c r="G299" t="s">
        <v>170</v>
      </c>
      <c r="H299" t="s">
        <v>171</v>
      </c>
      <c r="I299" t="s">
        <v>172</v>
      </c>
      <c r="J299" t="s">
        <v>185</v>
      </c>
      <c r="K299">
        <v>50</v>
      </c>
      <c r="L299">
        <v>60</v>
      </c>
      <c r="M299" t="str">
        <f>VLOOKUP(A299,final!D:D,1,FALSE)</f>
        <v>VPGS1</v>
      </c>
    </row>
    <row r="300" spans="1:13">
      <c r="A300" t="s">
        <v>716</v>
      </c>
      <c r="B300" t="s">
        <v>714</v>
      </c>
      <c r="C300" t="s">
        <v>184</v>
      </c>
      <c r="D300" t="s">
        <v>167</v>
      </c>
      <c r="E300" t="s">
        <v>168</v>
      </c>
      <c r="F300" t="s">
        <v>169</v>
      </c>
      <c r="G300" t="s">
        <v>170</v>
      </c>
      <c r="H300" t="s">
        <v>171</v>
      </c>
      <c r="I300" t="s">
        <v>172</v>
      </c>
      <c r="J300" t="s">
        <v>185</v>
      </c>
      <c r="K300">
        <v>50</v>
      </c>
      <c r="L300">
        <v>60</v>
      </c>
      <c r="M300" t="str">
        <f>VLOOKUP(A300,final!D:D,1,FALSE)</f>
        <v>VPGS2</v>
      </c>
    </row>
    <row r="301" spans="1:13">
      <c r="A301" t="s">
        <v>717</v>
      </c>
      <c r="B301" t="s">
        <v>714</v>
      </c>
      <c r="C301" t="s">
        <v>184</v>
      </c>
      <c r="D301" t="s">
        <v>167</v>
      </c>
      <c r="E301" t="s">
        <v>168</v>
      </c>
      <c r="F301" t="s">
        <v>169</v>
      </c>
      <c r="G301" t="s">
        <v>170</v>
      </c>
      <c r="H301" t="s">
        <v>171</v>
      </c>
      <c r="I301" t="s">
        <v>172</v>
      </c>
      <c r="J301" t="s">
        <v>185</v>
      </c>
      <c r="K301">
        <v>50</v>
      </c>
      <c r="L301">
        <v>60</v>
      </c>
      <c r="M301" t="str">
        <f>VLOOKUP(A301,final!D:D,1,FALSE)</f>
        <v>VPGS3</v>
      </c>
    </row>
    <row r="302" spans="1:13">
      <c r="A302" t="s">
        <v>718</v>
      </c>
      <c r="B302" t="s">
        <v>714</v>
      </c>
      <c r="C302" t="s">
        <v>184</v>
      </c>
      <c r="D302" t="s">
        <v>167</v>
      </c>
      <c r="E302" t="s">
        <v>168</v>
      </c>
      <c r="F302" t="s">
        <v>169</v>
      </c>
      <c r="G302" t="s">
        <v>170</v>
      </c>
      <c r="H302" t="s">
        <v>171</v>
      </c>
      <c r="I302" t="s">
        <v>172</v>
      </c>
      <c r="J302" t="s">
        <v>185</v>
      </c>
      <c r="K302">
        <v>50</v>
      </c>
      <c r="L302">
        <v>60</v>
      </c>
      <c r="M302" t="str">
        <f>VLOOKUP(A302,final!D:D,1,FALSE)</f>
        <v>VPGS4</v>
      </c>
    </row>
    <row r="303" spans="1:13">
      <c r="A303" t="s">
        <v>719</v>
      </c>
      <c r="B303" t="s">
        <v>714</v>
      </c>
      <c r="C303" t="s">
        <v>184</v>
      </c>
      <c r="D303" t="s">
        <v>167</v>
      </c>
      <c r="E303" t="s">
        <v>168</v>
      </c>
      <c r="F303" t="s">
        <v>169</v>
      </c>
      <c r="G303" t="s">
        <v>170</v>
      </c>
      <c r="H303" t="s">
        <v>171</v>
      </c>
      <c r="I303" t="s">
        <v>172</v>
      </c>
      <c r="J303" t="s">
        <v>185</v>
      </c>
      <c r="K303">
        <v>50</v>
      </c>
      <c r="L303">
        <v>60</v>
      </c>
      <c r="M303" t="str">
        <f>VLOOKUP(A303,final!D:D,1,FALSE)</f>
        <v>VPGS5</v>
      </c>
    </row>
    <row r="304" spans="1:13">
      <c r="A304" t="s">
        <v>720</v>
      </c>
      <c r="B304" t="s">
        <v>714</v>
      </c>
      <c r="C304" t="s">
        <v>184</v>
      </c>
      <c r="D304" t="s">
        <v>167</v>
      </c>
      <c r="E304" t="s">
        <v>168</v>
      </c>
      <c r="F304" t="s">
        <v>169</v>
      </c>
      <c r="G304" t="s">
        <v>170</v>
      </c>
      <c r="H304" t="s">
        <v>171</v>
      </c>
      <c r="I304" t="s">
        <v>172</v>
      </c>
      <c r="J304" t="s">
        <v>185</v>
      </c>
      <c r="K304">
        <v>50</v>
      </c>
      <c r="L304">
        <v>60</v>
      </c>
      <c r="M304" t="str">
        <f>VLOOKUP(A304,final!D:D,1,FALSE)</f>
        <v>VPGS6</v>
      </c>
    </row>
    <row r="305" spans="1:13" hidden="1">
      <c r="A305" t="s">
        <v>677</v>
      </c>
      <c r="B305" t="s">
        <v>678</v>
      </c>
      <c r="C305" t="s">
        <v>215</v>
      </c>
      <c r="D305" t="s">
        <v>167</v>
      </c>
      <c r="E305" t="s">
        <v>168</v>
      </c>
      <c r="F305" t="s">
        <v>177</v>
      </c>
      <c r="G305" t="s">
        <v>170</v>
      </c>
      <c r="H305" t="s">
        <v>178</v>
      </c>
      <c r="I305" t="s">
        <v>172</v>
      </c>
      <c r="J305" t="s">
        <v>179</v>
      </c>
      <c r="K305">
        <v>2</v>
      </c>
      <c r="L305">
        <v>2</v>
      </c>
      <c r="M305" t="e">
        <f>VLOOKUP(A305,final!D:D,1,FALSE)</f>
        <v>#N/A</v>
      </c>
    </row>
    <row r="306" spans="1:13">
      <c r="A306" t="s">
        <v>725</v>
      </c>
      <c r="B306" t="s">
        <v>726</v>
      </c>
      <c r="C306" t="s">
        <v>166</v>
      </c>
      <c r="D306" t="s">
        <v>167</v>
      </c>
      <c r="E306" t="s">
        <v>168</v>
      </c>
      <c r="F306" t="s">
        <v>197</v>
      </c>
      <c r="G306" t="s">
        <v>198</v>
      </c>
      <c r="H306" t="s">
        <v>198</v>
      </c>
      <c r="I306" t="s">
        <v>199</v>
      </c>
      <c r="J306" t="s">
        <v>200</v>
      </c>
      <c r="K306">
        <v>111</v>
      </c>
      <c r="L306">
        <v>111</v>
      </c>
      <c r="M306" t="str">
        <f>VLOOKUP(A306,'csv import'!D:D,1,FALSE)</f>
        <v>WATERLWF</v>
      </c>
    </row>
    <row r="307" spans="1:13">
      <c r="A307" t="s">
        <v>762</v>
      </c>
      <c r="B307" t="s">
        <v>763</v>
      </c>
      <c r="C307" t="s">
        <v>166</v>
      </c>
      <c r="D307" t="s">
        <v>167</v>
      </c>
      <c r="E307" t="s">
        <v>168</v>
      </c>
      <c r="F307" t="s">
        <v>177</v>
      </c>
      <c r="G307" t="s">
        <v>198</v>
      </c>
      <c r="H307" t="s">
        <v>198</v>
      </c>
      <c r="I307" t="s">
        <v>199</v>
      </c>
      <c r="J307" t="s">
        <v>200</v>
      </c>
      <c r="K307">
        <v>90.75</v>
      </c>
      <c r="L307">
        <v>91</v>
      </c>
      <c r="M307" t="str">
        <f>VLOOKUP(A307,'csv import'!D:D,1,FALSE)</f>
        <v>WPWF</v>
      </c>
    </row>
    <row r="308" spans="1:13">
      <c r="A308" t="s">
        <v>727</v>
      </c>
      <c r="B308" t="s">
        <v>728</v>
      </c>
      <c r="C308" t="s">
        <v>184</v>
      </c>
      <c r="D308" t="s">
        <v>167</v>
      </c>
      <c r="E308" t="s">
        <v>168</v>
      </c>
      <c r="F308" t="s">
        <v>177</v>
      </c>
      <c r="G308" t="s">
        <v>198</v>
      </c>
      <c r="H308" t="s">
        <v>198</v>
      </c>
      <c r="I308" t="s">
        <v>199</v>
      </c>
      <c r="J308" t="s">
        <v>200</v>
      </c>
      <c r="K308">
        <v>192</v>
      </c>
      <c r="L308">
        <v>192</v>
      </c>
      <c r="M308" t="str">
        <f>VLOOKUP(A308,'csv import'!D:D,1,FALSE)</f>
        <v>WAUBRAWF</v>
      </c>
    </row>
    <row r="309" spans="1:13" hidden="1">
      <c r="A309" t="s">
        <v>733</v>
      </c>
      <c r="B309" t="s">
        <v>734</v>
      </c>
      <c r="C309" t="s">
        <v>176</v>
      </c>
      <c r="D309" t="s">
        <v>167</v>
      </c>
      <c r="E309" t="s">
        <v>168</v>
      </c>
      <c r="F309" t="s">
        <v>177</v>
      </c>
      <c r="G309" t="s">
        <v>188</v>
      </c>
      <c r="H309" t="s">
        <v>188</v>
      </c>
      <c r="I309" t="s">
        <v>172</v>
      </c>
      <c r="J309" t="s">
        <v>179</v>
      </c>
      <c r="K309">
        <v>1</v>
      </c>
      <c r="L309">
        <v>1</v>
      </c>
      <c r="M309" t="e">
        <f>VLOOKUP(A309,final!D:D,1,FALSE)</f>
        <v>#N/A</v>
      </c>
    </row>
    <row r="310" spans="1:13">
      <c r="A310" t="s">
        <v>749</v>
      </c>
      <c r="B310" t="s">
        <v>750</v>
      </c>
      <c r="C310" t="s">
        <v>184</v>
      </c>
      <c r="D310" t="s">
        <v>167</v>
      </c>
      <c r="E310" t="s">
        <v>168</v>
      </c>
      <c r="F310" t="s">
        <v>169</v>
      </c>
      <c r="G310" t="s">
        <v>210</v>
      </c>
      <c r="H310" t="s">
        <v>211</v>
      </c>
      <c r="I310" t="s">
        <v>199</v>
      </c>
      <c r="J310" t="s">
        <v>212</v>
      </c>
      <c r="K310">
        <v>31</v>
      </c>
      <c r="L310">
        <v>34</v>
      </c>
      <c r="M310" t="str">
        <f>VLOOKUP(A310,'csv import'!D:D,1,FALSE)</f>
        <v>WKIEWA1</v>
      </c>
    </row>
    <row r="311" spans="1:13">
      <c r="A311" t="s">
        <v>751</v>
      </c>
      <c r="B311" t="s">
        <v>750</v>
      </c>
      <c r="C311" t="s">
        <v>184</v>
      </c>
      <c r="D311" t="s">
        <v>167</v>
      </c>
      <c r="E311" t="s">
        <v>168</v>
      </c>
      <c r="F311" t="s">
        <v>169</v>
      </c>
      <c r="G311" t="s">
        <v>210</v>
      </c>
      <c r="H311" t="s">
        <v>211</v>
      </c>
      <c r="I311" t="s">
        <v>199</v>
      </c>
      <c r="J311" t="s">
        <v>212</v>
      </c>
      <c r="K311">
        <v>31</v>
      </c>
      <c r="L311">
        <v>34</v>
      </c>
      <c r="M311" t="str">
        <f>VLOOKUP(A311,'csv import'!D:D,1,FALSE)</f>
        <v>WKIEWA2</v>
      </c>
    </row>
    <row r="312" spans="1:13" hidden="1">
      <c r="A312" t="s">
        <v>174</v>
      </c>
      <c r="B312" t="s">
        <v>175</v>
      </c>
      <c r="C312" t="s">
        <v>176</v>
      </c>
      <c r="D312" t="s">
        <v>167</v>
      </c>
      <c r="E312" t="s">
        <v>168</v>
      </c>
      <c r="F312" t="s">
        <v>177</v>
      </c>
      <c r="G312" t="s">
        <v>170</v>
      </c>
      <c r="H312" t="s">
        <v>178</v>
      </c>
      <c r="I312" t="s">
        <v>172</v>
      </c>
      <c r="J312" t="s">
        <v>179</v>
      </c>
      <c r="K312">
        <v>1</v>
      </c>
      <c r="L312">
        <v>1</v>
      </c>
      <c r="M312" t="e">
        <f>VLOOKUP(A312,final!D:D,1,FALSE)</f>
        <v>#N/A</v>
      </c>
    </row>
    <row r="313" spans="1:13" hidden="1">
      <c r="A313" t="s">
        <v>731</v>
      </c>
      <c r="B313" t="s">
        <v>732</v>
      </c>
      <c r="C313" t="s">
        <v>176</v>
      </c>
      <c r="D313" t="s">
        <v>167</v>
      </c>
      <c r="E313" t="s">
        <v>168</v>
      </c>
      <c r="F313" t="s">
        <v>177</v>
      </c>
      <c r="G313" t="s">
        <v>188</v>
      </c>
      <c r="H313" t="s">
        <v>188</v>
      </c>
      <c r="I313" t="s">
        <v>172</v>
      </c>
      <c r="J313" t="s">
        <v>179</v>
      </c>
      <c r="K313">
        <v>1</v>
      </c>
      <c r="L313">
        <v>1</v>
      </c>
      <c r="M313" t="e">
        <f>VLOOKUP(A313,final!D:D,1,FALSE)</f>
        <v>#N/A</v>
      </c>
    </row>
    <row r="314" spans="1:13" hidden="1">
      <c r="A314" t="s">
        <v>737</v>
      </c>
      <c r="B314" t="s">
        <v>738</v>
      </c>
      <c r="C314" t="s">
        <v>215</v>
      </c>
      <c r="D314" t="s">
        <v>167</v>
      </c>
      <c r="E314" t="s">
        <v>168</v>
      </c>
      <c r="F314" t="s">
        <v>177</v>
      </c>
      <c r="G314" t="s">
        <v>170</v>
      </c>
      <c r="H314" t="s">
        <v>178</v>
      </c>
      <c r="I314" t="s">
        <v>172</v>
      </c>
      <c r="J314" t="s">
        <v>179</v>
      </c>
      <c r="K314">
        <v>1</v>
      </c>
      <c r="L314">
        <v>1</v>
      </c>
      <c r="M314" t="e">
        <f>VLOOKUP(A314,final!D:D,1,FALSE)</f>
        <v>#N/A</v>
      </c>
    </row>
    <row r="315" spans="1:13" hidden="1">
      <c r="A315" t="s">
        <v>739</v>
      </c>
      <c r="B315" t="s">
        <v>740</v>
      </c>
      <c r="C315" t="s">
        <v>176</v>
      </c>
      <c r="D315" t="s">
        <v>167</v>
      </c>
      <c r="E315" t="s">
        <v>168</v>
      </c>
      <c r="F315" t="s">
        <v>177</v>
      </c>
      <c r="G315" t="s">
        <v>170</v>
      </c>
      <c r="H315" t="s">
        <v>257</v>
      </c>
      <c r="I315" t="s">
        <v>172</v>
      </c>
      <c r="J315" t="s">
        <v>254</v>
      </c>
      <c r="K315">
        <v>10</v>
      </c>
      <c r="L315">
        <v>10</v>
      </c>
      <c r="M315" t="e">
        <f>VLOOKUP(A315,final!D:D,1,FALSE)</f>
        <v>#N/A</v>
      </c>
    </row>
    <row r="316" spans="1:13" hidden="1">
      <c r="A316" t="s">
        <v>741</v>
      </c>
      <c r="B316" t="s">
        <v>742</v>
      </c>
      <c r="C316" t="s">
        <v>176</v>
      </c>
      <c r="D316" t="s">
        <v>167</v>
      </c>
      <c r="E316" t="s">
        <v>168</v>
      </c>
      <c r="F316" t="s">
        <v>177</v>
      </c>
      <c r="G316" t="s">
        <v>170</v>
      </c>
      <c r="H316" t="s">
        <v>257</v>
      </c>
      <c r="I316" t="s">
        <v>172</v>
      </c>
      <c r="J316" t="s">
        <v>254</v>
      </c>
      <c r="K316">
        <v>6</v>
      </c>
      <c r="L316">
        <v>6</v>
      </c>
      <c r="M316" t="e">
        <f>VLOOKUP(A316,final!D:D,1,FALSE)</f>
        <v>#N/A</v>
      </c>
    </row>
    <row r="317" spans="1:13" hidden="1">
      <c r="A317" t="s">
        <v>743</v>
      </c>
      <c r="B317" t="s">
        <v>744</v>
      </c>
      <c r="C317" t="s">
        <v>184</v>
      </c>
      <c r="D317" t="s">
        <v>167</v>
      </c>
      <c r="E317" t="s">
        <v>168</v>
      </c>
      <c r="F317" t="s">
        <v>177</v>
      </c>
      <c r="G317" t="s">
        <v>210</v>
      </c>
      <c r="H317" t="s">
        <v>211</v>
      </c>
      <c r="I317" t="s">
        <v>199</v>
      </c>
      <c r="J317" t="s">
        <v>223</v>
      </c>
      <c r="K317">
        <v>2</v>
      </c>
      <c r="L317">
        <v>2</v>
      </c>
      <c r="M317" t="e">
        <f>VLOOKUP(A317,final!D:D,1,FALSE)</f>
        <v>#N/A</v>
      </c>
    </row>
    <row r="318" spans="1:13">
      <c r="A318" t="s">
        <v>735</v>
      </c>
      <c r="B318" t="s">
        <v>736</v>
      </c>
      <c r="C318" t="s">
        <v>215</v>
      </c>
      <c r="D318" t="s">
        <v>167</v>
      </c>
      <c r="E318" t="s">
        <v>168</v>
      </c>
      <c r="F318" t="s">
        <v>177</v>
      </c>
      <c r="G318" t="s">
        <v>198</v>
      </c>
      <c r="H318" t="s">
        <v>198</v>
      </c>
      <c r="I318" t="s">
        <v>199</v>
      </c>
      <c r="J318" t="s">
        <v>200</v>
      </c>
      <c r="K318">
        <v>12</v>
      </c>
      <c r="L318">
        <v>12</v>
      </c>
      <c r="M318" t="str">
        <f>VLOOKUP(A318,final!D:D,1,FALSE)</f>
        <v>WHILL1</v>
      </c>
    </row>
    <row r="319" spans="1:13" hidden="1">
      <c r="A319" t="s">
        <v>745</v>
      </c>
      <c r="B319" t="s">
        <v>746</v>
      </c>
      <c r="C319" t="s">
        <v>166</v>
      </c>
      <c r="D319" t="s">
        <v>167</v>
      </c>
      <c r="E319" t="s">
        <v>168</v>
      </c>
      <c r="F319" t="s">
        <v>177</v>
      </c>
      <c r="G319" t="s">
        <v>170</v>
      </c>
      <c r="H319" t="s">
        <v>178</v>
      </c>
      <c r="I319" t="s">
        <v>172</v>
      </c>
      <c r="J319" t="s">
        <v>254</v>
      </c>
      <c r="K319">
        <v>5</v>
      </c>
      <c r="L319">
        <v>5</v>
      </c>
      <c r="M319" t="e">
        <f>VLOOKUP(A319,final!D:D,1,FALSE)</f>
        <v>#N/A</v>
      </c>
    </row>
    <row r="320" spans="1:13" hidden="1">
      <c r="A320" t="s">
        <v>747</v>
      </c>
      <c r="B320" t="s">
        <v>748</v>
      </c>
      <c r="C320" t="s">
        <v>166</v>
      </c>
      <c r="D320" t="s">
        <v>167</v>
      </c>
      <c r="E320" t="s">
        <v>168</v>
      </c>
      <c r="F320" t="s">
        <v>177</v>
      </c>
      <c r="G320" t="s">
        <v>170</v>
      </c>
      <c r="H320" t="s">
        <v>178</v>
      </c>
      <c r="I320" t="s">
        <v>172</v>
      </c>
      <c r="J320" t="s">
        <v>254</v>
      </c>
      <c r="K320">
        <v>5</v>
      </c>
      <c r="L320">
        <v>5</v>
      </c>
      <c r="M320" t="e">
        <f>VLOOKUP(A320,final!D:D,1,FALSE)</f>
        <v>#N/A</v>
      </c>
    </row>
    <row r="321" spans="1:13">
      <c r="A321" t="s">
        <v>721</v>
      </c>
      <c r="B321" t="s">
        <v>722</v>
      </c>
      <c r="C321" t="s">
        <v>215</v>
      </c>
      <c r="D321" t="s">
        <v>167</v>
      </c>
      <c r="E321" t="s">
        <v>168</v>
      </c>
      <c r="F321" t="s">
        <v>169</v>
      </c>
      <c r="G321" t="s">
        <v>210</v>
      </c>
      <c r="H321" t="s">
        <v>211</v>
      </c>
      <c r="I321" t="s">
        <v>199</v>
      </c>
      <c r="J321" t="s">
        <v>723</v>
      </c>
      <c r="K321">
        <v>250</v>
      </c>
      <c r="L321">
        <v>312</v>
      </c>
      <c r="M321" t="str">
        <f>VLOOKUP(A321,'csv import'!D:D,1,FALSE)</f>
        <v>W/HOE#1</v>
      </c>
    </row>
    <row r="322" spans="1:13">
      <c r="A322" t="s">
        <v>724</v>
      </c>
      <c r="B322" t="s">
        <v>722</v>
      </c>
      <c r="C322" t="s">
        <v>215</v>
      </c>
      <c r="D322" t="s">
        <v>167</v>
      </c>
      <c r="E322" t="s">
        <v>168</v>
      </c>
      <c r="F322" t="s">
        <v>169</v>
      </c>
      <c r="G322" t="s">
        <v>210</v>
      </c>
      <c r="H322" t="s">
        <v>211</v>
      </c>
      <c r="I322" t="s">
        <v>199</v>
      </c>
      <c r="J322" t="s">
        <v>723</v>
      </c>
      <c r="K322">
        <v>250</v>
      </c>
      <c r="L322">
        <v>312</v>
      </c>
      <c r="M322" t="str">
        <f>VLOOKUP(A322,'csv import'!D:D,1,FALSE)</f>
        <v>W/HOE#2</v>
      </c>
    </row>
    <row r="323" spans="1:13">
      <c r="A323" t="s">
        <v>585</v>
      </c>
      <c r="B323" t="s">
        <v>586</v>
      </c>
      <c r="C323" t="s">
        <v>215</v>
      </c>
      <c r="D323" t="s">
        <v>587</v>
      </c>
      <c r="E323" t="s">
        <v>168</v>
      </c>
      <c r="F323" t="s">
        <v>169</v>
      </c>
      <c r="G323" t="s">
        <v>210</v>
      </c>
      <c r="K323">
        <v>240</v>
      </c>
      <c r="L323">
        <v>245</v>
      </c>
      <c r="M323" t="e">
        <f>VLOOKUP(A323,final!D:D,1,FALSE)</f>
        <v>#N/A</v>
      </c>
    </row>
    <row r="324" spans="1:13">
      <c r="A324" t="s">
        <v>588</v>
      </c>
      <c r="B324" t="s">
        <v>589</v>
      </c>
      <c r="C324" t="s">
        <v>215</v>
      </c>
      <c r="D324" t="s">
        <v>587</v>
      </c>
      <c r="E324" t="s">
        <v>168</v>
      </c>
      <c r="F324" t="s">
        <v>169</v>
      </c>
      <c r="K324">
        <v>240</v>
      </c>
      <c r="L324">
        <v>245</v>
      </c>
      <c r="M324" t="e">
        <f>VLOOKUP(A324,final!D:D,1,FALSE)</f>
        <v>#N/A</v>
      </c>
    </row>
    <row r="325" spans="1:13" hidden="1">
      <c r="A325" t="s">
        <v>752</v>
      </c>
      <c r="B325" t="s">
        <v>753</v>
      </c>
      <c r="C325" t="s">
        <v>184</v>
      </c>
      <c r="D325" t="s">
        <v>167</v>
      </c>
      <c r="E325" t="s">
        <v>168</v>
      </c>
      <c r="F325" t="s">
        <v>177</v>
      </c>
      <c r="G325" t="s">
        <v>170</v>
      </c>
      <c r="H325" t="s">
        <v>178</v>
      </c>
      <c r="I325" t="s">
        <v>172</v>
      </c>
      <c r="J325" t="s">
        <v>254</v>
      </c>
      <c r="K325">
        <v>6.7380000000000004</v>
      </c>
      <c r="L325">
        <v>7</v>
      </c>
      <c r="M325" t="e">
        <f>VLOOKUP(A325,final!D:D,1,FALSE)</f>
        <v>#N/A</v>
      </c>
    </row>
    <row r="326" spans="1:13">
      <c r="A326" t="s">
        <v>754</v>
      </c>
      <c r="B326" t="s">
        <v>755</v>
      </c>
      <c r="C326" t="s">
        <v>184</v>
      </c>
      <c r="D326" t="s">
        <v>167</v>
      </c>
      <c r="E326" t="s">
        <v>168</v>
      </c>
      <c r="F326" t="s">
        <v>177</v>
      </c>
      <c r="G326" t="s">
        <v>198</v>
      </c>
      <c r="H326" t="s">
        <v>198</v>
      </c>
      <c r="I326" t="s">
        <v>199</v>
      </c>
      <c r="J326" t="s">
        <v>200</v>
      </c>
      <c r="K326">
        <v>12</v>
      </c>
      <c r="L326">
        <v>12</v>
      </c>
      <c r="M326" t="str">
        <f>VLOOKUP(A326,final!D:D,1,FALSE)</f>
        <v>WONWP</v>
      </c>
    </row>
    <row r="327" spans="1:13" hidden="1">
      <c r="A327" t="s">
        <v>729</v>
      </c>
      <c r="B327" t="s">
        <v>730</v>
      </c>
      <c r="C327" t="s">
        <v>176</v>
      </c>
      <c r="D327" t="s">
        <v>167</v>
      </c>
      <c r="E327" t="s">
        <v>168</v>
      </c>
      <c r="F327" t="s">
        <v>177</v>
      </c>
      <c r="G327" t="s">
        <v>170</v>
      </c>
      <c r="H327" t="s">
        <v>178</v>
      </c>
      <c r="I327" t="s">
        <v>172</v>
      </c>
      <c r="J327" t="s">
        <v>179</v>
      </c>
      <c r="K327">
        <v>7</v>
      </c>
      <c r="L327">
        <v>7</v>
      </c>
      <c r="M327" t="e">
        <f>VLOOKUP(A327,final!D:D,1,FALSE)</f>
        <v>#N/A</v>
      </c>
    </row>
    <row r="328" spans="1:13">
      <c r="A328" t="s">
        <v>756</v>
      </c>
      <c r="B328" t="s">
        <v>757</v>
      </c>
      <c r="C328" t="s">
        <v>176</v>
      </c>
      <c r="D328" t="s">
        <v>167</v>
      </c>
      <c r="E328" t="s">
        <v>168</v>
      </c>
      <c r="F328" t="s">
        <v>197</v>
      </c>
      <c r="G328" t="s">
        <v>198</v>
      </c>
      <c r="H328" t="s">
        <v>198</v>
      </c>
      <c r="I328" t="s">
        <v>199</v>
      </c>
      <c r="J328" t="s">
        <v>200</v>
      </c>
      <c r="K328">
        <v>48</v>
      </c>
      <c r="L328">
        <v>48</v>
      </c>
      <c r="M328" t="str">
        <f>VLOOKUP(A328,'csv import'!D:D,1,FALSE)</f>
        <v>WOODLWN1</v>
      </c>
    </row>
    <row r="329" spans="1:13">
      <c r="A329" t="s">
        <v>758</v>
      </c>
      <c r="B329" t="s">
        <v>759</v>
      </c>
      <c r="C329" t="s">
        <v>227</v>
      </c>
      <c r="D329" t="s">
        <v>167</v>
      </c>
      <c r="E329" t="s">
        <v>168</v>
      </c>
      <c r="F329" t="s">
        <v>177</v>
      </c>
      <c r="G329" t="s">
        <v>198</v>
      </c>
      <c r="H329" t="s">
        <v>198</v>
      </c>
      <c r="I329" t="s">
        <v>199</v>
      </c>
      <c r="J329" t="s">
        <v>200</v>
      </c>
      <c r="K329">
        <v>140</v>
      </c>
      <c r="L329">
        <v>140</v>
      </c>
      <c r="M329" t="str">
        <f>VLOOKUP(A329,'csv import'!D:D,1,FALSE)</f>
        <v>WOOLNTH1</v>
      </c>
    </row>
    <row r="330" spans="1:13" hidden="1">
      <c r="A330" t="s">
        <v>760</v>
      </c>
      <c r="B330" t="s">
        <v>761</v>
      </c>
      <c r="C330" t="s">
        <v>176</v>
      </c>
      <c r="D330" t="s">
        <v>167</v>
      </c>
      <c r="E330" t="s">
        <v>168</v>
      </c>
      <c r="F330" t="s">
        <v>177</v>
      </c>
      <c r="G330" t="s">
        <v>170</v>
      </c>
      <c r="H330" t="s">
        <v>178</v>
      </c>
      <c r="I330" t="s">
        <v>172</v>
      </c>
      <c r="J330" t="s">
        <v>179</v>
      </c>
      <c r="K330">
        <v>1.0640000000000001</v>
      </c>
      <c r="L330">
        <v>1</v>
      </c>
      <c r="M330" t="e">
        <f>VLOOKUP(A330,final!D:D,1,FALSE)</f>
        <v>#N/A</v>
      </c>
    </row>
    <row r="331" spans="1:13">
      <c r="A331" t="s">
        <v>764</v>
      </c>
      <c r="B331" t="s">
        <v>765</v>
      </c>
      <c r="C331" t="s">
        <v>176</v>
      </c>
      <c r="D331" t="s">
        <v>167</v>
      </c>
      <c r="E331" t="s">
        <v>168</v>
      </c>
      <c r="F331" t="s">
        <v>177</v>
      </c>
      <c r="G331" t="s">
        <v>210</v>
      </c>
      <c r="H331" t="s">
        <v>211</v>
      </c>
      <c r="I331" t="s">
        <v>199</v>
      </c>
      <c r="J331" t="s">
        <v>212</v>
      </c>
      <c r="K331">
        <v>20</v>
      </c>
      <c r="L331">
        <v>20</v>
      </c>
      <c r="M331" t="str">
        <f>VLOOKUP(A331,final!D:D,1,FALSE)</f>
        <v>WYANGALA</v>
      </c>
    </row>
    <row r="332" spans="1:13" hidden="1">
      <c r="A332" t="s">
        <v>766</v>
      </c>
      <c r="B332" t="s">
        <v>767</v>
      </c>
      <c r="C332" t="s">
        <v>176</v>
      </c>
      <c r="D332" t="s">
        <v>167</v>
      </c>
      <c r="E332" t="s">
        <v>168</v>
      </c>
      <c r="F332" t="s">
        <v>177</v>
      </c>
      <c r="G332" t="s">
        <v>210</v>
      </c>
      <c r="H332" t="s">
        <v>211</v>
      </c>
      <c r="I332" t="s">
        <v>199</v>
      </c>
      <c r="J332" t="s">
        <v>212</v>
      </c>
      <c r="K332">
        <v>4</v>
      </c>
      <c r="L332">
        <v>4</v>
      </c>
      <c r="M332" t="e">
        <f>VLOOKUP(A332,final!D:D,1,FALSE)</f>
        <v>#N/A</v>
      </c>
    </row>
    <row r="333" spans="1:13" hidden="1">
      <c r="A333" t="s">
        <v>768</v>
      </c>
      <c r="B333" t="s">
        <v>769</v>
      </c>
      <c r="C333" t="s">
        <v>184</v>
      </c>
      <c r="D333" t="s">
        <v>167</v>
      </c>
      <c r="E333" t="s">
        <v>168</v>
      </c>
      <c r="F333" t="s">
        <v>177</v>
      </c>
      <c r="G333" t="s">
        <v>170</v>
      </c>
      <c r="H333" t="s">
        <v>178</v>
      </c>
      <c r="I333" t="s">
        <v>172</v>
      </c>
      <c r="J333" t="s">
        <v>179</v>
      </c>
      <c r="K333">
        <v>1</v>
      </c>
      <c r="L333">
        <v>1</v>
      </c>
      <c r="M333" t="e">
        <f>VLOOKUP(A333,final!D:D,1,FALSE)</f>
        <v>#N/A</v>
      </c>
    </row>
    <row r="334" spans="1:13">
      <c r="A334" t="s">
        <v>777</v>
      </c>
      <c r="B334" t="s">
        <v>778</v>
      </c>
      <c r="C334" t="s">
        <v>184</v>
      </c>
      <c r="D334" t="s">
        <v>167</v>
      </c>
      <c r="E334" t="s">
        <v>168</v>
      </c>
      <c r="F334" t="s">
        <v>169</v>
      </c>
      <c r="G334" t="s">
        <v>193</v>
      </c>
      <c r="H334" t="s">
        <v>194</v>
      </c>
      <c r="I334" t="s">
        <v>172</v>
      </c>
      <c r="J334" t="s">
        <v>195</v>
      </c>
      <c r="K334">
        <v>360</v>
      </c>
      <c r="L334">
        <v>395</v>
      </c>
      <c r="M334" t="str">
        <f>VLOOKUP(A334,'csv import'!D:D,1,FALSE)</f>
        <v>YWPS1</v>
      </c>
    </row>
    <row r="335" spans="1:13">
      <c r="A335" t="s">
        <v>779</v>
      </c>
      <c r="B335" t="s">
        <v>778</v>
      </c>
      <c r="C335" t="s">
        <v>184</v>
      </c>
      <c r="D335" t="s">
        <v>167</v>
      </c>
      <c r="E335" t="s">
        <v>168</v>
      </c>
      <c r="F335" t="s">
        <v>169</v>
      </c>
      <c r="G335" t="s">
        <v>193</v>
      </c>
      <c r="H335" t="s">
        <v>194</v>
      </c>
      <c r="I335" t="s">
        <v>172</v>
      </c>
      <c r="J335" t="s">
        <v>195</v>
      </c>
      <c r="K335">
        <v>360</v>
      </c>
      <c r="L335">
        <v>380</v>
      </c>
      <c r="M335" t="str">
        <f>VLOOKUP(A335,'csv import'!D:D,1,FALSE)</f>
        <v>YWPS2</v>
      </c>
    </row>
    <row r="336" spans="1:13">
      <c r="A336" t="s">
        <v>780</v>
      </c>
      <c r="B336" t="s">
        <v>778</v>
      </c>
      <c r="C336" t="s">
        <v>184</v>
      </c>
      <c r="D336" t="s">
        <v>167</v>
      </c>
      <c r="E336" t="s">
        <v>168</v>
      </c>
      <c r="F336" t="s">
        <v>169</v>
      </c>
      <c r="G336" t="s">
        <v>193</v>
      </c>
      <c r="H336" t="s">
        <v>194</v>
      </c>
      <c r="I336" t="s">
        <v>172</v>
      </c>
      <c r="J336" t="s">
        <v>195</v>
      </c>
      <c r="K336">
        <v>380</v>
      </c>
      <c r="L336">
        <v>405</v>
      </c>
      <c r="M336" t="str">
        <f>VLOOKUP(A336,'csv import'!D:D,1,FALSE)</f>
        <v>YWPS3</v>
      </c>
    </row>
    <row r="337" spans="1:13">
      <c r="A337" t="s">
        <v>781</v>
      </c>
      <c r="B337" t="s">
        <v>778</v>
      </c>
      <c r="C337" t="s">
        <v>184</v>
      </c>
      <c r="D337" t="s">
        <v>167</v>
      </c>
      <c r="E337" t="s">
        <v>168</v>
      </c>
      <c r="F337" t="s">
        <v>169</v>
      </c>
      <c r="G337" t="s">
        <v>193</v>
      </c>
      <c r="H337" t="s">
        <v>194</v>
      </c>
      <c r="I337" t="s">
        <v>172</v>
      </c>
      <c r="J337" t="s">
        <v>195</v>
      </c>
      <c r="K337">
        <v>380</v>
      </c>
      <c r="L337">
        <v>405</v>
      </c>
      <c r="M337" t="str">
        <f>VLOOKUP(A337,'csv import'!D:D,1,FALSE)</f>
        <v>YWPS4</v>
      </c>
    </row>
    <row r="338" spans="1:13">
      <c r="A338" t="s">
        <v>773</v>
      </c>
      <c r="B338" t="s">
        <v>774</v>
      </c>
      <c r="C338" t="s">
        <v>184</v>
      </c>
      <c r="D338" t="s">
        <v>622</v>
      </c>
      <c r="E338" t="s">
        <v>168</v>
      </c>
      <c r="F338" t="s">
        <v>177</v>
      </c>
      <c r="G338" t="s">
        <v>198</v>
      </c>
      <c r="H338" t="s">
        <v>198</v>
      </c>
      <c r="I338" t="s">
        <v>199</v>
      </c>
      <c r="J338" t="s">
        <v>200</v>
      </c>
      <c r="K338">
        <v>30</v>
      </c>
      <c r="L338">
        <v>30</v>
      </c>
      <c r="M338" t="str">
        <f>VLOOKUP(A338,'csv import'!D:D,1,FALSE)</f>
        <v>YAMBUKWF</v>
      </c>
    </row>
    <row r="339" spans="1:13">
      <c r="A339" t="s">
        <v>775</v>
      </c>
      <c r="B339" t="s">
        <v>776</v>
      </c>
      <c r="C339" t="s">
        <v>215</v>
      </c>
      <c r="D339" t="s">
        <v>167</v>
      </c>
      <c r="E339" t="s">
        <v>168</v>
      </c>
      <c r="F339" t="s">
        <v>177</v>
      </c>
      <c r="G339" t="s">
        <v>170</v>
      </c>
      <c r="H339" t="s">
        <v>171</v>
      </c>
      <c r="I339" t="s">
        <v>172</v>
      </c>
      <c r="J339" t="s">
        <v>216</v>
      </c>
      <c r="K339">
        <v>154</v>
      </c>
      <c r="L339">
        <v>180</v>
      </c>
      <c r="M339" t="str">
        <f>VLOOKUP(A339,'csv import'!D:D,1,FALSE)</f>
        <v>YARWUN_1</v>
      </c>
    </row>
  </sheetData>
  <autoFilter ref="A1:M339">
    <filterColumn colId="10">
      <customFilters>
        <customFilter operator="greaterThan" val="10"/>
      </customFilters>
    </filterColumn>
  </autoFilter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1"/>
  </sheetPr>
  <dimension ref="A1:Q468"/>
  <sheetViews>
    <sheetView workbookViewId="0">
      <selection activeCell="A10" sqref="A10"/>
    </sheetView>
  </sheetViews>
  <sheetFormatPr baseColWidth="10" defaultRowHeight="15" x14ac:dyDescent="0"/>
  <sheetData>
    <row r="1" spans="1:17">
      <c r="A1" t="s">
        <v>1459</v>
      </c>
      <c r="B1" t="s">
        <v>3085</v>
      </c>
      <c r="C1" t="s">
        <v>3086</v>
      </c>
      <c r="D1" t="s">
        <v>3087</v>
      </c>
      <c r="E1" t="s">
        <v>3088</v>
      </c>
      <c r="F1" t="s">
        <v>3089</v>
      </c>
      <c r="G1" t="s">
        <v>3090</v>
      </c>
      <c r="H1" t="s">
        <v>3091</v>
      </c>
      <c r="I1" t="s">
        <v>3092</v>
      </c>
      <c r="J1" t="s">
        <v>3093</v>
      </c>
      <c r="K1" t="s">
        <v>3094</v>
      </c>
      <c r="L1" t="s">
        <v>3095</v>
      </c>
      <c r="M1" t="s">
        <v>3096</v>
      </c>
      <c r="N1" t="s">
        <v>3097</v>
      </c>
      <c r="O1" t="s">
        <v>3098</v>
      </c>
      <c r="P1" t="s">
        <v>3099</v>
      </c>
      <c r="Q1" t="s">
        <v>3100</v>
      </c>
    </row>
    <row r="2" spans="1:17">
      <c r="A2" t="s">
        <v>236</v>
      </c>
      <c r="B2" t="s">
        <v>1115</v>
      </c>
      <c r="C2" t="s">
        <v>237</v>
      </c>
      <c r="D2" t="s">
        <v>3101</v>
      </c>
      <c r="E2" t="s">
        <v>167</v>
      </c>
      <c r="F2" t="s">
        <v>168</v>
      </c>
      <c r="G2" t="s">
        <v>169</v>
      </c>
      <c r="H2" t="s">
        <v>3102</v>
      </c>
      <c r="I2" t="s">
        <v>171</v>
      </c>
      <c r="J2" t="s">
        <v>172</v>
      </c>
      <c r="K2" t="s">
        <v>185</v>
      </c>
      <c r="L2" t="s">
        <v>2646</v>
      </c>
      <c r="M2" t="s">
        <v>3103</v>
      </c>
      <c r="N2" t="s">
        <v>3104</v>
      </c>
      <c r="O2" t="s">
        <v>3103</v>
      </c>
      <c r="P2" t="s">
        <v>3103</v>
      </c>
      <c r="Q2" t="s">
        <v>3105</v>
      </c>
    </row>
    <row r="3" spans="1:17">
      <c r="A3" t="s">
        <v>238</v>
      </c>
      <c r="B3" t="s">
        <v>1115</v>
      </c>
      <c r="C3" t="s">
        <v>237</v>
      </c>
      <c r="D3" t="s">
        <v>3101</v>
      </c>
      <c r="E3" t="s">
        <v>167</v>
      </c>
      <c r="F3" t="s">
        <v>168</v>
      </c>
      <c r="G3" t="s">
        <v>169</v>
      </c>
      <c r="H3" t="s">
        <v>3102</v>
      </c>
      <c r="I3" t="s">
        <v>171</v>
      </c>
      <c r="J3" t="s">
        <v>172</v>
      </c>
      <c r="K3" t="s">
        <v>185</v>
      </c>
      <c r="L3" t="s">
        <v>3106</v>
      </c>
      <c r="M3" t="s">
        <v>3103</v>
      </c>
      <c r="N3" t="s">
        <v>3104</v>
      </c>
      <c r="O3" t="s">
        <v>3103</v>
      </c>
      <c r="P3" t="s">
        <v>3103</v>
      </c>
      <c r="Q3" t="s">
        <v>3105</v>
      </c>
    </row>
    <row r="4" spans="1:17">
      <c r="A4" t="s">
        <v>232</v>
      </c>
      <c r="B4" t="s">
        <v>1115</v>
      </c>
      <c r="C4" t="s">
        <v>233</v>
      </c>
      <c r="D4" t="s">
        <v>3107</v>
      </c>
      <c r="E4" t="s">
        <v>167</v>
      </c>
      <c r="F4" t="s">
        <v>168</v>
      </c>
      <c r="G4" t="s">
        <v>169</v>
      </c>
      <c r="H4" t="s">
        <v>3102</v>
      </c>
      <c r="I4" t="s">
        <v>171</v>
      </c>
      <c r="J4" t="s">
        <v>172</v>
      </c>
      <c r="K4" t="s">
        <v>185</v>
      </c>
      <c r="L4" t="s">
        <v>2646</v>
      </c>
      <c r="M4" t="s">
        <v>3108</v>
      </c>
      <c r="N4" t="s">
        <v>3104</v>
      </c>
      <c r="O4" t="s">
        <v>3108</v>
      </c>
      <c r="P4" t="s">
        <v>3109</v>
      </c>
      <c r="Q4" t="s">
        <v>3110</v>
      </c>
    </row>
    <row r="5" spans="1:17">
      <c r="A5" t="s">
        <v>234</v>
      </c>
      <c r="B5" t="s">
        <v>1115</v>
      </c>
      <c r="C5" t="s">
        <v>233</v>
      </c>
      <c r="D5" t="s">
        <v>3107</v>
      </c>
      <c r="E5" t="s">
        <v>167</v>
      </c>
      <c r="F5" t="s">
        <v>168</v>
      </c>
      <c r="G5" t="s">
        <v>169</v>
      </c>
      <c r="H5" t="s">
        <v>3102</v>
      </c>
      <c r="I5" t="s">
        <v>171</v>
      </c>
      <c r="J5" t="s">
        <v>172</v>
      </c>
      <c r="K5" t="s">
        <v>185</v>
      </c>
      <c r="L5" t="s">
        <v>3106</v>
      </c>
      <c r="M5" t="s">
        <v>3108</v>
      </c>
      <c r="N5" t="s">
        <v>3104</v>
      </c>
      <c r="O5" t="s">
        <v>3108</v>
      </c>
      <c r="P5" t="s">
        <v>3109</v>
      </c>
      <c r="Q5" t="s">
        <v>3110</v>
      </c>
    </row>
    <row r="6" spans="1:17">
      <c r="A6" t="s">
        <v>235</v>
      </c>
      <c r="B6" t="s">
        <v>1115</v>
      </c>
      <c r="C6" t="s">
        <v>233</v>
      </c>
      <c r="D6" t="s">
        <v>3107</v>
      </c>
      <c r="E6" t="s">
        <v>167</v>
      </c>
      <c r="F6" t="s">
        <v>168</v>
      </c>
      <c r="G6" t="s">
        <v>169</v>
      </c>
      <c r="H6" t="s">
        <v>3102</v>
      </c>
      <c r="I6" t="s">
        <v>171</v>
      </c>
      <c r="J6" t="s">
        <v>172</v>
      </c>
      <c r="K6" t="s">
        <v>185</v>
      </c>
      <c r="L6" t="s">
        <v>3111</v>
      </c>
      <c r="M6" t="s">
        <v>3108</v>
      </c>
      <c r="N6" t="s">
        <v>3104</v>
      </c>
      <c r="O6" t="s">
        <v>3108</v>
      </c>
      <c r="P6" t="s">
        <v>3109</v>
      </c>
      <c r="Q6" t="s">
        <v>3110</v>
      </c>
    </row>
    <row r="7" spans="1:17">
      <c r="A7" t="s">
        <v>701</v>
      </c>
      <c r="B7" t="s">
        <v>1115</v>
      </c>
      <c r="C7" t="s">
        <v>233</v>
      </c>
      <c r="D7" t="s">
        <v>3107</v>
      </c>
      <c r="E7" t="s">
        <v>167</v>
      </c>
      <c r="F7" t="s">
        <v>168</v>
      </c>
      <c r="G7" t="s">
        <v>169</v>
      </c>
      <c r="H7" t="s">
        <v>3102</v>
      </c>
      <c r="I7" t="s">
        <v>171</v>
      </c>
      <c r="J7" t="s">
        <v>172</v>
      </c>
      <c r="K7" t="s">
        <v>185</v>
      </c>
      <c r="L7" t="s">
        <v>2646</v>
      </c>
      <c r="M7" t="s">
        <v>3112</v>
      </c>
      <c r="N7" t="s">
        <v>3104</v>
      </c>
      <c r="O7" t="s">
        <v>3112</v>
      </c>
      <c r="P7" t="s">
        <v>3112</v>
      </c>
      <c r="Q7" t="s">
        <v>3110</v>
      </c>
    </row>
    <row r="8" spans="1:17">
      <c r="A8" t="s">
        <v>2826</v>
      </c>
      <c r="B8" t="s">
        <v>1115</v>
      </c>
      <c r="C8" t="s">
        <v>2825</v>
      </c>
      <c r="D8" t="s">
        <v>3101</v>
      </c>
      <c r="E8" t="s">
        <v>167</v>
      </c>
      <c r="F8" t="s">
        <v>168</v>
      </c>
      <c r="G8" t="s">
        <v>177</v>
      </c>
      <c r="H8" t="s">
        <v>198</v>
      </c>
      <c r="I8" t="s">
        <v>198</v>
      </c>
      <c r="J8" t="s">
        <v>199</v>
      </c>
      <c r="K8" t="s">
        <v>200</v>
      </c>
      <c r="L8" t="s">
        <v>3113</v>
      </c>
      <c r="M8" t="s">
        <v>3114</v>
      </c>
      <c r="N8" t="s">
        <v>3115</v>
      </c>
      <c r="O8" t="s">
        <v>3116</v>
      </c>
      <c r="P8" t="s">
        <v>3117</v>
      </c>
      <c r="Q8" t="s">
        <v>3118</v>
      </c>
    </row>
    <row r="9" spans="1:17">
      <c r="A9" t="s">
        <v>699</v>
      </c>
      <c r="B9" t="s">
        <v>1115</v>
      </c>
      <c r="C9" t="s">
        <v>700</v>
      </c>
      <c r="D9" t="s">
        <v>3107</v>
      </c>
      <c r="E9" t="s">
        <v>167</v>
      </c>
      <c r="F9" t="s">
        <v>168</v>
      </c>
      <c r="G9" t="s">
        <v>169</v>
      </c>
      <c r="H9" t="s">
        <v>3102</v>
      </c>
      <c r="I9" t="s">
        <v>171</v>
      </c>
      <c r="J9" t="s">
        <v>172</v>
      </c>
      <c r="K9" t="s">
        <v>216</v>
      </c>
      <c r="L9" t="s">
        <v>2646</v>
      </c>
      <c r="M9" t="s">
        <v>3119</v>
      </c>
      <c r="N9" t="s">
        <v>3104</v>
      </c>
      <c r="O9" t="s">
        <v>3120</v>
      </c>
      <c r="P9" t="s">
        <v>3121</v>
      </c>
      <c r="Q9" t="s">
        <v>3122</v>
      </c>
    </row>
    <row r="10" spans="1:17">
      <c r="A10" t="s">
        <v>699</v>
      </c>
      <c r="B10" t="s">
        <v>1115</v>
      </c>
      <c r="C10" t="s">
        <v>700</v>
      </c>
      <c r="D10" t="s">
        <v>3107</v>
      </c>
      <c r="E10" t="s">
        <v>167</v>
      </c>
      <c r="F10" t="s">
        <v>168</v>
      </c>
      <c r="G10" t="s">
        <v>169</v>
      </c>
      <c r="H10" t="s">
        <v>3102</v>
      </c>
      <c r="I10" t="s">
        <v>171</v>
      </c>
      <c r="J10" t="s">
        <v>172</v>
      </c>
      <c r="K10" t="s">
        <v>216</v>
      </c>
      <c r="L10" t="s">
        <v>3106</v>
      </c>
      <c r="M10" t="s">
        <v>3123</v>
      </c>
      <c r="N10" t="s">
        <v>3104</v>
      </c>
      <c r="O10" t="s">
        <v>805</v>
      </c>
      <c r="P10" t="s">
        <v>805</v>
      </c>
      <c r="Q10" t="s">
        <v>805</v>
      </c>
    </row>
    <row r="11" spans="1:17">
      <c r="A11" t="s">
        <v>180</v>
      </c>
      <c r="B11" t="s">
        <v>839</v>
      </c>
      <c r="C11" t="s">
        <v>3124</v>
      </c>
      <c r="D11" t="s">
        <v>3125</v>
      </c>
      <c r="E11" t="s">
        <v>167</v>
      </c>
      <c r="F11" t="s">
        <v>168</v>
      </c>
      <c r="G11" t="s">
        <v>177</v>
      </c>
      <c r="H11" t="s">
        <v>3126</v>
      </c>
      <c r="I11" t="s">
        <v>3127</v>
      </c>
      <c r="J11" t="s">
        <v>172</v>
      </c>
      <c r="K11" t="s">
        <v>179</v>
      </c>
      <c r="L11" t="s">
        <v>3128</v>
      </c>
      <c r="M11" t="s">
        <v>3129</v>
      </c>
      <c r="N11" t="s">
        <v>3104</v>
      </c>
      <c r="O11" t="s">
        <v>2646</v>
      </c>
      <c r="P11" t="s">
        <v>3106</v>
      </c>
      <c r="Q11" t="s">
        <v>3118</v>
      </c>
    </row>
    <row r="12" spans="1:17">
      <c r="A12" t="s">
        <v>208</v>
      </c>
      <c r="B12" t="s">
        <v>839</v>
      </c>
      <c r="C12" t="s">
        <v>209</v>
      </c>
      <c r="D12" t="s">
        <v>3101</v>
      </c>
      <c r="E12" t="s">
        <v>167</v>
      </c>
      <c r="F12" t="s">
        <v>168</v>
      </c>
      <c r="G12" t="s">
        <v>177</v>
      </c>
      <c r="H12" t="s">
        <v>210</v>
      </c>
      <c r="I12" t="s">
        <v>211</v>
      </c>
      <c r="J12" t="s">
        <v>199</v>
      </c>
      <c r="K12" t="s">
        <v>212</v>
      </c>
      <c r="L12" t="s">
        <v>3128</v>
      </c>
      <c r="M12" t="s">
        <v>3130</v>
      </c>
      <c r="N12" t="s">
        <v>3104</v>
      </c>
      <c r="O12" t="s">
        <v>3131</v>
      </c>
      <c r="P12" t="s">
        <v>3132</v>
      </c>
      <c r="Q12" t="s">
        <v>3133</v>
      </c>
    </row>
    <row r="13" spans="1:17">
      <c r="A13" t="s">
        <v>208</v>
      </c>
      <c r="B13" t="s">
        <v>839</v>
      </c>
      <c r="C13" t="s">
        <v>209</v>
      </c>
      <c r="D13" t="s">
        <v>3101</v>
      </c>
      <c r="E13" t="s">
        <v>167</v>
      </c>
      <c r="F13" t="s">
        <v>168</v>
      </c>
      <c r="G13" t="s">
        <v>177</v>
      </c>
      <c r="H13" t="s">
        <v>210</v>
      </c>
      <c r="I13" t="s">
        <v>211</v>
      </c>
      <c r="J13" t="s">
        <v>199</v>
      </c>
      <c r="K13" t="s">
        <v>212</v>
      </c>
      <c r="L13" t="s">
        <v>3111</v>
      </c>
      <c r="M13" t="s">
        <v>3134</v>
      </c>
      <c r="N13" t="s">
        <v>3104</v>
      </c>
      <c r="O13" t="s">
        <v>805</v>
      </c>
      <c r="P13" t="s">
        <v>805</v>
      </c>
      <c r="Q13" t="s">
        <v>805</v>
      </c>
    </row>
    <row r="14" spans="1:17">
      <c r="A14" t="s">
        <v>501</v>
      </c>
      <c r="B14" t="s">
        <v>839</v>
      </c>
      <c r="C14" t="s">
        <v>3135</v>
      </c>
      <c r="D14" t="s">
        <v>3101</v>
      </c>
      <c r="E14" t="s">
        <v>167</v>
      </c>
      <c r="F14" t="s">
        <v>168</v>
      </c>
      <c r="G14" t="s">
        <v>169</v>
      </c>
      <c r="H14" t="s">
        <v>210</v>
      </c>
      <c r="I14" t="s">
        <v>211</v>
      </c>
      <c r="J14" t="s">
        <v>199</v>
      </c>
      <c r="K14" t="s">
        <v>212</v>
      </c>
      <c r="L14" t="s">
        <v>3113</v>
      </c>
      <c r="M14" t="s">
        <v>3136</v>
      </c>
      <c r="N14" t="s">
        <v>3104</v>
      </c>
      <c r="O14" t="s">
        <v>805</v>
      </c>
      <c r="P14" t="s">
        <v>805</v>
      </c>
      <c r="Q14" t="s">
        <v>805</v>
      </c>
    </row>
    <row r="15" spans="1:17">
      <c r="A15" t="s">
        <v>501</v>
      </c>
      <c r="B15" t="s">
        <v>839</v>
      </c>
      <c r="C15" t="s">
        <v>3135</v>
      </c>
      <c r="D15" t="s">
        <v>3101</v>
      </c>
      <c r="E15" t="s">
        <v>167</v>
      </c>
      <c r="F15" t="s">
        <v>168</v>
      </c>
      <c r="G15" t="s">
        <v>169</v>
      </c>
      <c r="H15" t="s">
        <v>210</v>
      </c>
      <c r="I15" t="s">
        <v>211</v>
      </c>
      <c r="J15" t="s">
        <v>199</v>
      </c>
      <c r="K15" t="s">
        <v>212</v>
      </c>
      <c r="L15" t="s">
        <v>3128</v>
      </c>
      <c r="M15" t="s">
        <v>3137</v>
      </c>
      <c r="N15" t="s">
        <v>3104</v>
      </c>
      <c r="O15" t="s">
        <v>3138</v>
      </c>
      <c r="P15" t="s">
        <v>3139</v>
      </c>
      <c r="Q15" t="s">
        <v>3140</v>
      </c>
    </row>
    <row r="16" spans="1:17">
      <c r="A16" t="s">
        <v>266</v>
      </c>
      <c r="B16" t="s">
        <v>839</v>
      </c>
      <c r="C16" t="s">
        <v>267</v>
      </c>
      <c r="D16" t="s">
        <v>3125</v>
      </c>
      <c r="E16" t="s">
        <v>167</v>
      </c>
      <c r="F16" t="s">
        <v>168</v>
      </c>
      <c r="G16" t="s">
        <v>197</v>
      </c>
      <c r="H16" t="s">
        <v>219</v>
      </c>
      <c r="I16" t="s">
        <v>219</v>
      </c>
      <c r="J16" t="s">
        <v>199</v>
      </c>
      <c r="K16" t="s">
        <v>3141</v>
      </c>
      <c r="L16" t="s">
        <v>3142</v>
      </c>
      <c r="M16" t="s">
        <v>3143</v>
      </c>
      <c r="N16" t="s">
        <v>3115</v>
      </c>
      <c r="O16" t="s">
        <v>3144</v>
      </c>
      <c r="P16" t="s">
        <v>3145</v>
      </c>
      <c r="Q16" t="s">
        <v>3146</v>
      </c>
    </row>
    <row r="17" spans="1:17">
      <c r="A17" t="s">
        <v>239</v>
      </c>
      <c r="B17" t="s">
        <v>839</v>
      </c>
      <c r="C17" t="s">
        <v>240</v>
      </c>
      <c r="D17" t="s">
        <v>3125</v>
      </c>
      <c r="E17" t="s">
        <v>167</v>
      </c>
      <c r="F17" t="s">
        <v>168</v>
      </c>
      <c r="G17" t="s">
        <v>177</v>
      </c>
      <c r="H17" t="s">
        <v>210</v>
      </c>
      <c r="I17" t="s">
        <v>211</v>
      </c>
      <c r="J17" t="s">
        <v>199</v>
      </c>
      <c r="K17" t="s">
        <v>212</v>
      </c>
      <c r="L17" t="s">
        <v>2646</v>
      </c>
      <c r="M17" t="s">
        <v>3147</v>
      </c>
      <c r="N17" t="s">
        <v>3115</v>
      </c>
      <c r="O17" t="s">
        <v>3147</v>
      </c>
      <c r="P17" t="s">
        <v>3147</v>
      </c>
      <c r="Q17" t="s">
        <v>3118</v>
      </c>
    </row>
    <row r="18" spans="1:17">
      <c r="A18" t="s">
        <v>318</v>
      </c>
      <c r="B18" t="s">
        <v>839</v>
      </c>
      <c r="C18" t="s">
        <v>319</v>
      </c>
      <c r="D18" t="s">
        <v>3101</v>
      </c>
      <c r="E18" t="s">
        <v>167</v>
      </c>
      <c r="F18" t="s">
        <v>168</v>
      </c>
      <c r="G18" t="s">
        <v>177</v>
      </c>
      <c r="H18" t="s">
        <v>210</v>
      </c>
      <c r="I18" t="s">
        <v>211</v>
      </c>
      <c r="J18" t="s">
        <v>199</v>
      </c>
      <c r="K18" t="s">
        <v>212</v>
      </c>
      <c r="L18" t="s">
        <v>3128</v>
      </c>
      <c r="M18" t="s">
        <v>3148</v>
      </c>
      <c r="N18" t="s">
        <v>3104</v>
      </c>
      <c r="O18" t="s">
        <v>3149</v>
      </c>
      <c r="P18" t="s">
        <v>3149</v>
      </c>
      <c r="Q18" t="s">
        <v>3118</v>
      </c>
    </row>
    <row r="19" spans="1:17">
      <c r="A19" t="s">
        <v>328</v>
      </c>
      <c r="B19" t="s">
        <v>839</v>
      </c>
      <c r="C19" t="s">
        <v>329</v>
      </c>
      <c r="D19" t="s">
        <v>3125</v>
      </c>
      <c r="E19" t="s">
        <v>167</v>
      </c>
      <c r="F19" t="s">
        <v>168</v>
      </c>
      <c r="G19" t="s">
        <v>177</v>
      </c>
      <c r="H19" t="s">
        <v>210</v>
      </c>
      <c r="I19" t="s">
        <v>211</v>
      </c>
      <c r="J19" t="s">
        <v>199</v>
      </c>
      <c r="K19" t="s">
        <v>212</v>
      </c>
      <c r="L19" t="s">
        <v>2646</v>
      </c>
      <c r="M19" t="s">
        <v>3150</v>
      </c>
      <c r="N19" t="s">
        <v>3115</v>
      </c>
      <c r="O19" t="s">
        <v>3150</v>
      </c>
      <c r="P19" t="s">
        <v>3151</v>
      </c>
      <c r="Q19" t="s">
        <v>3118</v>
      </c>
    </row>
    <row r="20" spans="1:17">
      <c r="A20" t="s">
        <v>342</v>
      </c>
      <c r="B20" t="s">
        <v>839</v>
      </c>
      <c r="C20" t="s">
        <v>343</v>
      </c>
      <c r="D20" t="s">
        <v>3101</v>
      </c>
      <c r="E20" t="s">
        <v>167</v>
      </c>
      <c r="F20" t="s">
        <v>168</v>
      </c>
      <c r="G20" t="s">
        <v>169</v>
      </c>
      <c r="H20" t="s">
        <v>210</v>
      </c>
      <c r="I20" t="s">
        <v>211</v>
      </c>
      <c r="J20" t="s">
        <v>199</v>
      </c>
      <c r="K20" t="s">
        <v>212</v>
      </c>
      <c r="L20" t="s">
        <v>2646</v>
      </c>
      <c r="M20" t="s">
        <v>3152</v>
      </c>
      <c r="N20" t="s">
        <v>3104</v>
      </c>
      <c r="O20" t="s">
        <v>3152</v>
      </c>
      <c r="P20" t="s">
        <v>3153</v>
      </c>
      <c r="Q20" t="s">
        <v>3140</v>
      </c>
    </row>
    <row r="21" spans="1:17">
      <c r="A21" t="s">
        <v>355</v>
      </c>
      <c r="B21" t="s">
        <v>839</v>
      </c>
      <c r="C21" t="s">
        <v>356</v>
      </c>
      <c r="D21" t="s">
        <v>3101</v>
      </c>
      <c r="E21" t="s">
        <v>167</v>
      </c>
      <c r="F21" t="s">
        <v>168</v>
      </c>
      <c r="G21" t="s">
        <v>169</v>
      </c>
      <c r="H21" t="s">
        <v>210</v>
      </c>
      <c r="I21" t="s">
        <v>211</v>
      </c>
      <c r="J21" t="s">
        <v>199</v>
      </c>
      <c r="K21" t="s">
        <v>212</v>
      </c>
      <c r="L21" t="s">
        <v>2646</v>
      </c>
      <c r="M21" t="s">
        <v>3140</v>
      </c>
      <c r="N21" t="s">
        <v>3104</v>
      </c>
      <c r="O21" t="s">
        <v>3140</v>
      </c>
      <c r="P21" t="s">
        <v>3140</v>
      </c>
      <c r="Q21" t="s">
        <v>3146</v>
      </c>
    </row>
    <row r="22" spans="1:17">
      <c r="A22" t="s">
        <v>355</v>
      </c>
      <c r="B22" t="s">
        <v>839</v>
      </c>
      <c r="C22" t="s">
        <v>356</v>
      </c>
      <c r="D22" t="s">
        <v>3101</v>
      </c>
      <c r="E22" t="s">
        <v>167</v>
      </c>
      <c r="F22" t="s">
        <v>168</v>
      </c>
      <c r="G22" t="s">
        <v>169</v>
      </c>
      <c r="H22" t="s">
        <v>210</v>
      </c>
      <c r="I22" t="s">
        <v>211</v>
      </c>
      <c r="J22" t="s">
        <v>199</v>
      </c>
      <c r="K22" t="s">
        <v>212</v>
      </c>
      <c r="L22" t="s">
        <v>3154</v>
      </c>
      <c r="M22" t="s">
        <v>3155</v>
      </c>
      <c r="N22" t="s">
        <v>3104</v>
      </c>
      <c r="O22" t="s">
        <v>805</v>
      </c>
      <c r="P22" t="s">
        <v>805</v>
      </c>
      <c r="Q22" t="s">
        <v>805</v>
      </c>
    </row>
    <row r="23" spans="1:17">
      <c r="A23" t="s">
        <v>357</v>
      </c>
      <c r="B23" t="s">
        <v>839</v>
      </c>
      <c r="C23" t="s">
        <v>356</v>
      </c>
      <c r="D23" t="s">
        <v>3101</v>
      </c>
      <c r="E23" t="s">
        <v>167</v>
      </c>
      <c r="F23" t="s">
        <v>168</v>
      </c>
      <c r="G23" t="s">
        <v>169</v>
      </c>
      <c r="H23" t="s">
        <v>210</v>
      </c>
      <c r="I23" t="s">
        <v>211</v>
      </c>
      <c r="J23" t="s">
        <v>199</v>
      </c>
      <c r="K23" t="s">
        <v>212</v>
      </c>
      <c r="L23" t="s">
        <v>3106</v>
      </c>
      <c r="M23" t="s">
        <v>3140</v>
      </c>
      <c r="N23" t="s">
        <v>3104</v>
      </c>
      <c r="O23" t="s">
        <v>3140</v>
      </c>
      <c r="P23" t="s">
        <v>3140</v>
      </c>
      <c r="Q23" t="s">
        <v>3146</v>
      </c>
    </row>
    <row r="24" spans="1:17">
      <c r="A24" t="s">
        <v>357</v>
      </c>
      <c r="B24" t="s">
        <v>839</v>
      </c>
      <c r="C24" t="s">
        <v>356</v>
      </c>
      <c r="D24" t="s">
        <v>3101</v>
      </c>
      <c r="E24" t="s">
        <v>167</v>
      </c>
      <c r="F24" t="s">
        <v>168</v>
      </c>
      <c r="G24" t="s">
        <v>169</v>
      </c>
      <c r="H24" t="s">
        <v>210</v>
      </c>
      <c r="I24" t="s">
        <v>211</v>
      </c>
      <c r="J24" t="s">
        <v>199</v>
      </c>
      <c r="K24" t="s">
        <v>212</v>
      </c>
      <c r="L24" t="s">
        <v>3156</v>
      </c>
      <c r="M24" t="s">
        <v>3155</v>
      </c>
      <c r="N24" t="s">
        <v>3104</v>
      </c>
      <c r="O24" t="s">
        <v>805</v>
      </c>
      <c r="P24" t="s">
        <v>805</v>
      </c>
      <c r="Q24" t="s">
        <v>805</v>
      </c>
    </row>
    <row r="25" spans="1:17">
      <c r="A25" t="s">
        <v>375</v>
      </c>
      <c r="B25" t="s">
        <v>839</v>
      </c>
      <c r="C25" t="s">
        <v>376</v>
      </c>
      <c r="D25" t="s">
        <v>3125</v>
      </c>
      <c r="E25" t="s">
        <v>167</v>
      </c>
      <c r="F25" t="s">
        <v>168</v>
      </c>
      <c r="G25" t="s">
        <v>177</v>
      </c>
      <c r="H25" t="s">
        <v>210</v>
      </c>
      <c r="I25" t="s">
        <v>211</v>
      </c>
      <c r="J25" t="s">
        <v>199</v>
      </c>
      <c r="K25" t="s">
        <v>212</v>
      </c>
      <c r="L25" t="s">
        <v>2646</v>
      </c>
      <c r="M25" t="s">
        <v>3157</v>
      </c>
      <c r="N25" t="s">
        <v>3115</v>
      </c>
      <c r="O25" t="s">
        <v>3157</v>
      </c>
      <c r="P25" t="s">
        <v>3117</v>
      </c>
      <c r="Q25" t="s">
        <v>3118</v>
      </c>
    </row>
    <row r="26" spans="1:17">
      <c r="A26" t="s">
        <v>421</v>
      </c>
      <c r="B26" t="s">
        <v>839</v>
      </c>
      <c r="C26" t="s">
        <v>422</v>
      </c>
      <c r="D26" t="s">
        <v>3158</v>
      </c>
      <c r="E26" t="s">
        <v>167</v>
      </c>
      <c r="F26" t="s">
        <v>168</v>
      </c>
      <c r="G26" t="s">
        <v>177</v>
      </c>
      <c r="H26" t="s">
        <v>3126</v>
      </c>
      <c r="I26" t="s">
        <v>287</v>
      </c>
      <c r="J26" t="s">
        <v>172</v>
      </c>
      <c r="K26" t="s">
        <v>195</v>
      </c>
      <c r="L26" t="s">
        <v>2646</v>
      </c>
      <c r="M26" t="s">
        <v>3159</v>
      </c>
      <c r="N26" t="s">
        <v>3115</v>
      </c>
      <c r="O26" t="s">
        <v>3159</v>
      </c>
      <c r="P26" t="s">
        <v>3159</v>
      </c>
      <c r="Q26" t="s">
        <v>3133</v>
      </c>
    </row>
    <row r="27" spans="1:17">
      <c r="A27" t="s">
        <v>450</v>
      </c>
      <c r="B27" t="s">
        <v>839</v>
      </c>
      <c r="C27" t="s">
        <v>451</v>
      </c>
      <c r="D27" t="s">
        <v>3125</v>
      </c>
      <c r="E27" t="s">
        <v>167</v>
      </c>
      <c r="F27" t="s">
        <v>168</v>
      </c>
      <c r="G27" t="s">
        <v>177</v>
      </c>
      <c r="H27" t="s">
        <v>3126</v>
      </c>
      <c r="I27" t="s">
        <v>3127</v>
      </c>
      <c r="J27" t="s">
        <v>172</v>
      </c>
      <c r="K27" t="s">
        <v>179</v>
      </c>
      <c r="L27" t="s">
        <v>2646</v>
      </c>
      <c r="M27" t="s">
        <v>3160</v>
      </c>
      <c r="N27" t="s">
        <v>3115</v>
      </c>
      <c r="O27" t="s">
        <v>3160</v>
      </c>
      <c r="P27" t="s">
        <v>2646</v>
      </c>
      <c r="Q27" t="s">
        <v>3118</v>
      </c>
    </row>
    <row r="28" spans="1:17">
      <c r="A28" t="s">
        <v>494</v>
      </c>
      <c r="B28" t="s">
        <v>839</v>
      </c>
      <c r="C28" t="s">
        <v>91</v>
      </c>
      <c r="D28" t="s">
        <v>3101</v>
      </c>
      <c r="E28" t="s">
        <v>167</v>
      </c>
      <c r="F28" t="s">
        <v>168</v>
      </c>
      <c r="G28" t="s">
        <v>197</v>
      </c>
      <c r="H28" t="s">
        <v>198</v>
      </c>
      <c r="I28" t="s">
        <v>198</v>
      </c>
      <c r="J28" t="s">
        <v>199</v>
      </c>
      <c r="K28" t="s">
        <v>200</v>
      </c>
      <c r="L28" t="s">
        <v>3161</v>
      </c>
      <c r="M28" t="s">
        <v>3111</v>
      </c>
      <c r="N28" t="s">
        <v>3115</v>
      </c>
      <c r="O28" t="s">
        <v>3162</v>
      </c>
      <c r="P28" t="s">
        <v>3162</v>
      </c>
      <c r="Q28" t="s">
        <v>3163</v>
      </c>
    </row>
    <row r="29" spans="1:17">
      <c r="A29" t="s">
        <v>520</v>
      </c>
      <c r="B29" t="s">
        <v>839</v>
      </c>
      <c r="C29" t="s">
        <v>521</v>
      </c>
      <c r="D29" t="s">
        <v>3158</v>
      </c>
      <c r="E29" t="s">
        <v>167</v>
      </c>
      <c r="F29" t="s">
        <v>168</v>
      </c>
      <c r="G29" t="s">
        <v>177</v>
      </c>
      <c r="H29" t="s">
        <v>3102</v>
      </c>
      <c r="I29" t="s">
        <v>257</v>
      </c>
      <c r="J29" t="s">
        <v>172</v>
      </c>
      <c r="K29" t="s">
        <v>179</v>
      </c>
      <c r="L29" t="s">
        <v>3164</v>
      </c>
      <c r="M29" t="s">
        <v>3165</v>
      </c>
      <c r="N29" t="s">
        <v>3115</v>
      </c>
      <c r="O29" t="s">
        <v>3166</v>
      </c>
      <c r="P29" t="s">
        <v>3132</v>
      </c>
      <c r="Q29" t="s">
        <v>3133</v>
      </c>
    </row>
    <row r="30" spans="1:17">
      <c r="A30" t="s">
        <v>554</v>
      </c>
      <c r="B30" t="s">
        <v>839</v>
      </c>
      <c r="C30" t="s">
        <v>555</v>
      </c>
      <c r="D30" t="s">
        <v>3125</v>
      </c>
      <c r="E30" t="s">
        <v>167</v>
      </c>
      <c r="F30" t="s">
        <v>168</v>
      </c>
      <c r="G30" t="s">
        <v>197</v>
      </c>
      <c r="H30" t="s">
        <v>219</v>
      </c>
      <c r="I30" t="s">
        <v>219</v>
      </c>
      <c r="J30" t="s">
        <v>199</v>
      </c>
      <c r="K30" t="s">
        <v>3141</v>
      </c>
      <c r="L30" t="s">
        <v>3167</v>
      </c>
      <c r="M30" t="s">
        <v>3168</v>
      </c>
      <c r="N30" t="s">
        <v>3115</v>
      </c>
      <c r="O30" t="s">
        <v>3169</v>
      </c>
      <c r="P30" t="s">
        <v>3170</v>
      </c>
      <c r="Q30" t="s">
        <v>3146</v>
      </c>
    </row>
    <row r="31" spans="1:17">
      <c r="A31" t="s">
        <v>559</v>
      </c>
      <c r="B31" t="s">
        <v>839</v>
      </c>
      <c r="C31" t="s">
        <v>560</v>
      </c>
      <c r="D31" t="s">
        <v>3101</v>
      </c>
      <c r="E31" t="s">
        <v>167</v>
      </c>
      <c r="F31" t="s">
        <v>168</v>
      </c>
      <c r="G31" t="s">
        <v>197</v>
      </c>
      <c r="H31" t="s">
        <v>198</v>
      </c>
      <c r="I31" t="s">
        <v>198</v>
      </c>
      <c r="J31" t="s">
        <v>199</v>
      </c>
      <c r="K31" t="s">
        <v>200</v>
      </c>
      <c r="L31" t="s">
        <v>3171</v>
      </c>
      <c r="M31" t="s">
        <v>3172</v>
      </c>
      <c r="N31" t="s">
        <v>3115</v>
      </c>
      <c r="O31" t="s">
        <v>3173</v>
      </c>
      <c r="P31" t="s">
        <v>3174</v>
      </c>
      <c r="Q31" t="s">
        <v>3175</v>
      </c>
    </row>
    <row r="32" spans="1:17">
      <c r="A32" t="s">
        <v>567</v>
      </c>
      <c r="B32" t="s">
        <v>839</v>
      </c>
      <c r="C32" t="s">
        <v>568</v>
      </c>
      <c r="D32" t="s">
        <v>3125</v>
      </c>
      <c r="E32" t="s">
        <v>167</v>
      </c>
      <c r="F32" t="s">
        <v>168</v>
      </c>
      <c r="G32" t="s">
        <v>177</v>
      </c>
      <c r="H32" t="s">
        <v>210</v>
      </c>
      <c r="I32" t="s">
        <v>211</v>
      </c>
      <c r="J32" t="s">
        <v>199</v>
      </c>
      <c r="K32" t="s">
        <v>212</v>
      </c>
      <c r="L32" t="s">
        <v>2646</v>
      </c>
      <c r="M32" t="s">
        <v>3176</v>
      </c>
      <c r="N32" t="s">
        <v>3115</v>
      </c>
      <c r="O32" t="s">
        <v>3176</v>
      </c>
      <c r="P32" t="s">
        <v>3117</v>
      </c>
      <c r="Q32" t="s">
        <v>3133</v>
      </c>
    </row>
    <row r="33" spans="1:17">
      <c r="A33" t="s">
        <v>1048</v>
      </c>
      <c r="B33" t="s">
        <v>839</v>
      </c>
      <c r="C33" t="s">
        <v>2867</v>
      </c>
      <c r="D33" t="s">
        <v>3101</v>
      </c>
      <c r="E33" t="s">
        <v>167</v>
      </c>
      <c r="F33" t="s">
        <v>168</v>
      </c>
      <c r="G33" t="s">
        <v>177</v>
      </c>
      <c r="H33" t="s">
        <v>210</v>
      </c>
      <c r="I33" t="s">
        <v>211</v>
      </c>
      <c r="J33" t="s">
        <v>199</v>
      </c>
      <c r="K33" t="s">
        <v>212</v>
      </c>
      <c r="L33" t="s">
        <v>3177</v>
      </c>
      <c r="M33">
        <v>2.7</v>
      </c>
      <c r="N33" t="s">
        <v>3104</v>
      </c>
      <c r="O33">
        <v>2.7</v>
      </c>
      <c r="P33">
        <v>2.7</v>
      </c>
      <c r="Q33">
        <v>0</v>
      </c>
    </row>
    <row r="34" spans="1:17">
      <c r="A34" t="s">
        <v>1048</v>
      </c>
      <c r="B34" t="s">
        <v>839</v>
      </c>
      <c r="C34" t="s">
        <v>2867</v>
      </c>
      <c r="D34" t="s">
        <v>3101</v>
      </c>
      <c r="E34" t="s">
        <v>167</v>
      </c>
      <c r="F34" t="s">
        <v>168</v>
      </c>
      <c r="G34" t="s">
        <v>177</v>
      </c>
      <c r="H34" t="s">
        <v>210</v>
      </c>
      <c r="I34" t="s">
        <v>211</v>
      </c>
      <c r="J34" t="s">
        <v>199</v>
      </c>
      <c r="K34" t="s">
        <v>212</v>
      </c>
      <c r="L34" t="s">
        <v>3178</v>
      </c>
      <c r="M34">
        <v>0.3</v>
      </c>
      <c r="N34" t="s">
        <v>3104</v>
      </c>
      <c r="O34">
        <v>0.3</v>
      </c>
      <c r="P34">
        <v>0.3</v>
      </c>
      <c r="Q34">
        <v>0</v>
      </c>
    </row>
    <row r="35" spans="1:17">
      <c r="A35" t="s">
        <v>1048</v>
      </c>
      <c r="B35" t="s">
        <v>839</v>
      </c>
      <c r="C35" t="s">
        <v>2867</v>
      </c>
      <c r="D35" t="s">
        <v>3101</v>
      </c>
      <c r="E35" t="s">
        <v>167</v>
      </c>
      <c r="F35" t="s">
        <v>168</v>
      </c>
      <c r="G35" t="s">
        <v>177</v>
      </c>
      <c r="H35" t="s">
        <v>210</v>
      </c>
      <c r="I35" t="s">
        <v>211</v>
      </c>
      <c r="J35" t="s">
        <v>199</v>
      </c>
      <c r="K35" t="s">
        <v>212</v>
      </c>
      <c r="L35" t="s">
        <v>3179</v>
      </c>
      <c r="M35">
        <v>4.7</v>
      </c>
      <c r="N35" t="s">
        <v>3104</v>
      </c>
      <c r="O35">
        <v>9.4</v>
      </c>
      <c r="P35">
        <v>9.4</v>
      </c>
      <c r="Q35">
        <v>0</v>
      </c>
    </row>
    <row r="36" spans="1:17">
      <c r="A36" t="s">
        <v>1048</v>
      </c>
      <c r="B36" t="s">
        <v>839</v>
      </c>
      <c r="C36" t="s">
        <v>2867</v>
      </c>
      <c r="D36" t="s">
        <v>3101</v>
      </c>
      <c r="E36" t="s">
        <v>167</v>
      </c>
      <c r="F36" t="s">
        <v>168</v>
      </c>
      <c r="G36" t="s">
        <v>177</v>
      </c>
      <c r="H36" t="s">
        <v>210</v>
      </c>
      <c r="I36" t="s">
        <v>211</v>
      </c>
      <c r="J36" t="s">
        <v>199</v>
      </c>
      <c r="K36" t="s">
        <v>212</v>
      </c>
      <c r="L36" t="s">
        <v>3180</v>
      </c>
      <c r="M36">
        <v>0.8</v>
      </c>
      <c r="N36" t="s">
        <v>3104</v>
      </c>
      <c r="O36">
        <v>0.8</v>
      </c>
      <c r="P36">
        <v>0.8</v>
      </c>
      <c r="Q36">
        <v>0</v>
      </c>
    </row>
    <row r="37" spans="1:17">
      <c r="A37" t="s">
        <v>182</v>
      </c>
      <c r="B37" t="s">
        <v>839</v>
      </c>
      <c r="C37" t="s">
        <v>183</v>
      </c>
      <c r="D37" t="s">
        <v>3101</v>
      </c>
      <c r="E37" t="s">
        <v>167</v>
      </c>
      <c r="F37" t="s">
        <v>168</v>
      </c>
      <c r="G37" t="s">
        <v>169</v>
      </c>
      <c r="H37" t="s">
        <v>3102</v>
      </c>
      <c r="I37" t="s">
        <v>171</v>
      </c>
      <c r="J37" t="s">
        <v>172</v>
      </c>
      <c r="K37" t="s">
        <v>185</v>
      </c>
      <c r="L37" t="s">
        <v>3181</v>
      </c>
      <c r="M37" t="s">
        <v>3182</v>
      </c>
      <c r="N37" t="s">
        <v>3104</v>
      </c>
      <c r="O37" t="s">
        <v>3183</v>
      </c>
      <c r="P37" t="s">
        <v>3183</v>
      </c>
      <c r="Q37" t="s">
        <v>3175</v>
      </c>
    </row>
    <row r="38" spans="1:17">
      <c r="A38" t="s">
        <v>770</v>
      </c>
      <c r="B38" t="s">
        <v>839</v>
      </c>
      <c r="C38" t="s">
        <v>771</v>
      </c>
      <c r="D38" t="s">
        <v>3158</v>
      </c>
      <c r="E38" t="s">
        <v>167</v>
      </c>
      <c r="F38" t="s">
        <v>168</v>
      </c>
      <c r="G38" t="s">
        <v>169</v>
      </c>
      <c r="H38" t="s">
        <v>3102</v>
      </c>
      <c r="I38" t="s">
        <v>171</v>
      </c>
      <c r="J38" t="s">
        <v>172</v>
      </c>
      <c r="K38" t="s">
        <v>216</v>
      </c>
      <c r="L38" t="s">
        <v>2646</v>
      </c>
      <c r="M38" t="s">
        <v>3184</v>
      </c>
      <c r="N38" t="s">
        <v>3104</v>
      </c>
      <c r="O38" t="s">
        <v>3184</v>
      </c>
      <c r="P38" t="s">
        <v>3185</v>
      </c>
      <c r="Q38" t="s">
        <v>3186</v>
      </c>
    </row>
    <row r="39" spans="1:17">
      <c r="A39" t="s">
        <v>772</v>
      </c>
      <c r="B39" t="s">
        <v>839</v>
      </c>
      <c r="C39" t="s">
        <v>771</v>
      </c>
      <c r="D39" t="s">
        <v>3158</v>
      </c>
      <c r="E39" t="s">
        <v>167</v>
      </c>
      <c r="F39" t="s">
        <v>168</v>
      </c>
      <c r="G39" t="s">
        <v>169</v>
      </c>
      <c r="H39" t="s">
        <v>3102</v>
      </c>
      <c r="I39" t="s">
        <v>171</v>
      </c>
      <c r="J39" t="s">
        <v>172</v>
      </c>
      <c r="K39" t="s">
        <v>216</v>
      </c>
      <c r="L39" t="s">
        <v>3106</v>
      </c>
      <c r="M39" t="s">
        <v>3187</v>
      </c>
      <c r="N39" t="s">
        <v>3104</v>
      </c>
      <c r="O39" t="s">
        <v>3187</v>
      </c>
      <c r="P39" t="s">
        <v>3188</v>
      </c>
      <c r="Q39" t="s">
        <v>3110</v>
      </c>
    </row>
    <row r="40" spans="1:17">
      <c r="A40" t="s">
        <v>749</v>
      </c>
      <c r="B40" t="s">
        <v>839</v>
      </c>
      <c r="C40" t="s">
        <v>750</v>
      </c>
      <c r="D40" t="s">
        <v>3101</v>
      </c>
      <c r="E40" t="s">
        <v>167</v>
      </c>
      <c r="F40" t="s">
        <v>168</v>
      </c>
      <c r="G40" t="s">
        <v>169</v>
      </c>
      <c r="H40" t="s">
        <v>210</v>
      </c>
      <c r="I40" t="s">
        <v>211</v>
      </c>
      <c r="J40" t="s">
        <v>199</v>
      </c>
      <c r="K40" t="s">
        <v>212</v>
      </c>
      <c r="L40" t="s">
        <v>749</v>
      </c>
      <c r="M40" t="s">
        <v>3189</v>
      </c>
      <c r="N40" t="s">
        <v>3104</v>
      </c>
      <c r="O40" t="s">
        <v>3190</v>
      </c>
      <c r="P40" t="s">
        <v>3191</v>
      </c>
      <c r="Q40" t="s">
        <v>3192</v>
      </c>
    </row>
    <row r="41" spans="1:17">
      <c r="A41" t="s">
        <v>751</v>
      </c>
      <c r="B41" t="s">
        <v>839</v>
      </c>
      <c r="C41" t="s">
        <v>750</v>
      </c>
      <c r="D41" t="s">
        <v>3101</v>
      </c>
      <c r="E41" t="s">
        <v>167</v>
      </c>
      <c r="F41" t="s">
        <v>168</v>
      </c>
      <c r="G41" t="s">
        <v>169</v>
      </c>
      <c r="H41" t="s">
        <v>210</v>
      </c>
      <c r="I41" t="s">
        <v>211</v>
      </c>
      <c r="J41" t="s">
        <v>199</v>
      </c>
      <c r="K41" t="s">
        <v>212</v>
      </c>
      <c r="L41" t="s">
        <v>751</v>
      </c>
      <c r="M41" t="s">
        <v>3189</v>
      </c>
      <c r="N41" t="s">
        <v>3104</v>
      </c>
      <c r="O41" t="s">
        <v>3190</v>
      </c>
      <c r="P41" t="s">
        <v>3191</v>
      </c>
      <c r="Q41" t="s">
        <v>3192</v>
      </c>
    </row>
    <row r="42" spans="1:17">
      <c r="A42" t="s">
        <v>174</v>
      </c>
      <c r="B42" t="s">
        <v>839</v>
      </c>
      <c r="C42" t="s">
        <v>175</v>
      </c>
      <c r="D42" t="s">
        <v>3125</v>
      </c>
      <c r="E42" t="s">
        <v>167</v>
      </c>
      <c r="F42" t="s">
        <v>168</v>
      </c>
      <c r="G42" t="s">
        <v>177</v>
      </c>
      <c r="H42" t="s">
        <v>3126</v>
      </c>
      <c r="I42" t="s">
        <v>3127</v>
      </c>
      <c r="J42" t="s">
        <v>172</v>
      </c>
      <c r="K42" t="s">
        <v>179</v>
      </c>
      <c r="L42" t="s">
        <v>2646</v>
      </c>
      <c r="M42" t="s">
        <v>2646</v>
      </c>
      <c r="N42" t="s">
        <v>3115</v>
      </c>
      <c r="O42" t="s">
        <v>2646</v>
      </c>
      <c r="P42" t="s">
        <v>2646</v>
      </c>
      <c r="Q42" t="s">
        <v>3133</v>
      </c>
    </row>
    <row r="43" spans="1:17">
      <c r="A43" t="s">
        <v>760</v>
      </c>
      <c r="B43" t="s">
        <v>839</v>
      </c>
      <c r="C43" t="s">
        <v>761</v>
      </c>
      <c r="D43" t="s">
        <v>3125</v>
      </c>
      <c r="E43" t="s">
        <v>167</v>
      </c>
      <c r="F43" t="s">
        <v>168</v>
      </c>
      <c r="G43" t="s">
        <v>177</v>
      </c>
      <c r="H43" t="s">
        <v>3126</v>
      </c>
      <c r="I43" t="s">
        <v>3127</v>
      </c>
      <c r="J43" t="s">
        <v>172</v>
      </c>
      <c r="K43" t="s">
        <v>254</v>
      </c>
      <c r="L43" t="s">
        <v>2646</v>
      </c>
      <c r="M43" t="s">
        <v>3160</v>
      </c>
      <c r="N43" t="s">
        <v>3115</v>
      </c>
      <c r="O43" t="s">
        <v>3160</v>
      </c>
      <c r="P43" t="s">
        <v>2646</v>
      </c>
      <c r="Q43" t="s">
        <v>3118</v>
      </c>
    </row>
    <row r="44" spans="1:17">
      <c r="A44" t="s">
        <v>2885</v>
      </c>
      <c r="B44" t="s">
        <v>839</v>
      </c>
      <c r="C44" t="s">
        <v>3193</v>
      </c>
      <c r="D44" t="s">
        <v>3101</v>
      </c>
      <c r="E44" t="s">
        <v>167</v>
      </c>
      <c r="F44" t="s">
        <v>168</v>
      </c>
      <c r="G44" t="s">
        <v>177</v>
      </c>
      <c r="H44" t="s">
        <v>210</v>
      </c>
      <c r="I44" t="s">
        <v>211</v>
      </c>
      <c r="J44" t="s">
        <v>199</v>
      </c>
      <c r="K44" t="s">
        <v>212</v>
      </c>
      <c r="L44" t="s">
        <v>3128</v>
      </c>
      <c r="M44" t="s">
        <v>3194</v>
      </c>
      <c r="N44" t="s">
        <v>3115</v>
      </c>
      <c r="O44" t="s">
        <v>3122</v>
      </c>
      <c r="P44" t="s">
        <v>3122</v>
      </c>
      <c r="Q44" t="s">
        <v>3118</v>
      </c>
    </row>
    <row r="45" spans="1:17">
      <c r="A45" t="s">
        <v>489</v>
      </c>
      <c r="B45" t="s">
        <v>1065</v>
      </c>
      <c r="C45" t="s">
        <v>490</v>
      </c>
      <c r="D45" t="s">
        <v>3101</v>
      </c>
      <c r="E45" t="s">
        <v>167</v>
      </c>
      <c r="F45" t="s">
        <v>168</v>
      </c>
      <c r="G45" t="s">
        <v>169</v>
      </c>
      <c r="H45" t="s">
        <v>3102</v>
      </c>
      <c r="I45" t="s">
        <v>194</v>
      </c>
      <c r="J45" t="s">
        <v>172</v>
      </c>
      <c r="K45" t="s">
        <v>195</v>
      </c>
      <c r="L45" t="s">
        <v>2646</v>
      </c>
      <c r="M45" t="s">
        <v>3195</v>
      </c>
      <c r="N45" t="s">
        <v>3104</v>
      </c>
      <c r="O45" t="s">
        <v>3195</v>
      </c>
      <c r="P45" t="s">
        <v>3196</v>
      </c>
      <c r="Q45" t="s">
        <v>3197</v>
      </c>
    </row>
    <row r="46" spans="1:17">
      <c r="A46" t="s">
        <v>491</v>
      </c>
      <c r="B46" t="s">
        <v>1065</v>
      </c>
      <c r="C46" t="s">
        <v>490</v>
      </c>
      <c r="D46" t="s">
        <v>3101</v>
      </c>
      <c r="E46" t="s">
        <v>167</v>
      </c>
      <c r="F46" t="s">
        <v>168</v>
      </c>
      <c r="G46" t="s">
        <v>169</v>
      </c>
      <c r="H46" t="s">
        <v>3102</v>
      </c>
      <c r="I46" t="s">
        <v>194</v>
      </c>
      <c r="J46" t="s">
        <v>172</v>
      </c>
      <c r="K46" t="s">
        <v>195</v>
      </c>
      <c r="L46" t="s">
        <v>3106</v>
      </c>
      <c r="M46" t="s">
        <v>3198</v>
      </c>
      <c r="N46" t="s">
        <v>3104</v>
      </c>
      <c r="O46" t="s">
        <v>3198</v>
      </c>
      <c r="P46" t="s">
        <v>3199</v>
      </c>
      <c r="Q46" t="s">
        <v>3200</v>
      </c>
    </row>
    <row r="47" spans="1:17">
      <c r="A47" t="s">
        <v>492</v>
      </c>
      <c r="B47" t="s">
        <v>1065</v>
      </c>
      <c r="C47" t="s">
        <v>490</v>
      </c>
      <c r="D47" t="s">
        <v>3101</v>
      </c>
      <c r="E47" t="s">
        <v>167</v>
      </c>
      <c r="F47" t="s">
        <v>168</v>
      </c>
      <c r="G47" t="s">
        <v>169</v>
      </c>
      <c r="H47" t="s">
        <v>3102</v>
      </c>
      <c r="I47" t="s">
        <v>194</v>
      </c>
      <c r="J47" t="s">
        <v>172</v>
      </c>
      <c r="K47" t="s">
        <v>195</v>
      </c>
      <c r="L47" t="s">
        <v>3111</v>
      </c>
      <c r="M47" t="s">
        <v>3195</v>
      </c>
      <c r="N47" t="s">
        <v>3104</v>
      </c>
      <c r="O47" t="s">
        <v>3195</v>
      </c>
      <c r="P47" t="s">
        <v>3196</v>
      </c>
      <c r="Q47" t="s">
        <v>3197</v>
      </c>
    </row>
    <row r="48" spans="1:17">
      <c r="A48" t="s">
        <v>493</v>
      </c>
      <c r="B48" t="s">
        <v>1065</v>
      </c>
      <c r="C48" t="s">
        <v>490</v>
      </c>
      <c r="D48" t="s">
        <v>3101</v>
      </c>
      <c r="E48" t="s">
        <v>167</v>
      </c>
      <c r="F48" t="s">
        <v>168</v>
      </c>
      <c r="G48" t="s">
        <v>169</v>
      </c>
      <c r="H48" t="s">
        <v>3102</v>
      </c>
      <c r="I48" t="s">
        <v>194</v>
      </c>
      <c r="J48" t="s">
        <v>172</v>
      </c>
      <c r="K48" t="s">
        <v>195</v>
      </c>
      <c r="L48" t="s">
        <v>3105</v>
      </c>
      <c r="M48" t="s">
        <v>3195</v>
      </c>
      <c r="N48" t="s">
        <v>3104</v>
      </c>
      <c r="O48" t="s">
        <v>3195</v>
      </c>
      <c r="P48" t="s">
        <v>3201</v>
      </c>
      <c r="Q48" t="s">
        <v>3202</v>
      </c>
    </row>
    <row r="49" spans="1:17">
      <c r="A49" t="s">
        <v>278</v>
      </c>
      <c r="B49" t="s">
        <v>1166</v>
      </c>
      <c r="C49" t="s">
        <v>279</v>
      </c>
      <c r="D49" t="s">
        <v>3125</v>
      </c>
      <c r="E49" t="s">
        <v>167</v>
      </c>
      <c r="F49" t="s">
        <v>168</v>
      </c>
      <c r="G49" t="s">
        <v>169</v>
      </c>
      <c r="H49" t="s">
        <v>3102</v>
      </c>
      <c r="I49" t="s">
        <v>280</v>
      </c>
      <c r="J49" t="s">
        <v>172</v>
      </c>
      <c r="K49" t="s">
        <v>195</v>
      </c>
      <c r="L49" t="s">
        <v>2646</v>
      </c>
      <c r="M49" t="s">
        <v>3203</v>
      </c>
      <c r="N49" t="s">
        <v>3104</v>
      </c>
      <c r="O49" t="s">
        <v>3203</v>
      </c>
      <c r="P49" t="s">
        <v>3204</v>
      </c>
      <c r="Q49" t="s">
        <v>3205</v>
      </c>
    </row>
    <row r="50" spans="1:17">
      <c r="A50" t="s">
        <v>281</v>
      </c>
      <c r="B50" t="s">
        <v>1166</v>
      </c>
      <c r="C50" t="s">
        <v>279</v>
      </c>
      <c r="D50" t="s">
        <v>3125</v>
      </c>
      <c r="E50" t="s">
        <v>167</v>
      </c>
      <c r="F50" t="s">
        <v>168</v>
      </c>
      <c r="G50" t="s">
        <v>169</v>
      </c>
      <c r="H50" t="s">
        <v>3102</v>
      </c>
      <c r="I50" t="s">
        <v>280</v>
      </c>
      <c r="J50" t="s">
        <v>172</v>
      </c>
      <c r="K50" t="s">
        <v>195</v>
      </c>
      <c r="L50" t="s">
        <v>3106</v>
      </c>
      <c r="M50" t="s">
        <v>3203</v>
      </c>
      <c r="N50" t="s">
        <v>3104</v>
      </c>
      <c r="O50" t="s">
        <v>3203</v>
      </c>
      <c r="P50" t="s">
        <v>3204</v>
      </c>
      <c r="Q50" t="s">
        <v>3205</v>
      </c>
    </row>
    <row r="51" spans="1:17">
      <c r="A51" t="s">
        <v>282</v>
      </c>
      <c r="B51" t="s">
        <v>1166</v>
      </c>
      <c r="C51" t="s">
        <v>279</v>
      </c>
      <c r="D51" t="s">
        <v>3125</v>
      </c>
      <c r="E51" t="s">
        <v>167</v>
      </c>
      <c r="F51" t="s">
        <v>168</v>
      </c>
      <c r="G51" t="s">
        <v>169</v>
      </c>
      <c r="H51" t="s">
        <v>3102</v>
      </c>
      <c r="I51" t="s">
        <v>280</v>
      </c>
      <c r="J51" t="s">
        <v>172</v>
      </c>
      <c r="K51" t="s">
        <v>195</v>
      </c>
      <c r="L51" t="s">
        <v>3111</v>
      </c>
      <c r="M51" t="s">
        <v>3203</v>
      </c>
      <c r="N51" t="s">
        <v>3104</v>
      </c>
      <c r="O51" t="s">
        <v>3203</v>
      </c>
      <c r="P51" t="s">
        <v>3204</v>
      </c>
      <c r="Q51" t="s">
        <v>3205</v>
      </c>
    </row>
    <row r="52" spans="1:17">
      <c r="A52" t="s">
        <v>283</v>
      </c>
      <c r="B52" t="s">
        <v>1166</v>
      </c>
      <c r="C52" t="s">
        <v>279</v>
      </c>
      <c r="D52" t="s">
        <v>3125</v>
      </c>
      <c r="E52" t="s">
        <v>167</v>
      </c>
      <c r="F52" t="s">
        <v>168</v>
      </c>
      <c r="G52" t="s">
        <v>169</v>
      </c>
      <c r="H52" t="s">
        <v>3102</v>
      </c>
      <c r="I52" t="s">
        <v>280</v>
      </c>
      <c r="J52" t="s">
        <v>172</v>
      </c>
      <c r="K52" t="s">
        <v>195</v>
      </c>
      <c r="L52" t="s">
        <v>3105</v>
      </c>
      <c r="M52" t="s">
        <v>3203</v>
      </c>
      <c r="N52" t="s">
        <v>3104</v>
      </c>
      <c r="O52" t="s">
        <v>3203</v>
      </c>
      <c r="P52" t="s">
        <v>3204</v>
      </c>
      <c r="Q52" t="s">
        <v>3205</v>
      </c>
    </row>
    <row r="53" spans="1:17">
      <c r="A53" t="s">
        <v>409</v>
      </c>
      <c r="B53" t="s">
        <v>1166</v>
      </c>
      <c r="C53" t="s">
        <v>3206</v>
      </c>
      <c r="D53" t="s">
        <v>3125</v>
      </c>
      <c r="E53" t="s">
        <v>167</v>
      </c>
      <c r="F53" t="s">
        <v>168</v>
      </c>
      <c r="G53" t="s">
        <v>169</v>
      </c>
      <c r="H53" t="s">
        <v>3102</v>
      </c>
      <c r="I53" t="s">
        <v>411</v>
      </c>
      <c r="J53" t="s">
        <v>172</v>
      </c>
      <c r="K53" t="s">
        <v>185</v>
      </c>
      <c r="L53" t="s">
        <v>3128</v>
      </c>
      <c r="M53" t="s">
        <v>3159</v>
      </c>
      <c r="N53" t="s">
        <v>3104</v>
      </c>
      <c r="O53" t="s">
        <v>3207</v>
      </c>
      <c r="P53" t="s">
        <v>3207</v>
      </c>
      <c r="Q53" t="s">
        <v>3110</v>
      </c>
    </row>
    <row r="54" spans="1:17">
      <c r="A54" t="s">
        <v>460</v>
      </c>
      <c r="B54" t="s">
        <v>1166</v>
      </c>
      <c r="C54" t="s">
        <v>461</v>
      </c>
      <c r="D54" t="s">
        <v>3125</v>
      </c>
      <c r="E54" t="s">
        <v>167</v>
      </c>
      <c r="F54" t="s">
        <v>168</v>
      </c>
      <c r="G54" t="s">
        <v>169</v>
      </c>
      <c r="H54" t="s">
        <v>3102</v>
      </c>
      <c r="I54" t="s">
        <v>280</v>
      </c>
      <c r="J54" t="s">
        <v>172</v>
      </c>
      <c r="K54" t="s">
        <v>195</v>
      </c>
      <c r="L54" t="s">
        <v>2646</v>
      </c>
      <c r="M54" t="s">
        <v>2447</v>
      </c>
      <c r="N54" t="s">
        <v>3104</v>
      </c>
      <c r="O54" t="s">
        <v>2447</v>
      </c>
      <c r="P54" t="s">
        <v>3208</v>
      </c>
      <c r="Q54" t="s">
        <v>2311</v>
      </c>
    </row>
    <row r="55" spans="1:17">
      <c r="A55" t="s">
        <v>462</v>
      </c>
      <c r="B55" t="s">
        <v>1166</v>
      </c>
      <c r="C55" t="s">
        <v>461</v>
      </c>
      <c r="D55" t="s">
        <v>3125</v>
      </c>
      <c r="E55" t="s">
        <v>167</v>
      </c>
      <c r="F55" t="s">
        <v>168</v>
      </c>
      <c r="G55" t="s">
        <v>169</v>
      </c>
      <c r="H55" t="s">
        <v>3102</v>
      </c>
      <c r="I55" t="s">
        <v>280</v>
      </c>
      <c r="J55" t="s">
        <v>172</v>
      </c>
      <c r="K55" t="s">
        <v>195</v>
      </c>
      <c r="L55" t="s">
        <v>3106</v>
      </c>
      <c r="M55" t="s">
        <v>2447</v>
      </c>
      <c r="N55" t="s">
        <v>3104</v>
      </c>
      <c r="O55" t="s">
        <v>2447</v>
      </c>
      <c r="P55" t="s">
        <v>3208</v>
      </c>
      <c r="Q55" t="s">
        <v>2311</v>
      </c>
    </row>
    <row r="56" spans="1:17">
      <c r="A56" t="s">
        <v>463</v>
      </c>
      <c r="B56" t="s">
        <v>1166</v>
      </c>
      <c r="C56" t="s">
        <v>461</v>
      </c>
      <c r="D56" t="s">
        <v>3125</v>
      </c>
      <c r="E56" t="s">
        <v>167</v>
      </c>
      <c r="F56" t="s">
        <v>168</v>
      </c>
      <c r="G56" t="s">
        <v>169</v>
      </c>
      <c r="H56" t="s">
        <v>3102</v>
      </c>
      <c r="I56" t="s">
        <v>280</v>
      </c>
      <c r="J56" t="s">
        <v>172</v>
      </c>
      <c r="K56" t="s">
        <v>195</v>
      </c>
      <c r="L56" t="s">
        <v>3111</v>
      </c>
      <c r="M56" t="s">
        <v>2447</v>
      </c>
      <c r="N56" t="s">
        <v>3104</v>
      </c>
      <c r="O56" t="s">
        <v>2447</v>
      </c>
      <c r="P56" t="s">
        <v>3208</v>
      </c>
      <c r="Q56" t="s">
        <v>2311</v>
      </c>
    </row>
    <row r="57" spans="1:17">
      <c r="A57" t="s">
        <v>464</v>
      </c>
      <c r="B57" t="s">
        <v>1166</v>
      </c>
      <c r="C57" t="s">
        <v>461</v>
      </c>
      <c r="D57" t="s">
        <v>3125</v>
      </c>
      <c r="E57" t="s">
        <v>167</v>
      </c>
      <c r="F57" t="s">
        <v>168</v>
      </c>
      <c r="G57" t="s">
        <v>169</v>
      </c>
      <c r="H57" t="s">
        <v>3102</v>
      </c>
      <c r="I57" t="s">
        <v>280</v>
      </c>
      <c r="J57" t="s">
        <v>172</v>
      </c>
      <c r="K57" t="s">
        <v>195</v>
      </c>
      <c r="L57" t="s">
        <v>3105</v>
      </c>
      <c r="M57" t="s">
        <v>2447</v>
      </c>
      <c r="N57" t="s">
        <v>3104</v>
      </c>
      <c r="O57" t="s">
        <v>2447</v>
      </c>
      <c r="P57" t="s">
        <v>3208</v>
      </c>
      <c r="Q57" t="s">
        <v>2311</v>
      </c>
    </row>
    <row r="58" spans="1:17">
      <c r="A58" t="s">
        <v>2543</v>
      </c>
      <c r="B58" t="s">
        <v>3209</v>
      </c>
      <c r="C58" t="s">
        <v>2541</v>
      </c>
      <c r="D58" t="s">
        <v>3125</v>
      </c>
      <c r="E58" t="s">
        <v>167</v>
      </c>
      <c r="F58" t="s">
        <v>168</v>
      </c>
      <c r="G58" t="s">
        <v>197</v>
      </c>
      <c r="H58" t="s">
        <v>198</v>
      </c>
      <c r="I58" t="s">
        <v>198</v>
      </c>
      <c r="J58" t="s">
        <v>199</v>
      </c>
      <c r="K58" t="s">
        <v>200</v>
      </c>
      <c r="L58" t="s">
        <v>3210</v>
      </c>
      <c r="M58" t="s">
        <v>3211</v>
      </c>
      <c r="N58" t="s">
        <v>3104</v>
      </c>
      <c r="O58" t="s">
        <v>3212</v>
      </c>
      <c r="P58" t="s">
        <v>3213</v>
      </c>
      <c r="Q58" t="s">
        <v>3207</v>
      </c>
    </row>
    <row r="59" spans="1:17">
      <c r="A59" t="s">
        <v>397</v>
      </c>
      <c r="B59" t="s">
        <v>900</v>
      </c>
      <c r="C59" t="s">
        <v>398</v>
      </c>
      <c r="D59" t="s">
        <v>3214</v>
      </c>
      <c r="E59" t="s">
        <v>167</v>
      </c>
      <c r="F59" t="s">
        <v>168</v>
      </c>
      <c r="G59" t="s">
        <v>197</v>
      </c>
      <c r="H59" t="s">
        <v>198</v>
      </c>
      <c r="I59" t="s">
        <v>198</v>
      </c>
      <c r="J59" t="s">
        <v>199</v>
      </c>
      <c r="K59" t="s">
        <v>200</v>
      </c>
      <c r="L59" t="s">
        <v>3215</v>
      </c>
      <c r="M59" t="s">
        <v>3172</v>
      </c>
      <c r="N59" t="s">
        <v>3115</v>
      </c>
      <c r="O59" t="s">
        <v>3216</v>
      </c>
      <c r="P59" t="s">
        <v>3217</v>
      </c>
      <c r="Q59" t="s">
        <v>3175</v>
      </c>
    </row>
    <row r="60" spans="1:17">
      <c r="A60" t="s">
        <v>399</v>
      </c>
      <c r="B60" t="s">
        <v>900</v>
      </c>
      <c r="C60" t="s">
        <v>400</v>
      </c>
      <c r="D60" t="s">
        <v>3214</v>
      </c>
      <c r="E60" t="s">
        <v>167</v>
      </c>
      <c r="F60" t="s">
        <v>168</v>
      </c>
      <c r="G60" t="s">
        <v>197</v>
      </c>
      <c r="H60" t="s">
        <v>198</v>
      </c>
      <c r="I60" t="s">
        <v>198</v>
      </c>
      <c r="J60" t="s">
        <v>199</v>
      </c>
      <c r="K60" t="s">
        <v>200</v>
      </c>
      <c r="L60" t="s">
        <v>3218</v>
      </c>
      <c r="M60" t="s">
        <v>3172</v>
      </c>
      <c r="N60" t="s">
        <v>3115</v>
      </c>
      <c r="O60" t="s">
        <v>3219</v>
      </c>
      <c r="P60" t="s">
        <v>3220</v>
      </c>
      <c r="Q60" t="s">
        <v>3175</v>
      </c>
    </row>
    <row r="61" spans="1:17">
      <c r="A61" t="s">
        <v>545</v>
      </c>
      <c r="B61" t="s">
        <v>900</v>
      </c>
      <c r="C61" t="s">
        <v>546</v>
      </c>
      <c r="D61" t="s">
        <v>3214</v>
      </c>
      <c r="E61" t="s">
        <v>167</v>
      </c>
      <c r="F61" t="s">
        <v>168</v>
      </c>
      <c r="G61" t="s">
        <v>197</v>
      </c>
      <c r="H61" t="s">
        <v>198</v>
      </c>
      <c r="I61" t="s">
        <v>198</v>
      </c>
      <c r="J61" t="s">
        <v>199</v>
      </c>
      <c r="K61" t="s">
        <v>200</v>
      </c>
      <c r="L61" t="s">
        <v>3221</v>
      </c>
      <c r="M61" t="s">
        <v>3172</v>
      </c>
      <c r="N61" t="s">
        <v>3115</v>
      </c>
      <c r="O61" t="s">
        <v>3222</v>
      </c>
      <c r="P61" t="s">
        <v>2219</v>
      </c>
      <c r="Q61" t="s">
        <v>3175</v>
      </c>
    </row>
    <row r="62" spans="1:17">
      <c r="A62" t="s">
        <v>243</v>
      </c>
      <c r="B62" t="s">
        <v>900</v>
      </c>
      <c r="C62" t="s">
        <v>244</v>
      </c>
      <c r="D62" t="s">
        <v>3214</v>
      </c>
      <c r="E62" t="s">
        <v>167</v>
      </c>
      <c r="F62" t="s">
        <v>168</v>
      </c>
      <c r="G62" t="s">
        <v>197</v>
      </c>
      <c r="H62" t="s">
        <v>198</v>
      </c>
      <c r="I62" t="s">
        <v>198</v>
      </c>
      <c r="J62" t="s">
        <v>199</v>
      </c>
      <c r="K62" t="s">
        <v>200</v>
      </c>
      <c r="L62" t="s">
        <v>3223</v>
      </c>
      <c r="M62" t="s">
        <v>3172</v>
      </c>
      <c r="N62" t="s">
        <v>3115</v>
      </c>
      <c r="O62" t="s">
        <v>3224</v>
      </c>
      <c r="P62" t="s">
        <v>3145</v>
      </c>
      <c r="Q62" t="s">
        <v>3175</v>
      </c>
    </row>
    <row r="63" spans="1:17">
      <c r="A63" t="s">
        <v>682</v>
      </c>
      <c r="B63" t="s">
        <v>900</v>
      </c>
      <c r="C63" t="s">
        <v>3225</v>
      </c>
      <c r="D63" t="s">
        <v>3214</v>
      </c>
      <c r="E63" t="s">
        <v>167</v>
      </c>
      <c r="F63" t="s">
        <v>168</v>
      </c>
      <c r="G63" t="s">
        <v>169</v>
      </c>
      <c r="H63" t="s">
        <v>3102</v>
      </c>
      <c r="I63" t="s">
        <v>3226</v>
      </c>
      <c r="J63" t="s">
        <v>172</v>
      </c>
      <c r="K63" t="s">
        <v>195</v>
      </c>
      <c r="L63" t="s">
        <v>2646</v>
      </c>
      <c r="M63" t="s">
        <v>3227</v>
      </c>
      <c r="N63" t="s">
        <v>3104</v>
      </c>
      <c r="O63" t="s">
        <v>3227</v>
      </c>
      <c r="P63" t="s">
        <v>3227</v>
      </c>
      <c r="Q63" t="s">
        <v>3146</v>
      </c>
    </row>
    <row r="64" spans="1:17">
      <c r="A64" t="s">
        <v>684</v>
      </c>
      <c r="B64" t="s">
        <v>900</v>
      </c>
      <c r="C64" t="s">
        <v>3225</v>
      </c>
      <c r="D64" t="s">
        <v>3214</v>
      </c>
      <c r="E64" t="s">
        <v>167</v>
      </c>
      <c r="F64" t="s">
        <v>168</v>
      </c>
      <c r="G64" t="s">
        <v>169</v>
      </c>
      <c r="H64" t="s">
        <v>3102</v>
      </c>
      <c r="I64" t="s">
        <v>3226</v>
      </c>
      <c r="J64" t="s">
        <v>172</v>
      </c>
      <c r="K64" t="s">
        <v>195</v>
      </c>
      <c r="L64" t="s">
        <v>3106</v>
      </c>
      <c r="M64" t="s">
        <v>3227</v>
      </c>
      <c r="N64" t="s">
        <v>3104</v>
      </c>
      <c r="O64" t="s">
        <v>3227</v>
      </c>
      <c r="P64" t="s">
        <v>3227</v>
      </c>
      <c r="Q64" t="s">
        <v>3146</v>
      </c>
    </row>
    <row r="65" spans="1:17">
      <c r="A65" t="s">
        <v>685</v>
      </c>
      <c r="B65" t="s">
        <v>900</v>
      </c>
      <c r="C65" t="s">
        <v>3225</v>
      </c>
      <c r="D65" t="s">
        <v>3214</v>
      </c>
      <c r="E65" t="s">
        <v>167</v>
      </c>
      <c r="F65" t="s">
        <v>168</v>
      </c>
      <c r="G65" t="s">
        <v>169</v>
      </c>
      <c r="H65" t="s">
        <v>3102</v>
      </c>
      <c r="I65" t="s">
        <v>3226</v>
      </c>
      <c r="J65" t="s">
        <v>172</v>
      </c>
      <c r="K65" t="s">
        <v>195</v>
      </c>
      <c r="L65" t="s">
        <v>3111</v>
      </c>
      <c r="M65" t="s">
        <v>3227</v>
      </c>
      <c r="N65" t="s">
        <v>3104</v>
      </c>
      <c r="O65" t="s">
        <v>3227</v>
      </c>
      <c r="P65" t="s">
        <v>3227</v>
      </c>
      <c r="Q65" t="s">
        <v>3192</v>
      </c>
    </row>
    <row r="66" spans="1:17">
      <c r="A66" t="s">
        <v>686</v>
      </c>
      <c r="B66" t="s">
        <v>900</v>
      </c>
      <c r="C66" t="s">
        <v>3225</v>
      </c>
      <c r="D66" t="s">
        <v>3214</v>
      </c>
      <c r="E66" t="s">
        <v>167</v>
      </c>
      <c r="F66" t="s">
        <v>168</v>
      </c>
      <c r="G66" t="s">
        <v>169</v>
      </c>
      <c r="H66" t="s">
        <v>3102</v>
      </c>
      <c r="I66" t="s">
        <v>3226</v>
      </c>
      <c r="J66" t="s">
        <v>172</v>
      </c>
      <c r="K66" t="s">
        <v>195</v>
      </c>
      <c r="L66" t="s">
        <v>3105</v>
      </c>
      <c r="M66" t="s">
        <v>3227</v>
      </c>
      <c r="N66" t="s">
        <v>3104</v>
      </c>
      <c r="O66" t="s">
        <v>3227</v>
      </c>
      <c r="P66" t="s">
        <v>3227</v>
      </c>
      <c r="Q66" t="s">
        <v>3192</v>
      </c>
    </row>
    <row r="67" spans="1:17">
      <c r="A67" t="s">
        <v>687</v>
      </c>
      <c r="B67" t="s">
        <v>900</v>
      </c>
      <c r="C67" t="s">
        <v>3225</v>
      </c>
      <c r="D67" t="s">
        <v>3214</v>
      </c>
      <c r="E67" t="s">
        <v>167</v>
      </c>
      <c r="F67" t="s">
        <v>168</v>
      </c>
      <c r="G67" t="s">
        <v>169</v>
      </c>
      <c r="H67" t="s">
        <v>3102</v>
      </c>
      <c r="I67" t="s">
        <v>3226</v>
      </c>
      <c r="J67" t="s">
        <v>172</v>
      </c>
      <c r="K67" t="s">
        <v>195</v>
      </c>
      <c r="L67" t="s">
        <v>2646</v>
      </c>
      <c r="M67" t="s">
        <v>3228</v>
      </c>
      <c r="N67" t="s">
        <v>3104</v>
      </c>
      <c r="O67" t="s">
        <v>3228</v>
      </c>
      <c r="P67" t="s">
        <v>3229</v>
      </c>
      <c r="Q67" t="s">
        <v>3146</v>
      </c>
    </row>
    <row r="68" spans="1:17">
      <c r="A68" t="s">
        <v>689</v>
      </c>
      <c r="B68" t="s">
        <v>900</v>
      </c>
      <c r="C68" t="s">
        <v>3225</v>
      </c>
      <c r="D68" t="s">
        <v>3214</v>
      </c>
      <c r="E68" t="s">
        <v>167</v>
      </c>
      <c r="F68" t="s">
        <v>168</v>
      </c>
      <c r="G68" t="s">
        <v>169</v>
      </c>
      <c r="H68" t="s">
        <v>3102</v>
      </c>
      <c r="I68" t="s">
        <v>3226</v>
      </c>
      <c r="J68" t="s">
        <v>172</v>
      </c>
      <c r="K68" t="s">
        <v>195</v>
      </c>
      <c r="L68" t="s">
        <v>3106</v>
      </c>
      <c r="M68" t="s">
        <v>3228</v>
      </c>
      <c r="N68" t="s">
        <v>3104</v>
      </c>
      <c r="O68" t="s">
        <v>3228</v>
      </c>
      <c r="P68" t="s">
        <v>3229</v>
      </c>
      <c r="Q68" t="s">
        <v>3146</v>
      </c>
    </row>
    <row r="69" spans="1:17">
      <c r="A69" t="s">
        <v>690</v>
      </c>
      <c r="B69" t="s">
        <v>900</v>
      </c>
      <c r="C69" t="s">
        <v>3225</v>
      </c>
      <c r="D69" t="s">
        <v>3214</v>
      </c>
      <c r="E69" t="s">
        <v>167</v>
      </c>
      <c r="F69" t="s">
        <v>168</v>
      </c>
      <c r="G69" t="s">
        <v>169</v>
      </c>
      <c r="H69" t="s">
        <v>3102</v>
      </c>
      <c r="I69" t="s">
        <v>3226</v>
      </c>
      <c r="J69" t="s">
        <v>172</v>
      </c>
      <c r="K69" t="s">
        <v>195</v>
      </c>
      <c r="L69" t="s">
        <v>3111</v>
      </c>
      <c r="M69" t="s">
        <v>3228</v>
      </c>
      <c r="N69" t="s">
        <v>3104</v>
      </c>
      <c r="O69" t="s">
        <v>3228</v>
      </c>
      <c r="P69" t="s">
        <v>3229</v>
      </c>
      <c r="Q69" t="s">
        <v>3146</v>
      </c>
    </row>
    <row r="70" spans="1:17">
      <c r="A70" t="s">
        <v>691</v>
      </c>
      <c r="B70" t="s">
        <v>900</v>
      </c>
      <c r="C70" t="s">
        <v>3225</v>
      </c>
      <c r="D70" t="s">
        <v>3214</v>
      </c>
      <c r="E70" t="s">
        <v>167</v>
      </c>
      <c r="F70" t="s">
        <v>168</v>
      </c>
      <c r="G70" t="s">
        <v>169</v>
      </c>
      <c r="H70" t="s">
        <v>3102</v>
      </c>
      <c r="I70" t="s">
        <v>3226</v>
      </c>
      <c r="J70" t="s">
        <v>172</v>
      </c>
      <c r="K70" t="s">
        <v>195</v>
      </c>
      <c r="L70" t="s">
        <v>3105</v>
      </c>
      <c r="M70" t="s">
        <v>3228</v>
      </c>
      <c r="N70" t="s">
        <v>3104</v>
      </c>
      <c r="O70" t="s">
        <v>3228</v>
      </c>
      <c r="P70" t="s">
        <v>3229</v>
      </c>
      <c r="Q70" t="s">
        <v>3146</v>
      </c>
    </row>
    <row r="71" spans="1:17">
      <c r="A71" t="s">
        <v>762</v>
      </c>
      <c r="B71" t="s">
        <v>900</v>
      </c>
      <c r="C71" t="s">
        <v>763</v>
      </c>
      <c r="D71" t="s">
        <v>3214</v>
      </c>
      <c r="E71" t="s">
        <v>167</v>
      </c>
      <c r="F71" t="s">
        <v>168</v>
      </c>
      <c r="G71" t="s">
        <v>177</v>
      </c>
      <c r="H71" t="s">
        <v>198</v>
      </c>
      <c r="I71" t="s">
        <v>198</v>
      </c>
      <c r="J71" t="s">
        <v>199</v>
      </c>
      <c r="K71" t="s">
        <v>200</v>
      </c>
      <c r="L71" t="s">
        <v>3230</v>
      </c>
      <c r="M71" t="s">
        <v>3231</v>
      </c>
      <c r="N71" t="s">
        <v>3115</v>
      </c>
      <c r="O71" t="s">
        <v>3232</v>
      </c>
      <c r="P71" t="s">
        <v>3233</v>
      </c>
      <c r="Q71" t="s">
        <v>3133</v>
      </c>
    </row>
    <row r="72" spans="1:17">
      <c r="A72" t="s">
        <v>805</v>
      </c>
      <c r="B72" t="s">
        <v>3234</v>
      </c>
      <c r="C72" t="s">
        <v>3235</v>
      </c>
      <c r="D72" t="s">
        <v>3101</v>
      </c>
      <c r="E72" t="s">
        <v>3236</v>
      </c>
      <c r="F72" t="s">
        <v>313</v>
      </c>
      <c r="G72" t="s">
        <v>177</v>
      </c>
      <c r="H72" t="s">
        <v>805</v>
      </c>
      <c r="I72" t="s">
        <v>805</v>
      </c>
      <c r="J72" t="s">
        <v>805</v>
      </c>
      <c r="K72" t="s">
        <v>805</v>
      </c>
      <c r="L72" t="s">
        <v>2646</v>
      </c>
      <c r="M72" t="s">
        <v>3237</v>
      </c>
      <c r="N72" t="s">
        <v>3115</v>
      </c>
      <c r="O72" t="s">
        <v>3237</v>
      </c>
      <c r="P72" t="s">
        <v>3238</v>
      </c>
      <c r="Q72" t="s">
        <v>3118</v>
      </c>
    </row>
    <row r="73" spans="1:17">
      <c r="A73" t="s">
        <v>204</v>
      </c>
      <c r="B73" t="s">
        <v>1123</v>
      </c>
      <c r="C73" t="s">
        <v>205</v>
      </c>
      <c r="D73" t="s">
        <v>3101</v>
      </c>
      <c r="E73" t="s">
        <v>167</v>
      </c>
      <c r="F73" t="s">
        <v>168</v>
      </c>
      <c r="G73" t="s">
        <v>197</v>
      </c>
      <c r="H73" t="s">
        <v>198</v>
      </c>
      <c r="I73" t="s">
        <v>198</v>
      </c>
      <c r="J73" t="s">
        <v>199</v>
      </c>
      <c r="K73" t="s">
        <v>200</v>
      </c>
      <c r="L73" t="s">
        <v>3239</v>
      </c>
      <c r="M73" t="s">
        <v>3114</v>
      </c>
      <c r="N73" t="s">
        <v>3104</v>
      </c>
      <c r="O73" t="s">
        <v>3240</v>
      </c>
      <c r="P73" t="s">
        <v>3241</v>
      </c>
      <c r="Q73" t="s">
        <v>3242</v>
      </c>
    </row>
    <row r="74" spans="1:17">
      <c r="A74" t="s">
        <v>2704</v>
      </c>
      <c r="B74" t="s">
        <v>1123</v>
      </c>
      <c r="C74" t="s">
        <v>3243</v>
      </c>
      <c r="D74" t="s">
        <v>3101</v>
      </c>
      <c r="E74" t="s">
        <v>167</v>
      </c>
      <c r="F74" t="s">
        <v>168</v>
      </c>
      <c r="G74" t="s">
        <v>197</v>
      </c>
      <c r="H74" t="s">
        <v>219</v>
      </c>
      <c r="I74" t="s">
        <v>219</v>
      </c>
      <c r="J74" t="s">
        <v>199</v>
      </c>
      <c r="K74" t="s">
        <v>3244</v>
      </c>
      <c r="L74" t="s">
        <v>3245</v>
      </c>
      <c r="M74">
        <v>2.5</v>
      </c>
      <c r="N74" t="s">
        <v>3104</v>
      </c>
      <c r="O74">
        <v>100</v>
      </c>
      <c r="P74">
        <v>88</v>
      </c>
      <c r="Q74">
        <v>17</v>
      </c>
    </row>
    <row r="75" spans="1:17">
      <c r="A75" t="s">
        <v>2861</v>
      </c>
      <c r="B75" t="s">
        <v>1123</v>
      </c>
      <c r="C75" t="s">
        <v>2860</v>
      </c>
      <c r="D75" t="s">
        <v>3101</v>
      </c>
      <c r="E75" t="s">
        <v>167</v>
      </c>
      <c r="F75" t="s">
        <v>168</v>
      </c>
      <c r="G75" t="s">
        <v>177</v>
      </c>
      <c r="H75" t="s">
        <v>198</v>
      </c>
      <c r="I75" t="s">
        <v>198</v>
      </c>
      <c r="J75" t="s">
        <v>199</v>
      </c>
      <c r="K75" t="s">
        <v>200</v>
      </c>
      <c r="L75" t="s">
        <v>3128</v>
      </c>
      <c r="M75" t="s">
        <v>3246</v>
      </c>
      <c r="N75" t="s">
        <v>3104</v>
      </c>
      <c r="O75" t="s">
        <v>3247</v>
      </c>
      <c r="P75" t="s">
        <v>3117</v>
      </c>
      <c r="Q75" t="s">
        <v>3105</v>
      </c>
    </row>
    <row r="76" spans="1:17">
      <c r="A76" t="s">
        <v>2779</v>
      </c>
      <c r="B76" t="s">
        <v>1123</v>
      </c>
      <c r="C76" t="s">
        <v>2778</v>
      </c>
      <c r="D76" t="s">
        <v>3101</v>
      </c>
      <c r="E76" t="s">
        <v>167</v>
      </c>
      <c r="F76" t="s">
        <v>168</v>
      </c>
      <c r="G76" t="s">
        <v>177</v>
      </c>
      <c r="H76" t="s">
        <v>198</v>
      </c>
      <c r="I76" t="s">
        <v>198</v>
      </c>
      <c r="J76" t="s">
        <v>199</v>
      </c>
      <c r="K76" t="s">
        <v>200</v>
      </c>
      <c r="L76" t="s">
        <v>3128</v>
      </c>
      <c r="M76">
        <v>3.6</v>
      </c>
      <c r="N76" t="s">
        <v>3104</v>
      </c>
      <c r="O76">
        <v>7.2</v>
      </c>
      <c r="P76">
        <v>7.2</v>
      </c>
      <c r="Q76">
        <v>0</v>
      </c>
    </row>
    <row r="77" spans="1:17">
      <c r="A77" t="s">
        <v>2888</v>
      </c>
      <c r="B77" t="s">
        <v>1123</v>
      </c>
      <c r="C77" t="s">
        <v>2887</v>
      </c>
      <c r="D77" t="s">
        <v>3101</v>
      </c>
      <c r="E77" t="s">
        <v>167</v>
      </c>
      <c r="F77" t="s">
        <v>168</v>
      </c>
      <c r="G77" t="s">
        <v>177</v>
      </c>
      <c r="H77" t="s">
        <v>198</v>
      </c>
      <c r="I77" t="s">
        <v>198</v>
      </c>
      <c r="J77" t="s">
        <v>199</v>
      </c>
      <c r="K77" t="s">
        <v>200</v>
      </c>
      <c r="L77" t="s">
        <v>3128</v>
      </c>
      <c r="M77">
        <v>3.6</v>
      </c>
      <c r="N77" t="s">
        <v>3104</v>
      </c>
      <c r="O77">
        <v>7.2</v>
      </c>
      <c r="P77">
        <v>7.2</v>
      </c>
      <c r="Q77">
        <v>0</v>
      </c>
    </row>
    <row r="78" spans="1:17">
      <c r="A78" t="s">
        <v>201</v>
      </c>
      <c r="B78" t="s">
        <v>3248</v>
      </c>
      <c r="C78" t="s">
        <v>196</v>
      </c>
      <c r="D78" t="s">
        <v>3101</v>
      </c>
      <c r="E78" t="s">
        <v>167</v>
      </c>
      <c r="F78" t="s">
        <v>168</v>
      </c>
      <c r="G78" t="s">
        <v>197</v>
      </c>
      <c r="H78" t="s">
        <v>198</v>
      </c>
      <c r="I78" t="s">
        <v>198</v>
      </c>
      <c r="J78" t="s">
        <v>199</v>
      </c>
      <c r="K78" t="s">
        <v>200</v>
      </c>
      <c r="L78" t="s">
        <v>3249</v>
      </c>
      <c r="M78" t="s">
        <v>3250</v>
      </c>
      <c r="N78" t="s">
        <v>3104</v>
      </c>
      <c r="O78" t="s">
        <v>3251</v>
      </c>
      <c r="P78" t="s">
        <v>3252</v>
      </c>
      <c r="Q78" t="s">
        <v>3207</v>
      </c>
    </row>
    <row r="79" spans="1:17">
      <c r="A79" t="s">
        <v>201</v>
      </c>
      <c r="B79" t="s">
        <v>3248</v>
      </c>
      <c r="C79" t="s">
        <v>196</v>
      </c>
      <c r="D79" t="s">
        <v>3101</v>
      </c>
      <c r="E79" t="s">
        <v>167</v>
      </c>
      <c r="F79" t="s">
        <v>168</v>
      </c>
      <c r="G79" t="s">
        <v>197</v>
      </c>
      <c r="H79" t="s">
        <v>198</v>
      </c>
      <c r="I79" t="s">
        <v>198</v>
      </c>
      <c r="J79" t="s">
        <v>199</v>
      </c>
      <c r="K79" t="s">
        <v>200</v>
      </c>
      <c r="L79" t="s">
        <v>3253</v>
      </c>
      <c r="M79" t="s">
        <v>3254</v>
      </c>
      <c r="N79" t="s">
        <v>3104</v>
      </c>
      <c r="O79" t="s">
        <v>805</v>
      </c>
      <c r="P79" t="s">
        <v>805</v>
      </c>
      <c r="Q79" t="s">
        <v>805</v>
      </c>
    </row>
    <row r="80" spans="1:17">
      <c r="A80" t="s">
        <v>201</v>
      </c>
      <c r="B80" t="s">
        <v>3248</v>
      </c>
      <c r="C80" t="s">
        <v>196</v>
      </c>
      <c r="D80" t="s">
        <v>3101</v>
      </c>
      <c r="E80" t="s">
        <v>167</v>
      </c>
      <c r="F80" t="s">
        <v>168</v>
      </c>
      <c r="G80" t="s">
        <v>197</v>
      </c>
      <c r="H80" t="s">
        <v>198</v>
      </c>
      <c r="I80" t="s">
        <v>198</v>
      </c>
      <c r="J80" t="s">
        <v>199</v>
      </c>
      <c r="K80" t="s">
        <v>200</v>
      </c>
      <c r="L80" t="s">
        <v>3255</v>
      </c>
      <c r="M80" t="s">
        <v>3250</v>
      </c>
      <c r="N80" t="s">
        <v>3104</v>
      </c>
      <c r="O80" t="s">
        <v>805</v>
      </c>
      <c r="P80" t="s">
        <v>805</v>
      </c>
      <c r="Q80" t="s">
        <v>805</v>
      </c>
    </row>
    <row r="81" spans="1:17">
      <c r="A81" t="s">
        <v>340</v>
      </c>
      <c r="B81" t="s">
        <v>3256</v>
      </c>
      <c r="C81" t="s">
        <v>341</v>
      </c>
      <c r="D81" t="s">
        <v>3158</v>
      </c>
      <c r="E81" t="s">
        <v>167</v>
      </c>
      <c r="F81" t="s">
        <v>168</v>
      </c>
      <c r="G81" t="s">
        <v>177</v>
      </c>
      <c r="H81" t="s">
        <v>3102</v>
      </c>
      <c r="I81" t="s">
        <v>257</v>
      </c>
      <c r="J81" t="s">
        <v>172</v>
      </c>
      <c r="K81" t="s">
        <v>179</v>
      </c>
      <c r="L81" t="s">
        <v>3257</v>
      </c>
      <c r="M81" t="s">
        <v>3111</v>
      </c>
      <c r="N81" t="s">
        <v>3115</v>
      </c>
      <c r="O81" t="s">
        <v>2248</v>
      </c>
      <c r="P81" t="s">
        <v>3175</v>
      </c>
      <c r="Q81" t="s">
        <v>3118</v>
      </c>
    </row>
    <row r="82" spans="1:17">
      <c r="A82" t="s">
        <v>260</v>
      </c>
      <c r="B82" t="s">
        <v>3258</v>
      </c>
      <c r="C82" t="s">
        <v>261</v>
      </c>
      <c r="D82" t="s">
        <v>3158</v>
      </c>
      <c r="E82" t="s">
        <v>167</v>
      </c>
      <c r="F82" t="s">
        <v>168</v>
      </c>
      <c r="G82" t="s">
        <v>169</v>
      </c>
      <c r="H82" t="s">
        <v>3102</v>
      </c>
      <c r="I82" t="s">
        <v>257</v>
      </c>
      <c r="J82" t="s">
        <v>172</v>
      </c>
      <c r="K82" t="s">
        <v>185</v>
      </c>
      <c r="L82" t="s">
        <v>3259</v>
      </c>
      <c r="M82" t="s">
        <v>3260</v>
      </c>
      <c r="N82" t="s">
        <v>3104</v>
      </c>
      <c r="O82" t="s">
        <v>3260</v>
      </c>
      <c r="P82" t="s">
        <v>3260</v>
      </c>
      <c r="Q82" t="s">
        <v>3108</v>
      </c>
    </row>
    <row r="83" spans="1:17">
      <c r="A83" t="s">
        <v>262</v>
      </c>
      <c r="B83" t="s">
        <v>3258</v>
      </c>
      <c r="C83" t="s">
        <v>261</v>
      </c>
      <c r="D83" t="s">
        <v>3158</v>
      </c>
      <c r="E83" t="s">
        <v>167</v>
      </c>
      <c r="F83" t="s">
        <v>168</v>
      </c>
      <c r="G83" t="s">
        <v>169</v>
      </c>
      <c r="H83" t="s">
        <v>3102</v>
      </c>
      <c r="I83" t="s">
        <v>257</v>
      </c>
      <c r="J83" t="s">
        <v>172</v>
      </c>
      <c r="K83" t="s">
        <v>185</v>
      </c>
      <c r="L83" t="s">
        <v>3117</v>
      </c>
      <c r="M83" t="s">
        <v>3260</v>
      </c>
      <c r="N83" t="s">
        <v>3104</v>
      </c>
      <c r="O83" t="s">
        <v>3260</v>
      </c>
      <c r="P83" t="s">
        <v>3260</v>
      </c>
      <c r="Q83" t="s">
        <v>3108</v>
      </c>
    </row>
    <row r="84" spans="1:17">
      <c r="A84" t="s">
        <v>263</v>
      </c>
      <c r="B84" t="s">
        <v>3258</v>
      </c>
      <c r="C84" t="s">
        <v>261</v>
      </c>
      <c r="D84" t="s">
        <v>3158</v>
      </c>
      <c r="E84" t="s">
        <v>167</v>
      </c>
      <c r="F84" t="s">
        <v>168</v>
      </c>
      <c r="G84" t="s">
        <v>169</v>
      </c>
      <c r="H84" t="s">
        <v>3102</v>
      </c>
      <c r="I84" t="s">
        <v>257</v>
      </c>
      <c r="J84" t="s">
        <v>172</v>
      </c>
      <c r="K84" t="s">
        <v>185</v>
      </c>
      <c r="L84" t="s">
        <v>3261</v>
      </c>
      <c r="M84" t="s">
        <v>3260</v>
      </c>
      <c r="N84" t="s">
        <v>3104</v>
      </c>
      <c r="O84" t="s">
        <v>3260</v>
      </c>
      <c r="P84" t="s">
        <v>3260</v>
      </c>
      <c r="Q84" t="s">
        <v>3108</v>
      </c>
    </row>
    <row r="85" spans="1:17">
      <c r="A85" t="s">
        <v>3013</v>
      </c>
      <c r="B85" t="s">
        <v>3262</v>
      </c>
      <c r="C85" t="s">
        <v>3263</v>
      </c>
      <c r="D85" t="s">
        <v>3107</v>
      </c>
      <c r="E85" t="s">
        <v>167</v>
      </c>
      <c r="F85" t="s">
        <v>168</v>
      </c>
      <c r="G85" t="s">
        <v>177</v>
      </c>
      <c r="H85" t="s">
        <v>3133</v>
      </c>
      <c r="I85" t="s">
        <v>3133</v>
      </c>
      <c r="J85" t="s">
        <v>3133</v>
      </c>
      <c r="K85" t="s">
        <v>3133</v>
      </c>
      <c r="L85" t="s">
        <v>2646</v>
      </c>
      <c r="M85" t="s">
        <v>3264</v>
      </c>
      <c r="N85" t="s">
        <v>3115</v>
      </c>
      <c r="O85" t="s">
        <v>3264</v>
      </c>
      <c r="P85" t="s">
        <v>3265</v>
      </c>
      <c r="Q85" t="s">
        <v>3133</v>
      </c>
    </row>
    <row r="86" spans="1:17">
      <c r="A86" t="s">
        <v>2708</v>
      </c>
      <c r="B86" t="s">
        <v>3262</v>
      </c>
      <c r="C86" t="s">
        <v>3263</v>
      </c>
      <c r="D86" t="s">
        <v>3101</v>
      </c>
      <c r="E86" t="s">
        <v>167</v>
      </c>
      <c r="F86" t="s">
        <v>168</v>
      </c>
      <c r="G86" t="s">
        <v>177</v>
      </c>
      <c r="H86" t="s">
        <v>3133</v>
      </c>
      <c r="I86" t="s">
        <v>3133</v>
      </c>
      <c r="J86" t="s">
        <v>3133</v>
      </c>
      <c r="K86" t="s">
        <v>3133</v>
      </c>
      <c r="L86" t="s">
        <v>2646</v>
      </c>
      <c r="M86" t="s">
        <v>3242</v>
      </c>
      <c r="N86" t="s">
        <v>3115</v>
      </c>
      <c r="O86" t="s">
        <v>3242</v>
      </c>
      <c r="P86" t="s">
        <v>3266</v>
      </c>
      <c r="Q86" t="s">
        <v>3133</v>
      </c>
    </row>
    <row r="87" spans="1:17">
      <c r="A87" t="s">
        <v>247</v>
      </c>
      <c r="B87" t="s">
        <v>1284</v>
      </c>
      <c r="C87" t="s">
        <v>248</v>
      </c>
      <c r="D87" t="s">
        <v>3125</v>
      </c>
      <c r="E87" t="s">
        <v>167</v>
      </c>
      <c r="F87" t="s">
        <v>168</v>
      </c>
      <c r="G87" t="s">
        <v>197</v>
      </c>
      <c r="H87" t="s">
        <v>198</v>
      </c>
      <c r="I87" t="s">
        <v>198</v>
      </c>
      <c r="J87" t="s">
        <v>199</v>
      </c>
      <c r="K87" t="s">
        <v>200</v>
      </c>
      <c r="L87" t="s">
        <v>3210</v>
      </c>
      <c r="M87" t="s">
        <v>3267</v>
      </c>
      <c r="N87" t="s">
        <v>3115</v>
      </c>
      <c r="O87" t="s">
        <v>3268</v>
      </c>
      <c r="P87" t="s">
        <v>3269</v>
      </c>
      <c r="Q87" t="s">
        <v>3270</v>
      </c>
    </row>
    <row r="88" spans="1:17">
      <c r="A88" t="s">
        <v>247</v>
      </c>
      <c r="B88" t="s">
        <v>1284</v>
      </c>
      <c r="C88" t="s">
        <v>248</v>
      </c>
      <c r="D88" t="s">
        <v>3125</v>
      </c>
      <c r="E88" t="s">
        <v>167</v>
      </c>
      <c r="F88" t="s">
        <v>168</v>
      </c>
      <c r="G88" t="s">
        <v>197</v>
      </c>
      <c r="H88" t="s">
        <v>198</v>
      </c>
      <c r="I88" t="s">
        <v>198</v>
      </c>
      <c r="J88" t="s">
        <v>199</v>
      </c>
      <c r="K88" t="s">
        <v>200</v>
      </c>
      <c r="L88" t="s">
        <v>3271</v>
      </c>
      <c r="M88" t="s">
        <v>3272</v>
      </c>
      <c r="N88" t="s">
        <v>3115</v>
      </c>
      <c r="O88" t="s">
        <v>805</v>
      </c>
      <c r="P88" t="s">
        <v>805</v>
      </c>
      <c r="Q88" t="s">
        <v>805</v>
      </c>
    </row>
    <row r="89" spans="1:17">
      <c r="A89" t="s">
        <v>2453</v>
      </c>
      <c r="B89" t="s">
        <v>3273</v>
      </c>
      <c r="C89" t="s">
        <v>1651</v>
      </c>
      <c r="D89" t="s">
        <v>3125</v>
      </c>
      <c r="E89" t="s">
        <v>167</v>
      </c>
      <c r="F89" t="s">
        <v>168</v>
      </c>
      <c r="G89" t="s">
        <v>197</v>
      </c>
      <c r="H89" t="s">
        <v>198</v>
      </c>
      <c r="I89" t="s">
        <v>198</v>
      </c>
      <c r="J89" t="s">
        <v>199</v>
      </c>
      <c r="K89" t="s">
        <v>200</v>
      </c>
      <c r="L89" t="s">
        <v>3274</v>
      </c>
      <c r="M89">
        <v>3.43</v>
      </c>
      <c r="N89" t="s">
        <v>3104</v>
      </c>
      <c r="O89">
        <v>113.19</v>
      </c>
      <c r="P89">
        <v>111</v>
      </c>
      <c r="Q89">
        <v>50</v>
      </c>
    </row>
    <row r="90" spans="1:17">
      <c r="A90" t="s">
        <v>255</v>
      </c>
      <c r="B90" t="s">
        <v>1378</v>
      </c>
      <c r="C90" t="s">
        <v>3275</v>
      </c>
      <c r="D90" t="s">
        <v>3158</v>
      </c>
      <c r="E90" t="s">
        <v>167</v>
      </c>
      <c r="F90" t="s">
        <v>168</v>
      </c>
      <c r="G90" t="s">
        <v>169</v>
      </c>
      <c r="H90" t="s">
        <v>3102</v>
      </c>
      <c r="I90" t="s">
        <v>257</v>
      </c>
      <c r="J90" t="s">
        <v>172</v>
      </c>
      <c r="K90" t="s">
        <v>185</v>
      </c>
      <c r="L90" t="s">
        <v>2646</v>
      </c>
      <c r="M90" t="s">
        <v>3276</v>
      </c>
      <c r="N90" t="s">
        <v>3104</v>
      </c>
      <c r="O90" t="s">
        <v>3276</v>
      </c>
      <c r="P90" t="s">
        <v>3260</v>
      </c>
      <c r="Q90" t="s">
        <v>3277</v>
      </c>
    </row>
    <row r="91" spans="1:17">
      <c r="A91" t="s">
        <v>258</v>
      </c>
      <c r="B91" t="s">
        <v>1378</v>
      </c>
      <c r="C91" t="s">
        <v>3275</v>
      </c>
      <c r="D91" t="s">
        <v>3158</v>
      </c>
      <c r="E91" t="s">
        <v>167</v>
      </c>
      <c r="F91" t="s">
        <v>168</v>
      </c>
      <c r="G91" t="s">
        <v>169</v>
      </c>
      <c r="H91" t="s">
        <v>3102</v>
      </c>
      <c r="I91" t="s">
        <v>257</v>
      </c>
      <c r="J91" t="s">
        <v>172</v>
      </c>
      <c r="K91" t="s">
        <v>185</v>
      </c>
      <c r="L91" t="s">
        <v>3106</v>
      </c>
      <c r="M91" t="s">
        <v>3276</v>
      </c>
      <c r="N91" t="s">
        <v>3104</v>
      </c>
      <c r="O91" t="s">
        <v>3276</v>
      </c>
      <c r="P91" t="s">
        <v>3260</v>
      </c>
      <c r="Q91" t="s">
        <v>3277</v>
      </c>
    </row>
    <row r="92" spans="1:17">
      <c r="A92" t="s">
        <v>259</v>
      </c>
      <c r="B92" t="s">
        <v>1378</v>
      </c>
      <c r="C92" t="s">
        <v>3275</v>
      </c>
      <c r="D92" t="s">
        <v>3158</v>
      </c>
      <c r="E92" t="s">
        <v>167</v>
      </c>
      <c r="F92" t="s">
        <v>168</v>
      </c>
      <c r="G92" t="s">
        <v>169</v>
      </c>
      <c r="H92" t="s">
        <v>3102</v>
      </c>
      <c r="I92" t="s">
        <v>257</v>
      </c>
      <c r="J92" t="s">
        <v>172</v>
      </c>
      <c r="K92" t="s">
        <v>185</v>
      </c>
      <c r="L92" t="s">
        <v>3111</v>
      </c>
      <c r="M92" t="s">
        <v>3276</v>
      </c>
      <c r="N92" t="s">
        <v>3104</v>
      </c>
      <c r="O92" t="s">
        <v>3276</v>
      </c>
      <c r="P92" t="s">
        <v>3260</v>
      </c>
      <c r="Q92" t="s">
        <v>3277</v>
      </c>
    </row>
    <row r="93" spans="1:17">
      <c r="A93" t="s">
        <v>3281</v>
      </c>
      <c r="B93" t="s">
        <v>3278</v>
      </c>
      <c r="C93" t="s">
        <v>3279</v>
      </c>
      <c r="D93" t="s">
        <v>3158</v>
      </c>
      <c r="E93" t="s">
        <v>167</v>
      </c>
      <c r="F93" t="s">
        <v>168</v>
      </c>
      <c r="G93" t="s">
        <v>197</v>
      </c>
      <c r="H93" t="s">
        <v>219</v>
      </c>
      <c r="I93" t="s">
        <v>219</v>
      </c>
      <c r="J93" t="s">
        <v>199</v>
      </c>
      <c r="K93" t="s">
        <v>268</v>
      </c>
      <c r="L93" t="s">
        <v>3280</v>
      </c>
      <c r="M93">
        <v>2.4700000000000002</v>
      </c>
      <c r="N93" t="s">
        <v>3104</v>
      </c>
      <c r="O93">
        <v>42</v>
      </c>
      <c r="P93">
        <v>40</v>
      </c>
      <c r="Q93">
        <v>8</v>
      </c>
    </row>
    <row r="94" spans="1:17">
      <c r="A94" t="s">
        <v>332</v>
      </c>
      <c r="B94" t="s">
        <v>1354</v>
      </c>
      <c r="C94" t="s">
        <v>3282</v>
      </c>
      <c r="D94" t="s">
        <v>3158</v>
      </c>
      <c r="E94" t="s">
        <v>167</v>
      </c>
      <c r="F94" t="s">
        <v>168</v>
      </c>
      <c r="G94" t="s">
        <v>169</v>
      </c>
      <c r="H94" t="s">
        <v>3102</v>
      </c>
      <c r="I94" t="s">
        <v>280</v>
      </c>
      <c r="J94" t="s">
        <v>172</v>
      </c>
      <c r="K94" t="s">
        <v>334</v>
      </c>
      <c r="L94" t="s">
        <v>3111</v>
      </c>
      <c r="M94" t="s">
        <v>3162</v>
      </c>
      <c r="N94" t="s">
        <v>3104</v>
      </c>
      <c r="O94" t="s">
        <v>3162</v>
      </c>
      <c r="P94" t="s">
        <v>3162</v>
      </c>
      <c r="Q94" t="s">
        <v>3188</v>
      </c>
    </row>
    <row r="95" spans="1:17">
      <c r="A95" t="s">
        <v>335</v>
      </c>
      <c r="B95" t="s">
        <v>1354</v>
      </c>
      <c r="C95" t="s">
        <v>3282</v>
      </c>
      <c r="D95" t="s">
        <v>3158</v>
      </c>
      <c r="E95" t="s">
        <v>167</v>
      </c>
      <c r="F95" t="s">
        <v>168</v>
      </c>
      <c r="G95" t="s">
        <v>169</v>
      </c>
      <c r="H95" t="s">
        <v>3102</v>
      </c>
      <c r="I95" t="s">
        <v>280</v>
      </c>
      <c r="J95" t="s">
        <v>172</v>
      </c>
      <c r="K95" t="s">
        <v>334</v>
      </c>
      <c r="L95" t="s">
        <v>3105</v>
      </c>
      <c r="M95" t="s">
        <v>3162</v>
      </c>
      <c r="N95" t="s">
        <v>3104</v>
      </c>
      <c r="O95" t="s">
        <v>3162</v>
      </c>
      <c r="P95" t="s">
        <v>3162</v>
      </c>
      <c r="Q95" t="s">
        <v>3188</v>
      </c>
    </row>
    <row r="96" spans="1:17">
      <c r="A96" t="s">
        <v>322</v>
      </c>
      <c r="B96" t="s">
        <v>929</v>
      </c>
      <c r="C96" t="s">
        <v>323</v>
      </c>
      <c r="D96" t="s">
        <v>3214</v>
      </c>
      <c r="E96" t="s">
        <v>167</v>
      </c>
      <c r="F96" t="s">
        <v>168</v>
      </c>
      <c r="G96" t="s">
        <v>177</v>
      </c>
      <c r="H96" t="s">
        <v>198</v>
      </c>
      <c r="I96" t="s">
        <v>198</v>
      </c>
      <c r="J96" t="s">
        <v>199</v>
      </c>
      <c r="K96" t="s">
        <v>200</v>
      </c>
      <c r="L96" t="s">
        <v>3283</v>
      </c>
      <c r="M96" t="s">
        <v>3106</v>
      </c>
      <c r="N96" t="s">
        <v>3115</v>
      </c>
      <c r="O96" t="s">
        <v>3284</v>
      </c>
      <c r="P96" t="s">
        <v>3284</v>
      </c>
      <c r="Q96" t="s">
        <v>3133</v>
      </c>
    </row>
    <row r="97" spans="1:17">
      <c r="A97" t="s">
        <v>284</v>
      </c>
      <c r="B97" t="s">
        <v>3285</v>
      </c>
      <c r="C97" t="s">
        <v>3286</v>
      </c>
      <c r="D97" t="s">
        <v>3125</v>
      </c>
      <c r="E97" t="s">
        <v>167</v>
      </c>
      <c r="F97" t="s">
        <v>168</v>
      </c>
      <c r="G97" t="s">
        <v>177</v>
      </c>
      <c r="H97" t="s">
        <v>3126</v>
      </c>
      <c r="I97" t="s">
        <v>287</v>
      </c>
      <c r="J97" t="s">
        <v>172</v>
      </c>
      <c r="K97" t="s">
        <v>195</v>
      </c>
      <c r="L97" t="s">
        <v>2646</v>
      </c>
      <c r="M97" t="s">
        <v>3175</v>
      </c>
      <c r="N97" t="s">
        <v>3115</v>
      </c>
      <c r="O97" t="s">
        <v>3287</v>
      </c>
      <c r="P97" t="s">
        <v>3287</v>
      </c>
      <c r="Q97" t="s">
        <v>3118</v>
      </c>
    </row>
    <row r="98" spans="1:17">
      <c r="A98" t="s">
        <v>284</v>
      </c>
      <c r="B98" t="s">
        <v>3285</v>
      </c>
      <c r="C98" t="s">
        <v>3286</v>
      </c>
      <c r="D98" t="s">
        <v>3125</v>
      </c>
      <c r="E98" t="s">
        <v>167</v>
      </c>
      <c r="F98" t="s">
        <v>168</v>
      </c>
      <c r="G98" t="s">
        <v>177</v>
      </c>
      <c r="H98" t="s">
        <v>3126</v>
      </c>
      <c r="I98" t="s">
        <v>287</v>
      </c>
      <c r="J98" t="s">
        <v>172</v>
      </c>
      <c r="K98" t="s">
        <v>195</v>
      </c>
      <c r="L98" t="s">
        <v>3106</v>
      </c>
      <c r="M98" t="s">
        <v>3288</v>
      </c>
      <c r="N98" t="s">
        <v>3115</v>
      </c>
      <c r="O98" t="s">
        <v>805</v>
      </c>
      <c r="P98" t="s">
        <v>805</v>
      </c>
      <c r="Q98" t="s">
        <v>805</v>
      </c>
    </row>
    <row r="99" spans="1:17">
      <c r="A99" t="s">
        <v>326</v>
      </c>
      <c r="B99" t="s">
        <v>3285</v>
      </c>
      <c r="C99" t="s">
        <v>3289</v>
      </c>
      <c r="D99" t="s">
        <v>3125</v>
      </c>
      <c r="E99" t="s">
        <v>167</v>
      </c>
      <c r="F99" t="s">
        <v>168</v>
      </c>
      <c r="G99" t="s">
        <v>177</v>
      </c>
      <c r="H99" t="s">
        <v>3126</v>
      </c>
      <c r="I99" t="s">
        <v>287</v>
      </c>
      <c r="J99" t="s">
        <v>172</v>
      </c>
      <c r="K99" t="s">
        <v>195</v>
      </c>
      <c r="L99" t="s">
        <v>2646</v>
      </c>
      <c r="M99" t="s">
        <v>3175</v>
      </c>
      <c r="N99" t="s">
        <v>3115</v>
      </c>
      <c r="O99" t="s">
        <v>3175</v>
      </c>
      <c r="P99" t="s">
        <v>3175</v>
      </c>
      <c r="Q99" t="s">
        <v>3133</v>
      </c>
    </row>
    <row r="100" spans="1:17">
      <c r="A100" t="s">
        <v>297</v>
      </c>
      <c r="B100" t="s">
        <v>835</v>
      </c>
      <c r="C100" t="s">
        <v>3290</v>
      </c>
      <c r="D100" t="s">
        <v>3214</v>
      </c>
      <c r="E100" t="s">
        <v>167</v>
      </c>
      <c r="F100" t="s">
        <v>168</v>
      </c>
      <c r="G100" t="s">
        <v>177</v>
      </c>
      <c r="H100" t="s">
        <v>198</v>
      </c>
      <c r="I100" t="s">
        <v>198</v>
      </c>
      <c r="J100" t="s">
        <v>199</v>
      </c>
      <c r="K100" t="s">
        <v>200</v>
      </c>
      <c r="L100" t="s">
        <v>3274</v>
      </c>
      <c r="M100" t="s">
        <v>3106</v>
      </c>
      <c r="N100" t="s">
        <v>3115</v>
      </c>
      <c r="O100" t="s">
        <v>2367</v>
      </c>
      <c r="P100" t="s">
        <v>2367</v>
      </c>
      <c r="Q100" t="s">
        <v>3133</v>
      </c>
    </row>
    <row r="101" spans="1:17">
      <c r="A101" t="s">
        <v>2362</v>
      </c>
      <c r="B101" t="s">
        <v>3291</v>
      </c>
      <c r="C101" t="s">
        <v>2361</v>
      </c>
      <c r="D101" t="s">
        <v>3158</v>
      </c>
      <c r="E101" t="s">
        <v>167</v>
      </c>
      <c r="F101" t="s">
        <v>168</v>
      </c>
      <c r="G101" t="s">
        <v>197</v>
      </c>
      <c r="H101" t="s">
        <v>219</v>
      </c>
      <c r="I101" t="s">
        <v>219</v>
      </c>
      <c r="J101" t="s">
        <v>199</v>
      </c>
      <c r="K101" t="s">
        <v>3244</v>
      </c>
      <c r="L101" t="s">
        <v>3292</v>
      </c>
      <c r="M101">
        <v>1.51</v>
      </c>
      <c r="N101" t="s">
        <v>3104</v>
      </c>
      <c r="O101">
        <v>64.38</v>
      </c>
      <c r="P101">
        <v>56</v>
      </c>
      <c r="Q101">
        <v>192</v>
      </c>
    </row>
    <row r="102" spans="1:17">
      <c r="A102" t="s">
        <v>2244</v>
      </c>
      <c r="B102" t="s">
        <v>3293</v>
      </c>
      <c r="C102" t="s">
        <v>2243</v>
      </c>
      <c r="D102" t="s">
        <v>3158</v>
      </c>
      <c r="E102" t="s">
        <v>167</v>
      </c>
      <c r="F102" t="s">
        <v>168</v>
      </c>
      <c r="G102" t="s">
        <v>197</v>
      </c>
      <c r="H102" t="s">
        <v>219</v>
      </c>
      <c r="I102" t="s">
        <v>219</v>
      </c>
      <c r="J102" t="s">
        <v>199</v>
      </c>
      <c r="K102" t="s">
        <v>3244</v>
      </c>
      <c r="L102" t="s">
        <v>3294</v>
      </c>
      <c r="M102" t="s">
        <v>3295</v>
      </c>
      <c r="N102" t="s">
        <v>3104</v>
      </c>
      <c r="O102" t="s">
        <v>3296</v>
      </c>
      <c r="P102" t="s">
        <v>3297</v>
      </c>
      <c r="Q102" t="s">
        <v>3298</v>
      </c>
    </row>
    <row r="103" spans="1:17">
      <c r="A103" t="s">
        <v>2464</v>
      </c>
      <c r="B103" t="s">
        <v>3299</v>
      </c>
      <c r="C103" t="s">
        <v>3300</v>
      </c>
      <c r="D103" t="s">
        <v>3125</v>
      </c>
      <c r="E103" t="s">
        <v>167</v>
      </c>
      <c r="F103" t="s">
        <v>168</v>
      </c>
      <c r="G103" t="s">
        <v>197</v>
      </c>
      <c r="H103" t="s">
        <v>219</v>
      </c>
      <c r="I103" t="s">
        <v>219</v>
      </c>
      <c r="J103" t="s">
        <v>199</v>
      </c>
      <c r="K103" t="s">
        <v>3244</v>
      </c>
      <c r="L103" t="s">
        <v>3301</v>
      </c>
      <c r="M103">
        <v>1.6659999999999999</v>
      </c>
      <c r="N103" t="s">
        <v>3104</v>
      </c>
      <c r="O103">
        <v>180</v>
      </c>
      <c r="P103">
        <v>150</v>
      </c>
      <c r="Q103">
        <v>30</v>
      </c>
    </row>
    <row r="104" spans="1:17">
      <c r="A104" t="s">
        <v>299</v>
      </c>
      <c r="B104" t="s">
        <v>3302</v>
      </c>
      <c r="C104" t="s">
        <v>300</v>
      </c>
      <c r="D104" t="s">
        <v>3101</v>
      </c>
      <c r="E104" t="s">
        <v>167</v>
      </c>
      <c r="F104" t="s">
        <v>168</v>
      </c>
      <c r="G104" t="s">
        <v>177</v>
      </c>
      <c r="H104" t="s">
        <v>198</v>
      </c>
      <c r="I104" t="s">
        <v>198</v>
      </c>
      <c r="J104" t="s">
        <v>199</v>
      </c>
      <c r="K104" t="s">
        <v>200</v>
      </c>
      <c r="L104" t="s">
        <v>2646</v>
      </c>
      <c r="M104" t="s">
        <v>3303</v>
      </c>
      <c r="N104" t="s">
        <v>3115</v>
      </c>
      <c r="O104" t="s">
        <v>3303</v>
      </c>
      <c r="P104" t="s">
        <v>3146</v>
      </c>
      <c r="Q104" t="s">
        <v>3118</v>
      </c>
    </row>
    <row r="105" spans="1:17">
      <c r="A105" t="s">
        <v>2473</v>
      </c>
      <c r="B105" t="s">
        <v>3304</v>
      </c>
      <c r="C105" t="s">
        <v>2472</v>
      </c>
      <c r="D105" t="s">
        <v>3125</v>
      </c>
      <c r="E105" t="s">
        <v>167</v>
      </c>
      <c r="F105" t="s">
        <v>168</v>
      </c>
      <c r="G105" t="s">
        <v>197</v>
      </c>
      <c r="H105" t="s">
        <v>198</v>
      </c>
      <c r="I105" t="s">
        <v>198</v>
      </c>
      <c r="J105" t="s">
        <v>199</v>
      </c>
      <c r="K105" t="s">
        <v>200</v>
      </c>
      <c r="L105" t="s">
        <v>3305</v>
      </c>
      <c r="M105">
        <v>3.43</v>
      </c>
      <c r="N105" t="s">
        <v>3104</v>
      </c>
      <c r="O105">
        <v>96.04</v>
      </c>
      <c r="P105">
        <v>91</v>
      </c>
      <c r="Q105">
        <v>100</v>
      </c>
    </row>
    <row r="106" spans="1:17">
      <c r="A106" t="s">
        <v>805</v>
      </c>
      <c r="B106" t="s">
        <v>1337</v>
      </c>
      <c r="C106" t="s">
        <v>3306</v>
      </c>
      <c r="D106" t="s">
        <v>3158</v>
      </c>
      <c r="E106" t="s">
        <v>167</v>
      </c>
      <c r="F106" t="s">
        <v>313</v>
      </c>
      <c r="G106" t="s">
        <v>177</v>
      </c>
      <c r="H106" t="s">
        <v>3102</v>
      </c>
      <c r="I106" t="s">
        <v>280</v>
      </c>
      <c r="J106" t="s">
        <v>172</v>
      </c>
      <c r="K106" t="s">
        <v>195</v>
      </c>
      <c r="L106" t="s">
        <v>3106</v>
      </c>
      <c r="M106">
        <v>30</v>
      </c>
      <c r="N106" t="s">
        <v>3115</v>
      </c>
      <c r="O106" t="s">
        <v>3175</v>
      </c>
      <c r="P106" t="s">
        <v>3175</v>
      </c>
      <c r="Q106" t="s">
        <v>3118</v>
      </c>
    </row>
    <row r="107" spans="1:17">
      <c r="A107" t="s">
        <v>288</v>
      </c>
      <c r="B107" t="s">
        <v>1337</v>
      </c>
      <c r="C107" t="s">
        <v>3306</v>
      </c>
      <c r="D107" t="s">
        <v>3158</v>
      </c>
      <c r="E107" t="s">
        <v>167</v>
      </c>
      <c r="F107" t="s">
        <v>168</v>
      </c>
      <c r="G107" t="s">
        <v>177</v>
      </c>
      <c r="H107" t="s">
        <v>3102</v>
      </c>
      <c r="I107" t="s">
        <v>280</v>
      </c>
      <c r="J107" t="s">
        <v>172</v>
      </c>
      <c r="K107" t="s">
        <v>195</v>
      </c>
      <c r="L107" t="s">
        <v>3106</v>
      </c>
      <c r="M107" t="s">
        <v>3175</v>
      </c>
      <c r="N107" t="s">
        <v>3115</v>
      </c>
      <c r="O107" t="s">
        <v>3175</v>
      </c>
      <c r="P107" t="s">
        <v>3175</v>
      </c>
      <c r="Q107" t="s">
        <v>2646</v>
      </c>
    </row>
    <row r="108" spans="1:17">
      <c r="A108" t="s">
        <v>290</v>
      </c>
      <c r="B108" t="s">
        <v>1337</v>
      </c>
      <c r="C108" t="s">
        <v>3306</v>
      </c>
      <c r="D108" t="s">
        <v>3158</v>
      </c>
      <c r="E108" t="s">
        <v>167</v>
      </c>
      <c r="F108" t="s">
        <v>168</v>
      </c>
      <c r="G108" t="s">
        <v>169</v>
      </c>
      <c r="H108" t="s">
        <v>3102</v>
      </c>
      <c r="I108" t="s">
        <v>280</v>
      </c>
      <c r="J108" t="s">
        <v>172</v>
      </c>
      <c r="K108" t="s">
        <v>195</v>
      </c>
      <c r="L108" t="s">
        <v>2646</v>
      </c>
      <c r="M108" t="s">
        <v>3307</v>
      </c>
      <c r="N108" t="s">
        <v>3104</v>
      </c>
      <c r="O108" t="s">
        <v>3307</v>
      </c>
      <c r="P108" t="s">
        <v>3308</v>
      </c>
      <c r="Q108" t="s">
        <v>3309</v>
      </c>
    </row>
    <row r="109" spans="1:17">
      <c r="A109" t="s">
        <v>292</v>
      </c>
      <c r="B109" t="s">
        <v>1337</v>
      </c>
      <c r="C109" t="s">
        <v>3306</v>
      </c>
      <c r="D109" t="s">
        <v>3158</v>
      </c>
      <c r="E109" t="s">
        <v>167</v>
      </c>
      <c r="F109" t="s">
        <v>168</v>
      </c>
      <c r="G109" t="s">
        <v>169</v>
      </c>
      <c r="H109" t="s">
        <v>3102</v>
      </c>
      <c r="I109" t="s">
        <v>280</v>
      </c>
      <c r="J109" t="s">
        <v>172</v>
      </c>
      <c r="K109" t="s">
        <v>195</v>
      </c>
      <c r="L109" t="s">
        <v>3106</v>
      </c>
      <c r="M109" t="s">
        <v>3307</v>
      </c>
      <c r="N109" t="s">
        <v>3104</v>
      </c>
      <c r="O109" t="s">
        <v>3307</v>
      </c>
      <c r="P109" t="s">
        <v>3308</v>
      </c>
      <c r="Q109" t="s">
        <v>3309</v>
      </c>
    </row>
    <row r="110" spans="1:17">
      <c r="A110" t="s">
        <v>383</v>
      </c>
      <c r="B110" t="s">
        <v>1337</v>
      </c>
      <c r="C110" t="s">
        <v>384</v>
      </c>
      <c r="D110" t="s">
        <v>3158</v>
      </c>
      <c r="E110" t="s">
        <v>167</v>
      </c>
      <c r="F110" t="s">
        <v>168</v>
      </c>
      <c r="G110" t="s">
        <v>169</v>
      </c>
      <c r="H110" t="s">
        <v>3102</v>
      </c>
      <c r="I110" t="s">
        <v>280</v>
      </c>
      <c r="J110" t="s">
        <v>172</v>
      </c>
      <c r="K110" t="s">
        <v>195</v>
      </c>
      <c r="L110" t="s">
        <v>2646</v>
      </c>
      <c r="M110" t="s">
        <v>3310</v>
      </c>
      <c r="N110" t="s">
        <v>3104</v>
      </c>
      <c r="O110" t="s">
        <v>3310</v>
      </c>
      <c r="P110" t="s">
        <v>3311</v>
      </c>
      <c r="Q110" t="s">
        <v>3312</v>
      </c>
    </row>
    <row r="111" spans="1:17">
      <c r="A111" t="s">
        <v>385</v>
      </c>
      <c r="B111" t="s">
        <v>1337</v>
      </c>
      <c r="C111" t="s">
        <v>384</v>
      </c>
      <c r="D111" t="s">
        <v>3158</v>
      </c>
      <c r="E111" t="s">
        <v>167</v>
      </c>
      <c r="F111" t="s">
        <v>168</v>
      </c>
      <c r="G111" t="s">
        <v>169</v>
      </c>
      <c r="H111" t="s">
        <v>3102</v>
      </c>
      <c r="I111" t="s">
        <v>280</v>
      </c>
      <c r="J111" t="s">
        <v>172</v>
      </c>
      <c r="K111" t="s">
        <v>195</v>
      </c>
      <c r="L111" t="s">
        <v>3106</v>
      </c>
      <c r="M111" t="s">
        <v>3310</v>
      </c>
      <c r="N111" t="s">
        <v>3104</v>
      </c>
      <c r="O111" t="s">
        <v>3310</v>
      </c>
      <c r="P111" t="s">
        <v>3311</v>
      </c>
      <c r="Q111" t="s">
        <v>3312</v>
      </c>
    </row>
    <row r="112" spans="1:17">
      <c r="A112" t="s">
        <v>386</v>
      </c>
      <c r="B112" t="s">
        <v>1337</v>
      </c>
      <c r="C112" t="s">
        <v>384</v>
      </c>
      <c r="D112" t="s">
        <v>3158</v>
      </c>
      <c r="E112" t="s">
        <v>167</v>
      </c>
      <c r="F112" t="s">
        <v>168</v>
      </c>
      <c r="G112" t="s">
        <v>169</v>
      </c>
      <c r="H112" t="s">
        <v>3102</v>
      </c>
      <c r="I112" t="s">
        <v>280</v>
      </c>
      <c r="J112" t="s">
        <v>172</v>
      </c>
      <c r="K112" t="s">
        <v>195</v>
      </c>
      <c r="L112" t="s">
        <v>3111</v>
      </c>
      <c r="M112" t="s">
        <v>3310</v>
      </c>
      <c r="N112" t="s">
        <v>3104</v>
      </c>
      <c r="O112" t="s">
        <v>3310</v>
      </c>
      <c r="P112" t="s">
        <v>3311</v>
      </c>
      <c r="Q112" t="s">
        <v>3312</v>
      </c>
    </row>
    <row r="113" spans="1:17">
      <c r="A113" t="s">
        <v>387</v>
      </c>
      <c r="B113" t="s">
        <v>1337</v>
      </c>
      <c r="C113" t="s">
        <v>384</v>
      </c>
      <c r="D113" t="s">
        <v>3158</v>
      </c>
      <c r="E113" t="s">
        <v>167</v>
      </c>
      <c r="F113" t="s">
        <v>168</v>
      </c>
      <c r="G113" t="s">
        <v>169</v>
      </c>
      <c r="H113" t="s">
        <v>3102</v>
      </c>
      <c r="I113" t="s">
        <v>280</v>
      </c>
      <c r="J113" t="s">
        <v>172</v>
      </c>
      <c r="K113" t="s">
        <v>195</v>
      </c>
      <c r="L113" t="s">
        <v>3105</v>
      </c>
      <c r="M113" t="s">
        <v>3310</v>
      </c>
      <c r="N113" t="s">
        <v>3104</v>
      </c>
      <c r="O113" t="s">
        <v>3310</v>
      </c>
      <c r="P113" t="s">
        <v>3311</v>
      </c>
      <c r="Q113" t="s">
        <v>3312</v>
      </c>
    </row>
    <row r="114" spans="1:17">
      <c r="A114" t="s">
        <v>388</v>
      </c>
      <c r="B114" t="s">
        <v>1337</v>
      </c>
      <c r="C114" t="s">
        <v>384</v>
      </c>
      <c r="D114" t="s">
        <v>3158</v>
      </c>
      <c r="E114" t="s">
        <v>167</v>
      </c>
      <c r="F114" t="s">
        <v>168</v>
      </c>
      <c r="G114" t="s">
        <v>169</v>
      </c>
      <c r="H114" t="s">
        <v>3102</v>
      </c>
      <c r="I114" t="s">
        <v>280</v>
      </c>
      <c r="J114" t="s">
        <v>172</v>
      </c>
      <c r="K114" t="s">
        <v>195</v>
      </c>
      <c r="L114" t="s">
        <v>3259</v>
      </c>
      <c r="M114" t="s">
        <v>3310</v>
      </c>
      <c r="N114" t="s">
        <v>3104</v>
      </c>
      <c r="O114" t="s">
        <v>3310</v>
      </c>
      <c r="P114" t="s">
        <v>3311</v>
      </c>
      <c r="Q114" t="s">
        <v>3312</v>
      </c>
    </row>
    <row r="115" spans="1:17">
      <c r="A115" t="s">
        <v>389</v>
      </c>
      <c r="B115" t="s">
        <v>1337</v>
      </c>
      <c r="C115" t="s">
        <v>384</v>
      </c>
      <c r="D115" t="s">
        <v>3158</v>
      </c>
      <c r="E115" t="s">
        <v>167</v>
      </c>
      <c r="F115" t="s">
        <v>168</v>
      </c>
      <c r="G115" t="s">
        <v>169</v>
      </c>
      <c r="H115" t="s">
        <v>3102</v>
      </c>
      <c r="I115" t="s">
        <v>280</v>
      </c>
      <c r="J115" t="s">
        <v>172</v>
      </c>
      <c r="K115" t="s">
        <v>195</v>
      </c>
      <c r="L115" t="s">
        <v>3117</v>
      </c>
      <c r="M115" t="s">
        <v>3310</v>
      </c>
      <c r="N115" t="s">
        <v>3104</v>
      </c>
      <c r="O115" t="s">
        <v>3310</v>
      </c>
      <c r="P115" t="s">
        <v>3311</v>
      </c>
      <c r="Q115" t="s">
        <v>3312</v>
      </c>
    </row>
    <row r="116" spans="1:17">
      <c r="A116" t="s">
        <v>453</v>
      </c>
      <c r="B116" t="s">
        <v>1337</v>
      </c>
      <c r="C116" t="s">
        <v>454</v>
      </c>
      <c r="D116" t="s">
        <v>3158</v>
      </c>
      <c r="E116" t="s">
        <v>167</v>
      </c>
      <c r="F116" t="s">
        <v>168</v>
      </c>
      <c r="G116" t="s">
        <v>169</v>
      </c>
      <c r="H116" t="s">
        <v>3102</v>
      </c>
      <c r="I116" t="s">
        <v>280</v>
      </c>
      <c r="J116" t="s">
        <v>172</v>
      </c>
      <c r="K116" t="s">
        <v>334</v>
      </c>
      <c r="L116" t="s">
        <v>2646</v>
      </c>
      <c r="M116" t="s">
        <v>3313</v>
      </c>
      <c r="N116" t="s">
        <v>3104</v>
      </c>
      <c r="O116" t="s">
        <v>3313</v>
      </c>
      <c r="P116" t="s">
        <v>3314</v>
      </c>
      <c r="Q116" t="s">
        <v>3315</v>
      </c>
    </row>
    <row r="117" spans="1:17">
      <c r="A117" t="s">
        <v>585</v>
      </c>
      <c r="B117" t="s">
        <v>1337</v>
      </c>
      <c r="C117" t="s">
        <v>722</v>
      </c>
      <c r="D117" t="s">
        <v>3158</v>
      </c>
      <c r="E117" t="s">
        <v>3236</v>
      </c>
      <c r="F117" t="s">
        <v>168</v>
      </c>
      <c r="G117" t="s">
        <v>169</v>
      </c>
      <c r="H117" t="s">
        <v>805</v>
      </c>
      <c r="I117" t="s">
        <v>805</v>
      </c>
      <c r="J117" t="s">
        <v>805</v>
      </c>
      <c r="K117" t="s">
        <v>805</v>
      </c>
      <c r="L117" t="s">
        <v>2646</v>
      </c>
      <c r="M117" t="s">
        <v>3316</v>
      </c>
      <c r="N117" t="s">
        <v>3104</v>
      </c>
      <c r="O117" t="s">
        <v>3316</v>
      </c>
      <c r="P117" t="s">
        <v>3317</v>
      </c>
      <c r="Q117" t="s">
        <v>3227</v>
      </c>
    </row>
    <row r="118" spans="1:17">
      <c r="A118" t="s">
        <v>588</v>
      </c>
      <c r="B118" t="s">
        <v>1337</v>
      </c>
      <c r="C118" t="s">
        <v>722</v>
      </c>
      <c r="D118" t="s">
        <v>3158</v>
      </c>
      <c r="E118" t="s">
        <v>3236</v>
      </c>
      <c r="F118" t="s">
        <v>168</v>
      </c>
      <c r="G118" t="s">
        <v>169</v>
      </c>
      <c r="H118" t="s">
        <v>805</v>
      </c>
      <c r="I118" t="s">
        <v>805</v>
      </c>
      <c r="J118" t="s">
        <v>805</v>
      </c>
      <c r="K118" t="s">
        <v>805</v>
      </c>
      <c r="L118" t="s">
        <v>3106</v>
      </c>
      <c r="M118" t="s">
        <v>3316</v>
      </c>
      <c r="N118" t="s">
        <v>3104</v>
      </c>
      <c r="O118" t="s">
        <v>3316</v>
      </c>
      <c r="P118" t="s">
        <v>3317</v>
      </c>
      <c r="Q118" t="s">
        <v>3227</v>
      </c>
    </row>
    <row r="119" spans="1:17">
      <c r="A119" t="s">
        <v>721</v>
      </c>
      <c r="B119" t="s">
        <v>1337</v>
      </c>
      <c r="C119" t="s">
        <v>722</v>
      </c>
      <c r="D119" t="s">
        <v>3158</v>
      </c>
      <c r="E119" t="s">
        <v>167</v>
      </c>
      <c r="F119" t="s">
        <v>168</v>
      </c>
      <c r="G119" t="s">
        <v>169</v>
      </c>
      <c r="H119" t="s">
        <v>210</v>
      </c>
      <c r="I119" t="s">
        <v>211</v>
      </c>
      <c r="J119" t="s">
        <v>199</v>
      </c>
      <c r="K119" t="s">
        <v>3318</v>
      </c>
      <c r="L119" t="s">
        <v>2646</v>
      </c>
      <c r="M119" t="s">
        <v>3319</v>
      </c>
      <c r="N119" t="s">
        <v>3104</v>
      </c>
      <c r="O119" t="s">
        <v>3319</v>
      </c>
      <c r="P119" t="s">
        <v>3320</v>
      </c>
      <c r="Q119" t="s">
        <v>3139</v>
      </c>
    </row>
    <row r="120" spans="1:17">
      <c r="A120" t="s">
        <v>724</v>
      </c>
      <c r="B120" t="s">
        <v>1337</v>
      </c>
      <c r="C120" t="s">
        <v>722</v>
      </c>
      <c r="D120" t="s">
        <v>3158</v>
      </c>
      <c r="E120" t="s">
        <v>167</v>
      </c>
      <c r="F120" t="s">
        <v>168</v>
      </c>
      <c r="G120" t="s">
        <v>169</v>
      </c>
      <c r="H120" t="s">
        <v>210</v>
      </c>
      <c r="I120" t="s">
        <v>211</v>
      </c>
      <c r="J120" t="s">
        <v>199</v>
      </c>
      <c r="K120" t="s">
        <v>3318</v>
      </c>
      <c r="L120" t="s">
        <v>3106</v>
      </c>
      <c r="M120" t="s">
        <v>3319</v>
      </c>
      <c r="N120" t="s">
        <v>3104</v>
      </c>
      <c r="O120" t="s">
        <v>3319</v>
      </c>
      <c r="P120" t="s">
        <v>3320</v>
      </c>
      <c r="Q120" t="s">
        <v>3139</v>
      </c>
    </row>
    <row r="121" spans="1:17">
      <c r="A121" t="s">
        <v>338</v>
      </c>
      <c r="B121" t="s">
        <v>3321</v>
      </c>
      <c r="C121" t="s">
        <v>339</v>
      </c>
      <c r="D121" t="s">
        <v>3125</v>
      </c>
      <c r="E121" t="s">
        <v>167</v>
      </c>
      <c r="F121" t="s">
        <v>168</v>
      </c>
      <c r="G121" t="s">
        <v>177</v>
      </c>
      <c r="H121" t="s">
        <v>198</v>
      </c>
      <c r="I121" t="s">
        <v>198</v>
      </c>
      <c r="J121" t="s">
        <v>199</v>
      </c>
      <c r="K121" t="s">
        <v>200</v>
      </c>
      <c r="L121" t="s">
        <v>3322</v>
      </c>
      <c r="M121" t="s">
        <v>3106</v>
      </c>
      <c r="N121" t="s">
        <v>3115</v>
      </c>
      <c r="O121" t="s">
        <v>3175</v>
      </c>
      <c r="P121" t="s">
        <v>3175</v>
      </c>
      <c r="Q121" t="s">
        <v>3133</v>
      </c>
    </row>
    <row r="122" spans="1:17">
      <c r="A122" t="s">
        <v>2255</v>
      </c>
      <c r="B122" t="s">
        <v>3323</v>
      </c>
      <c r="C122" t="s">
        <v>3324</v>
      </c>
      <c r="D122" t="s">
        <v>3158</v>
      </c>
      <c r="E122" t="s">
        <v>167</v>
      </c>
      <c r="F122" t="s">
        <v>168</v>
      </c>
      <c r="G122" t="s">
        <v>197</v>
      </c>
      <c r="H122" t="s">
        <v>219</v>
      </c>
      <c r="I122" t="s">
        <v>3325</v>
      </c>
      <c r="J122" t="s">
        <v>199</v>
      </c>
      <c r="K122" t="s">
        <v>268</v>
      </c>
      <c r="L122" t="s">
        <v>3326</v>
      </c>
      <c r="M122">
        <v>2.75</v>
      </c>
      <c r="N122" t="s">
        <v>3104</v>
      </c>
      <c r="O122">
        <v>121</v>
      </c>
      <c r="P122">
        <v>108</v>
      </c>
      <c r="Q122">
        <v>21</v>
      </c>
    </row>
    <row r="123" spans="1:17">
      <c r="A123" t="s">
        <v>2258</v>
      </c>
      <c r="B123" t="s">
        <v>3327</v>
      </c>
      <c r="C123" t="s">
        <v>3084</v>
      </c>
      <c r="D123" t="s">
        <v>3158</v>
      </c>
      <c r="E123" t="s">
        <v>167</v>
      </c>
      <c r="F123" t="s">
        <v>168</v>
      </c>
      <c r="G123" t="s">
        <v>197</v>
      </c>
      <c r="H123" t="s">
        <v>219</v>
      </c>
      <c r="I123" t="s">
        <v>219</v>
      </c>
      <c r="J123" t="s">
        <v>199</v>
      </c>
      <c r="K123" t="s">
        <v>3244</v>
      </c>
      <c r="L123" t="s">
        <v>3328</v>
      </c>
      <c r="M123" t="s">
        <v>3329</v>
      </c>
      <c r="N123" t="s">
        <v>3104</v>
      </c>
      <c r="O123">
        <v>79.75</v>
      </c>
      <c r="P123">
        <v>71.34</v>
      </c>
      <c r="Q123">
        <v>165</v>
      </c>
    </row>
    <row r="124" spans="1:17">
      <c r="A124" t="s">
        <v>3331</v>
      </c>
      <c r="B124" t="s">
        <v>3327</v>
      </c>
      <c r="C124" t="s">
        <v>3084</v>
      </c>
      <c r="D124" t="s">
        <v>3158</v>
      </c>
      <c r="E124" t="s">
        <v>167</v>
      </c>
      <c r="F124" t="s">
        <v>168</v>
      </c>
      <c r="G124" t="s">
        <v>197</v>
      </c>
      <c r="H124" t="s">
        <v>219</v>
      </c>
      <c r="I124" t="s">
        <v>219</v>
      </c>
      <c r="J124" t="s">
        <v>199</v>
      </c>
      <c r="K124" t="s">
        <v>3244</v>
      </c>
      <c r="L124" t="s">
        <v>3330</v>
      </c>
      <c r="M124" t="s">
        <v>3329</v>
      </c>
      <c r="N124" t="s">
        <v>3104</v>
      </c>
      <c r="O124">
        <v>88</v>
      </c>
      <c r="P124">
        <v>78.72</v>
      </c>
      <c r="Q124">
        <v>165</v>
      </c>
    </row>
    <row r="125" spans="1:17">
      <c r="A125" t="s">
        <v>710</v>
      </c>
      <c r="B125" t="s">
        <v>1201</v>
      </c>
      <c r="C125" t="s">
        <v>711</v>
      </c>
      <c r="D125" t="s">
        <v>3125</v>
      </c>
      <c r="E125" t="s">
        <v>167</v>
      </c>
      <c r="F125" t="s">
        <v>168</v>
      </c>
      <c r="G125" t="s">
        <v>169</v>
      </c>
      <c r="H125" t="s">
        <v>3102</v>
      </c>
      <c r="I125" t="s">
        <v>280</v>
      </c>
      <c r="J125" t="s">
        <v>172</v>
      </c>
      <c r="K125" t="s">
        <v>195</v>
      </c>
      <c r="L125" t="s">
        <v>3259</v>
      </c>
      <c r="M125" t="s">
        <v>3203</v>
      </c>
      <c r="N125" t="s">
        <v>3104</v>
      </c>
      <c r="O125" t="s">
        <v>3203</v>
      </c>
      <c r="P125" t="s">
        <v>3332</v>
      </c>
      <c r="Q125">
        <v>25</v>
      </c>
    </row>
    <row r="126" spans="1:17">
      <c r="A126" t="s">
        <v>712</v>
      </c>
      <c r="B126" t="s">
        <v>1201</v>
      </c>
      <c r="C126" t="s">
        <v>711</v>
      </c>
      <c r="D126" t="s">
        <v>3125</v>
      </c>
      <c r="E126" t="s">
        <v>167</v>
      </c>
      <c r="F126" t="s">
        <v>168</v>
      </c>
      <c r="G126" t="s">
        <v>169</v>
      </c>
      <c r="H126" t="s">
        <v>3102</v>
      </c>
      <c r="I126" t="s">
        <v>280</v>
      </c>
      <c r="J126" t="s">
        <v>172</v>
      </c>
      <c r="K126" t="s">
        <v>195</v>
      </c>
      <c r="L126" t="s">
        <v>3117</v>
      </c>
      <c r="M126" t="s">
        <v>3203</v>
      </c>
      <c r="N126" t="s">
        <v>3104</v>
      </c>
      <c r="O126" t="s">
        <v>3203</v>
      </c>
      <c r="P126" t="s">
        <v>3332</v>
      </c>
      <c r="Q126" t="s">
        <v>3159</v>
      </c>
    </row>
    <row r="127" spans="1:17">
      <c r="A127" t="s">
        <v>2355</v>
      </c>
      <c r="B127" t="s">
        <v>3333</v>
      </c>
      <c r="C127" t="s">
        <v>3334</v>
      </c>
      <c r="D127" t="s">
        <v>3158</v>
      </c>
      <c r="E127" t="s">
        <v>167</v>
      </c>
      <c r="F127" t="s">
        <v>168</v>
      </c>
      <c r="G127" t="s">
        <v>177</v>
      </c>
      <c r="H127" t="s">
        <v>219</v>
      </c>
      <c r="I127" t="s">
        <v>219</v>
      </c>
      <c r="J127" t="s">
        <v>199</v>
      </c>
      <c r="K127" t="s">
        <v>3244</v>
      </c>
      <c r="L127" t="s">
        <v>3335</v>
      </c>
      <c r="M127">
        <v>2.5</v>
      </c>
      <c r="N127" t="s">
        <v>3104</v>
      </c>
      <c r="O127">
        <v>17</v>
      </c>
      <c r="P127">
        <v>14</v>
      </c>
      <c r="Q127">
        <v>1000</v>
      </c>
    </row>
    <row r="128" spans="1:17">
      <c r="A128" t="s">
        <v>217</v>
      </c>
      <c r="B128" t="s">
        <v>3333</v>
      </c>
      <c r="C128" t="s">
        <v>218</v>
      </c>
      <c r="D128" t="s">
        <v>3158</v>
      </c>
      <c r="E128" t="s">
        <v>167</v>
      </c>
      <c r="F128" t="s">
        <v>168</v>
      </c>
      <c r="G128" t="s">
        <v>177</v>
      </c>
      <c r="H128" t="s">
        <v>219</v>
      </c>
      <c r="I128" t="s">
        <v>219</v>
      </c>
      <c r="J128" t="s">
        <v>199</v>
      </c>
      <c r="K128" t="s">
        <v>3244</v>
      </c>
      <c r="L128" t="s">
        <v>3128</v>
      </c>
      <c r="M128" t="s">
        <v>3110</v>
      </c>
      <c r="N128" t="s">
        <v>3104</v>
      </c>
      <c r="O128" t="s">
        <v>3146</v>
      </c>
      <c r="P128" t="s">
        <v>3146</v>
      </c>
      <c r="Q128" t="s">
        <v>3118</v>
      </c>
    </row>
    <row r="129" spans="1:17">
      <c r="A129" t="s">
        <v>2386</v>
      </c>
      <c r="B129" t="s">
        <v>3333</v>
      </c>
      <c r="C129" t="s">
        <v>2385</v>
      </c>
      <c r="D129" t="s">
        <v>3158</v>
      </c>
      <c r="E129" t="s">
        <v>167</v>
      </c>
      <c r="F129" t="s">
        <v>168</v>
      </c>
      <c r="G129" t="s">
        <v>177</v>
      </c>
      <c r="H129" t="s">
        <v>219</v>
      </c>
      <c r="I129" t="s">
        <v>219</v>
      </c>
      <c r="J129" t="s">
        <v>199</v>
      </c>
      <c r="K129" t="s">
        <v>3244</v>
      </c>
      <c r="L129" t="s">
        <v>3335</v>
      </c>
      <c r="M129">
        <v>2</v>
      </c>
      <c r="N129" t="s">
        <v>3104</v>
      </c>
      <c r="O129">
        <v>17</v>
      </c>
      <c r="P129">
        <v>14</v>
      </c>
      <c r="Q129">
        <v>1000</v>
      </c>
    </row>
    <row r="130" spans="1:17">
      <c r="A130" t="s">
        <v>2397</v>
      </c>
      <c r="B130" t="s">
        <v>3333</v>
      </c>
      <c r="C130" t="s">
        <v>2396</v>
      </c>
      <c r="D130" t="s">
        <v>3158</v>
      </c>
      <c r="E130" t="s">
        <v>167</v>
      </c>
      <c r="F130" t="s">
        <v>168</v>
      </c>
      <c r="G130" t="s">
        <v>197</v>
      </c>
      <c r="H130" t="s">
        <v>219</v>
      </c>
      <c r="I130" t="s">
        <v>219</v>
      </c>
      <c r="J130" t="s">
        <v>199</v>
      </c>
      <c r="K130" t="s">
        <v>3244</v>
      </c>
      <c r="L130" t="s">
        <v>3336</v>
      </c>
      <c r="M130">
        <v>2.5</v>
      </c>
      <c r="N130" t="s">
        <v>3104</v>
      </c>
      <c r="O130">
        <v>30</v>
      </c>
      <c r="P130">
        <v>25</v>
      </c>
      <c r="Q130">
        <v>1000</v>
      </c>
    </row>
    <row r="131" spans="1:17">
      <c r="A131" t="s">
        <v>617</v>
      </c>
      <c r="B131" t="s">
        <v>3333</v>
      </c>
      <c r="C131" t="s">
        <v>618</v>
      </c>
      <c r="D131" t="s">
        <v>3101</v>
      </c>
      <c r="E131" t="s">
        <v>167</v>
      </c>
      <c r="F131" t="s">
        <v>168</v>
      </c>
      <c r="G131" t="s">
        <v>177</v>
      </c>
      <c r="H131" t="s">
        <v>3126</v>
      </c>
      <c r="I131" t="s">
        <v>3337</v>
      </c>
      <c r="J131" t="s">
        <v>172</v>
      </c>
      <c r="K131" t="s">
        <v>179</v>
      </c>
      <c r="L131" t="s">
        <v>2646</v>
      </c>
      <c r="M131" t="s">
        <v>3338</v>
      </c>
      <c r="N131" t="s">
        <v>3115</v>
      </c>
      <c r="O131" t="s">
        <v>3338</v>
      </c>
      <c r="P131" t="s">
        <v>2646</v>
      </c>
      <c r="Q131" t="s">
        <v>3133</v>
      </c>
    </row>
    <row r="132" spans="1:17">
      <c r="A132" t="s">
        <v>667</v>
      </c>
      <c r="B132" t="s">
        <v>3333</v>
      </c>
      <c r="C132" t="s">
        <v>668</v>
      </c>
      <c r="D132" t="s">
        <v>3101</v>
      </c>
      <c r="E132" t="s">
        <v>167</v>
      </c>
      <c r="F132" t="s">
        <v>168</v>
      </c>
      <c r="G132" t="s">
        <v>177</v>
      </c>
      <c r="H132" t="s">
        <v>3126</v>
      </c>
      <c r="I132" t="s">
        <v>3337</v>
      </c>
      <c r="J132" t="s">
        <v>172</v>
      </c>
      <c r="K132" t="s">
        <v>179</v>
      </c>
      <c r="L132" t="s">
        <v>2646</v>
      </c>
      <c r="M132" t="s">
        <v>3338</v>
      </c>
      <c r="N132" t="s">
        <v>3115</v>
      </c>
      <c r="O132" t="s">
        <v>3338</v>
      </c>
      <c r="P132" t="s">
        <v>2646</v>
      </c>
      <c r="Q132" t="s">
        <v>3133</v>
      </c>
    </row>
    <row r="133" spans="1:17">
      <c r="A133" t="s">
        <v>2424</v>
      </c>
      <c r="B133" t="s">
        <v>3333</v>
      </c>
      <c r="C133" t="s">
        <v>3339</v>
      </c>
      <c r="D133" t="s">
        <v>3158</v>
      </c>
      <c r="E133" t="s">
        <v>167</v>
      </c>
      <c r="F133" t="s">
        <v>168</v>
      </c>
      <c r="G133" t="s">
        <v>177</v>
      </c>
      <c r="H133" t="s">
        <v>219</v>
      </c>
      <c r="I133" t="s">
        <v>219</v>
      </c>
      <c r="J133" t="s">
        <v>199</v>
      </c>
      <c r="K133" t="s">
        <v>3141</v>
      </c>
      <c r="L133" t="s">
        <v>2646</v>
      </c>
      <c r="M133" t="s">
        <v>3192</v>
      </c>
      <c r="N133" t="s">
        <v>3104</v>
      </c>
      <c r="O133" t="s">
        <v>3192</v>
      </c>
      <c r="P133" t="s">
        <v>3192</v>
      </c>
      <c r="Q133" t="s">
        <v>3118</v>
      </c>
    </row>
    <row r="134" spans="1:17">
      <c r="A134" t="s">
        <v>2636</v>
      </c>
      <c r="B134" t="s">
        <v>3340</v>
      </c>
      <c r="C134" t="s">
        <v>2635</v>
      </c>
      <c r="D134" t="s">
        <v>3125</v>
      </c>
      <c r="E134" t="s">
        <v>167</v>
      </c>
      <c r="F134" t="s">
        <v>168</v>
      </c>
      <c r="G134" t="s">
        <v>177</v>
      </c>
      <c r="H134" t="s">
        <v>219</v>
      </c>
      <c r="I134" t="s">
        <v>219</v>
      </c>
      <c r="J134" t="s">
        <v>199</v>
      </c>
      <c r="K134" t="s">
        <v>3244</v>
      </c>
      <c r="L134" t="s">
        <v>3181</v>
      </c>
      <c r="M134">
        <v>2.5</v>
      </c>
      <c r="N134" t="s">
        <v>3115</v>
      </c>
      <c r="O134">
        <v>10</v>
      </c>
      <c r="P134">
        <v>9</v>
      </c>
      <c r="Q134">
        <v>0</v>
      </c>
    </row>
    <row r="135" spans="1:17">
      <c r="A135" t="s">
        <v>2648</v>
      </c>
      <c r="B135" t="s">
        <v>3340</v>
      </c>
      <c r="C135" t="s">
        <v>2647</v>
      </c>
      <c r="D135" t="s">
        <v>3125</v>
      </c>
      <c r="E135" t="s">
        <v>167</v>
      </c>
      <c r="F135" t="s">
        <v>168</v>
      </c>
      <c r="G135" t="s">
        <v>177</v>
      </c>
      <c r="H135" t="s">
        <v>219</v>
      </c>
      <c r="I135" t="s">
        <v>219</v>
      </c>
      <c r="J135" t="s">
        <v>199</v>
      </c>
      <c r="K135" t="s">
        <v>3244</v>
      </c>
      <c r="L135" t="s">
        <v>3341</v>
      </c>
      <c r="M135">
        <v>2.5</v>
      </c>
      <c r="N135" t="s">
        <v>3115</v>
      </c>
      <c r="O135">
        <v>15</v>
      </c>
      <c r="P135">
        <v>14.5</v>
      </c>
      <c r="Q135">
        <v>0</v>
      </c>
    </row>
    <row r="136" spans="1:17">
      <c r="A136" t="s">
        <v>429</v>
      </c>
      <c r="B136" t="s">
        <v>1058</v>
      </c>
      <c r="C136" t="s">
        <v>430</v>
      </c>
      <c r="D136" t="s">
        <v>3101</v>
      </c>
      <c r="E136" t="s">
        <v>167</v>
      </c>
      <c r="F136" t="s">
        <v>168</v>
      </c>
      <c r="G136" t="s">
        <v>169</v>
      </c>
      <c r="H136" t="s">
        <v>3102</v>
      </c>
      <c r="I136" t="s">
        <v>171</v>
      </c>
      <c r="J136" t="s">
        <v>172</v>
      </c>
      <c r="K136" t="s">
        <v>185</v>
      </c>
      <c r="L136" t="s">
        <v>2646</v>
      </c>
      <c r="M136" t="s">
        <v>3342</v>
      </c>
      <c r="N136" t="s">
        <v>3104</v>
      </c>
      <c r="O136" t="s">
        <v>3342</v>
      </c>
      <c r="P136" t="s">
        <v>3343</v>
      </c>
      <c r="Q136" t="s">
        <v>3151</v>
      </c>
    </row>
    <row r="137" spans="1:17">
      <c r="A137" t="s">
        <v>431</v>
      </c>
      <c r="B137" t="s">
        <v>1058</v>
      </c>
      <c r="C137" t="s">
        <v>430</v>
      </c>
      <c r="D137" t="s">
        <v>3101</v>
      </c>
      <c r="E137" t="s">
        <v>167</v>
      </c>
      <c r="F137" t="s">
        <v>168</v>
      </c>
      <c r="G137" t="s">
        <v>169</v>
      </c>
      <c r="H137" t="s">
        <v>3102</v>
      </c>
      <c r="I137" t="s">
        <v>171</v>
      </c>
      <c r="J137" t="s">
        <v>172</v>
      </c>
      <c r="K137" t="s">
        <v>185</v>
      </c>
      <c r="L137" t="s">
        <v>3106</v>
      </c>
      <c r="M137" t="s">
        <v>3342</v>
      </c>
      <c r="N137" t="s">
        <v>3104</v>
      </c>
      <c r="O137" t="s">
        <v>3342</v>
      </c>
      <c r="P137" t="s">
        <v>3343</v>
      </c>
      <c r="Q137" t="s">
        <v>3151</v>
      </c>
    </row>
    <row r="138" spans="1:17">
      <c r="A138" t="s">
        <v>432</v>
      </c>
      <c r="B138" t="s">
        <v>1058</v>
      </c>
      <c r="C138" t="s">
        <v>430</v>
      </c>
      <c r="D138" t="s">
        <v>3101</v>
      </c>
      <c r="E138" t="s">
        <v>167</v>
      </c>
      <c r="F138" t="s">
        <v>168</v>
      </c>
      <c r="G138" t="s">
        <v>169</v>
      </c>
      <c r="H138" t="s">
        <v>3102</v>
      </c>
      <c r="I138" t="s">
        <v>171</v>
      </c>
      <c r="J138" t="s">
        <v>172</v>
      </c>
      <c r="K138" t="s">
        <v>185</v>
      </c>
      <c r="L138" t="s">
        <v>3111</v>
      </c>
      <c r="M138" t="s">
        <v>3342</v>
      </c>
      <c r="N138" t="s">
        <v>3104</v>
      </c>
      <c r="O138" t="s">
        <v>3342</v>
      </c>
      <c r="P138" t="s">
        <v>3343</v>
      </c>
      <c r="Q138" t="s">
        <v>3151</v>
      </c>
    </row>
    <row r="139" spans="1:17">
      <c r="A139" t="s">
        <v>433</v>
      </c>
      <c r="B139" t="s">
        <v>1058</v>
      </c>
      <c r="C139" t="s">
        <v>430</v>
      </c>
      <c r="D139" t="s">
        <v>3101</v>
      </c>
      <c r="E139" t="s">
        <v>167</v>
      </c>
      <c r="F139" t="s">
        <v>168</v>
      </c>
      <c r="G139" t="s">
        <v>169</v>
      </c>
      <c r="H139" t="s">
        <v>3102</v>
      </c>
      <c r="I139" t="s">
        <v>171</v>
      </c>
      <c r="J139" t="s">
        <v>172</v>
      </c>
      <c r="K139" t="s">
        <v>185</v>
      </c>
      <c r="L139" t="s">
        <v>3105</v>
      </c>
      <c r="M139" t="s">
        <v>3342</v>
      </c>
      <c r="N139" t="s">
        <v>3104</v>
      </c>
      <c r="O139" t="s">
        <v>3342</v>
      </c>
      <c r="P139" t="s">
        <v>3343</v>
      </c>
      <c r="Q139" t="s">
        <v>3151</v>
      </c>
    </row>
    <row r="140" spans="1:17">
      <c r="A140" t="s">
        <v>434</v>
      </c>
      <c r="B140" t="s">
        <v>1058</v>
      </c>
      <c r="C140" t="s">
        <v>435</v>
      </c>
      <c r="D140" t="s">
        <v>3101</v>
      </c>
      <c r="E140" t="s">
        <v>167</v>
      </c>
      <c r="F140" t="s">
        <v>168</v>
      </c>
      <c r="G140" t="s">
        <v>169</v>
      </c>
      <c r="H140" t="s">
        <v>3102</v>
      </c>
      <c r="I140" t="s">
        <v>171</v>
      </c>
      <c r="J140" t="s">
        <v>172</v>
      </c>
      <c r="K140" t="s">
        <v>185</v>
      </c>
      <c r="L140" t="s">
        <v>2646</v>
      </c>
      <c r="M140" t="s">
        <v>3344</v>
      </c>
      <c r="N140" t="s">
        <v>3104</v>
      </c>
      <c r="O140" t="s">
        <v>3344</v>
      </c>
      <c r="P140" t="s">
        <v>3297</v>
      </c>
      <c r="Q140" t="s">
        <v>3146</v>
      </c>
    </row>
    <row r="141" spans="1:17">
      <c r="A141" t="s">
        <v>436</v>
      </c>
      <c r="B141" t="s">
        <v>1058</v>
      </c>
      <c r="C141" t="s">
        <v>435</v>
      </c>
      <c r="D141" t="s">
        <v>3101</v>
      </c>
      <c r="E141" t="s">
        <v>167</v>
      </c>
      <c r="F141" t="s">
        <v>168</v>
      </c>
      <c r="G141" t="s">
        <v>169</v>
      </c>
      <c r="H141" t="s">
        <v>3102</v>
      </c>
      <c r="I141" t="s">
        <v>171</v>
      </c>
      <c r="J141" t="s">
        <v>172</v>
      </c>
      <c r="K141" t="s">
        <v>185</v>
      </c>
      <c r="L141" t="s">
        <v>3106</v>
      </c>
      <c r="M141" t="s">
        <v>3344</v>
      </c>
      <c r="N141" t="s">
        <v>3104</v>
      </c>
      <c r="O141" t="s">
        <v>3344</v>
      </c>
      <c r="P141" t="s">
        <v>3297</v>
      </c>
      <c r="Q141" t="s">
        <v>3146</v>
      </c>
    </row>
    <row r="142" spans="1:17">
      <c r="A142" t="s">
        <v>437</v>
      </c>
      <c r="B142" t="s">
        <v>1058</v>
      </c>
      <c r="C142" t="s">
        <v>435</v>
      </c>
      <c r="D142" t="s">
        <v>3101</v>
      </c>
      <c r="E142" t="s">
        <v>167</v>
      </c>
      <c r="F142" t="s">
        <v>168</v>
      </c>
      <c r="G142" t="s">
        <v>169</v>
      </c>
      <c r="H142" t="s">
        <v>3102</v>
      </c>
      <c r="I142" t="s">
        <v>171</v>
      </c>
      <c r="J142" t="s">
        <v>172</v>
      </c>
      <c r="K142" t="s">
        <v>185</v>
      </c>
      <c r="L142" t="s">
        <v>3111</v>
      </c>
      <c r="M142" t="s">
        <v>3344</v>
      </c>
      <c r="N142" t="s">
        <v>3104</v>
      </c>
      <c r="O142" t="s">
        <v>3344</v>
      </c>
      <c r="P142" t="s">
        <v>3297</v>
      </c>
      <c r="Q142" t="s">
        <v>3146</v>
      </c>
    </row>
    <row r="143" spans="1:17">
      <c r="A143" t="s">
        <v>549</v>
      </c>
      <c r="B143" t="s">
        <v>1058</v>
      </c>
      <c r="C143" t="s">
        <v>550</v>
      </c>
      <c r="D143" t="s">
        <v>3101</v>
      </c>
      <c r="E143" t="s">
        <v>167</v>
      </c>
      <c r="F143" t="s">
        <v>168</v>
      </c>
      <c r="G143" t="s">
        <v>169</v>
      </c>
      <c r="H143" t="s">
        <v>3102</v>
      </c>
      <c r="I143" t="s">
        <v>171</v>
      </c>
      <c r="J143" t="s">
        <v>172</v>
      </c>
      <c r="K143" t="s">
        <v>195</v>
      </c>
      <c r="L143" t="s">
        <v>2646</v>
      </c>
      <c r="M143" t="s">
        <v>2447</v>
      </c>
      <c r="N143" t="s">
        <v>3104</v>
      </c>
      <c r="O143" t="s">
        <v>2447</v>
      </c>
      <c r="P143" t="s">
        <v>3345</v>
      </c>
      <c r="Q143" t="s">
        <v>3146</v>
      </c>
    </row>
    <row r="144" spans="1:17">
      <c r="A144" t="s">
        <v>2606</v>
      </c>
      <c r="B144" t="s">
        <v>3346</v>
      </c>
      <c r="C144" t="s">
        <v>3347</v>
      </c>
      <c r="D144" t="s">
        <v>3125</v>
      </c>
      <c r="E144" t="s">
        <v>167</v>
      </c>
      <c r="F144" t="s">
        <v>168</v>
      </c>
      <c r="G144" t="s">
        <v>177</v>
      </c>
      <c r="H144" t="s">
        <v>3102</v>
      </c>
      <c r="I144" t="s">
        <v>3348</v>
      </c>
      <c r="J144" t="s">
        <v>172</v>
      </c>
      <c r="K144" t="s">
        <v>179</v>
      </c>
      <c r="L144" t="s">
        <v>3336</v>
      </c>
      <c r="M144" t="s">
        <v>3349</v>
      </c>
      <c r="N144" t="s">
        <v>3104</v>
      </c>
      <c r="O144" t="s">
        <v>3350</v>
      </c>
      <c r="P144" t="s">
        <v>3298</v>
      </c>
      <c r="Q144" t="s">
        <v>3118</v>
      </c>
    </row>
    <row r="145" spans="1:17">
      <c r="A145" t="s">
        <v>2404</v>
      </c>
      <c r="B145" t="s">
        <v>3346</v>
      </c>
      <c r="C145" t="s">
        <v>2403</v>
      </c>
      <c r="D145" t="s">
        <v>3158</v>
      </c>
      <c r="E145" t="s">
        <v>167</v>
      </c>
      <c r="F145" t="s">
        <v>168</v>
      </c>
      <c r="G145" t="s">
        <v>177</v>
      </c>
      <c r="H145" t="s">
        <v>3102</v>
      </c>
      <c r="I145" t="s">
        <v>3348</v>
      </c>
      <c r="J145" t="s">
        <v>172</v>
      </c>
      <c r="K145" t="s">
        <v>254</v>
      </c>
      <c r="L145" t="s">
        <v>3351</v>
      </c>
      <c r="M145" t="s">
        <v>3111</v>
      </c>
      <c r="N145" t="s">
        <v>3104</v>
      </c>
      <c r="O145" t="s">
        <v>3192</v>
      </c>
      <c r="P145" t="s">
        <v>3192</v>
      </c>
      <c r="Q145" t="s">
        <v>3118</v>
      </c>
    </row>
    <row r="146" spans="1:17">
      <c r="A146" t="s">
        <v>2401</v>
      </c>
      <c r="B146" t="s">
        <v>3346</v>
      </c>
      <c r="C146" t="s">
        <v>3352</v>
      </c>
      <c r="D146" t="s">
        <v>3158</v>
      </c>
      <c r="E146" t="s">
        <v>167</v>
      </c>
      <c r="F146" t="s">
        <v>168</v>
      </c>
      <c r="G146" t="s">
        <v>177</v>
      </c>
      <c r="H146" t="s">
        <v>3102</v>
      </c>
      <c r="I146" t="s">
        <v>257</v>
      </c>
      <c r="J146" t="s">
        <v>172</v>
      </c>
      <c r="K146" t="s">
        <v>179</v>
      </c>
      <c r="L146" t="s">
        <v>3353</v>
      </c>
      <c r="M146" t="s">
        <v>3354</v>
      </c>
      <c r="N146" t="s">
        <v>3104</v>
      </c>
      <c r="O146" t="s">
        <v>3146</v>
      </c>
      <c r="P146" t="s">
        <v>3146</v>
      </c>
      <c r="Q146" t="s">
        <v>3133</v>
      </c>
    </row>
    <row r="147" spans="1:17">
      <c r="A147" t="s">
        <v>2401</v>
      </c>
      <c r="B147" t="s">
        <v>3346</v>
      </c>
      <c r="C147" t="s">
        <v>3352</v>
      </c>
      <c r="D147" t="s">
        <v>3158</v>
      </c>
      <c r="E147" t="s">
        <v>167</v>
      </c>
      <c r="F147" t="s">
        <v>168</v>
      </c>
      <c r="G147" t="s">
        <v>177</v>
      </c>
      <c r="H147" t="s">
        <v>3102</v>
      </c>
      <c r="I147" t="s">
        <v>257</v>
      </c>
      <c r="J147" t="s">
        <v>172</v>
      </c>
      <c r="K147" t="s">
        <v>179</v>
      </c>
      <c r="L147" t="s">
        <v>3355</v>
      </c>
      <c r="M147" t="s">
        <v>3111</v>
      </c>
      <c r="N147" t="s">
        <v>3104</v>
      </c>
      <c r="O147" t="s">
        <v>805</v>
      </c>
      <c r="P147" t="s">
        <v>805</v>
      </c>
      <c r="Q147" t="s">
        <v>805</v>
      </c>
    </row>
    <row r="148" spans="1:17">
      <c r="A148" t="s">
        <v>2654</v>
      </c>
      <c r="B148" t="s">
        <v>3356</v>
      </c>
      <c r="C148" t="s">
        <v>3357</v>
      </c>
      <c r="D148" t="s">
        <v>3125</v>
      </c>
      <c r="E148" t="s">
        <v>167</v>
      </c>
      <c r="F148" t="s">
        <v>168</v>
      </c>
      <c r="G148" t="s">
        <v>177</v>
      </c>
      <c r="H148" t="s">
        <v>3102</v>
      </c>
      <c r="I148" t="s">
        <v>3348</v>
      </c>
      <c r="J148" t="s">
        <v>172</v>
      </c>
      <c r="K148" t="s">
        <v>254</v>
      </c>
      <c r="L148" t="s">
        <v>3335</v>
      </c>
      <c r="M148" t="s">
        <v>3358</v>
      </c>
      <c r="N148" t="s">
        <v>3115</v>
      </c>
      <c r="O148" t="s">
        <v>3359</v>
      </c>
      <c r="P148" t="s">
        <v>3261</v>
      </c>
      <c r="Q148" t="s">
        <v>3118</v>
      </c>
    </row>
    <row r="149" spans="1:17">
      <c r="A149" t="s">
        <v>669</v>
      </c>
      <c r="B149" t="s">
        <v>3356</v>
      </c>
      <c r="C149" t="s">
        <v>2659</v>
      </c>
      <c r="D149" t="s">
        <v>3125</v>
      </c>
      <c r="E149" t="s">
        <v>167</v>
      </c>
      <c r="F149" t="s">
        <v>168</v>
      </c>
      <c r="G149" t="s">
        <v>177</v>
      </c>
      <c r="H149" t="s">
        <v>3102</v>
      </c>
      <c r="I149" t="s">
        <v>3348</v>
      </c>
      <c r="J149" t="s">
        <v>172</v>
      </c>
      <c r="K149" t="s">
        <v>179</v>
      </c>
      <c r="L149" t="s">
        <v>3360</v>
      </c>
      <c r="M149" t="s">
        <v>2646</v>
      </c>
      <c r="N149" t="s">
        <v>3115</v>
      </c>
      <c r="O149" t="s">
        <v>3111</v>
      </c>
      <c r="P149" t="s">
        <v>3111</v>
      </c>
      <c r="Q149" t="s">
        <v>3118</v>
      </c>
    </row>
    <row r="150" spans="1:17">
      <c r="A150" t="s">
        <v>373</v>
      </c>
      <c r="B150" t="s">
        <v>3361</v>
      </c>
      <c r="C150" t="s">
        <v>374</v>
      </c>
      <c r="D150" t="s">
        <v>3158</v>
      </c>
      <c r="E150" t="s">
        <v>167</v>
      </c>
      <c r="F150" t="s">
        <v>168</v>
      </c>
      <c r="G150" t="s">
        <v>177</v>
      </c>
      <c r="H150" t="s">
        <v>3102</v>
      </c>
      <c r="I150" t="s">
        <v>3348</v>
      </c>
      <c r="J150" t="s">
        <v>172</v>
      </c>
      <c r="K150" t="s">
        <v>254</v>
      </c>
      <c r="L150" t="s">
        <v>3362</v>
      </c>
      <c r="M150" t="s">
        <v>3363</v>
      </c>
      <c r="N150" t="s">
        <v>3115</v>
      </c>
      <c r="O150" t="s">
        <v>3364</v>
      </c>
      <c r="P150" t="s">
        <v>3365</v>
      </c>
      <c r="Q150" t="s">
        <v>3118</v>
      </c>
    </row>
    <row r="151" spans="1:17">
      <c r="A151" t="s">
        <v>373</v>
      </c>
      <c r="B151" t="s">
        <v>3361</v>
      </c>
      <c r="C151" t="s">
        <v>374</v>
      </c>
      <c r="D151" t="s">
        <v>3158</v>
      </c>
      <c r="E151" t="s">
        <v>167</v>
      </c>
      <c r="F151" t="s">
        <v>168</v>
      </c>
      <c r="G151" t="s">
        <v>177</v>
      </c>
      <c r="H151" t="s">
        <v>3102</v>
      </c>
      <c r="I151" t="s">
        <v>3348</v>
      </c>
      <c r="J151" t="s">
        <v>172</v>
      </c>
      <c r="K151" t="s">
        <v>254</v>
      </c>
      <c r="L151" t="s">
        <v>3366</v>
      </c>
      <c r="M151" t="s">
        <v>3367</v>
      </c>
      <c r="N151" t="s">
        <v>3115</v>
      </c>
      <c r="O151" t="s">
        <v>805</v>
      </c>
      <c r="P151" t="s">
        <v>805</v>
      </c>
      <c r="Q151" t="s">
        <v>805</v>
      </c>
    </row>
    <row r="152" spans="1:17">
      <c r="A152" t="s">
        <v>805</v>
      </c>
      <c r="B152" t="s">
        <v>3368</v>
      </c>
      <c r="C152" t="s">
        <v>3369</v>
      </c>
      <c r="D152" t="s">
        <v>3101</v>
      </c>
      <c r="E152" t="s">
        <v>167</v>
      </c>
      <c r="F152" t="s">
        <v>313</v>
      </c>
      <c r="G152" t="s">
        <v>177</v>
      </c>
      <c r="H152" t="s">
        <v>3126</v>
      </c>
      <c r="I152" t="s">
        <v>3127</v>
      </c>
      <c r="J152" t="s">
        <v>172</v>
      </c>
      <c r="K152" t="s">
        <v>254</v>
      </c>
      <c r="L152" t="s">
        <v>3351</v>
      </c>
      <c r="M152" t="s">
        <v>3370</v>
      </c>
      <c r="N152" t="s">
        <v>3115</v>
      </c>
      <c r="O152" t="s">
        <v>3371</v>
      </c>
      <c r="P152" t="s">
        <v>3261</v>
      </c>
      <c r="Q152" t="s">
        <v>3133</v>
      </c>
    </row>
    <row r="153" spans="1:17">
      <c r="A153" t="s">
        <v>351</v>
      </c>
      <c r="B153" t="s">
        <v>3372</v>
      </c>
      <c r="C153" t="s">
        <v>3373</v>
      </c>
      <c r="D153" t="s">
        <v>3125</v>
      </c>
      <c r="E153" t="s">
        <v>167</v>
      </c>
      <c r="F153" t="s">
        <v>168</v>
      </c>
      <c r="G153" t="s">
        <v>177</v>
      </c>
      <c r="H153" t="s">
        <v>3126</v>
      </c>
      <c r="I153" t="s">
        <v>3127</v>
      </c>
      <c r="J153" t="s">
        <v>172</v>
      </c>
      <c r="K153" t="s">
        <v>254</v>
      </c>
      <c r="L153" t="s">
        <v>3181</v>
      </c>
      <c r="M153" t="s">
        <v>3374</v>
      </c>
      <c r="N153" t="s">
        <v>3115</v>
      </c>
      <c r="O153" t="s">
        <v>3375</v>
      </c>
      <c r="P153" t="s">
        <v>3259</v>
      </c>
      <c r="Q153" t="s">
        <v>3118</v>
      </c>
    </row>
    <row r="154" spans="1:17">
      <c r="A154" t="s">
        <v>381</v>
      </c>
      <c r="B154" t="s">
        <v>3372</v>
      </c>
      <c r="C154" t="s">
        <v>3376</v>
      </c>
      <c r="D154" t="s">
        <v>3125</v>
      </c>
      <c r="E154" t="s">
        <v>167</v>
      </c>
      <c r="F154" t="s">
        <v>168</v>
      </c>
      <c r="G154" t="s">
        <v>177</v>
      </c>
      <c r="H154" t="s">
        <v>3126</v>
      </c>
      <c r="I154" t="s">
        <v>3127</v>
      </c>
      <c r="J154" t="s">
        <v>172</v>
      </c>
      <c r="K154" t="s">
        <v>254</v>
      </c>
      <c r="L154" t="s">
        <v>2646</v>
      </c>
      <c r="M154" t="s">
        <v>3106</v>
      </c>
      <c r="N154" t="s">
        <v>3115</v>
      </c>
      <c r="O154" t="s">
        <v>3106</v>
      </c>
      <c r="P154" t="s">
        <v>3106</v>
      </c>
      <c r="Q154" t="s">
        <v>3118</v>
      </c>
    </row>
    <row r="155" spans="1:17">
      <c r="A155" t="s">
        <v>425</v>
      </c>
      <c r="B155" t="s">
        <v>3372</v>
      </c>
      <c r="C155" t="s">
        <v>426</v>
      </c>
      <c r="D155" t="s">
        <v>3125</v>
      </c>
      <c r="E155" t="s">
        <v>167</v>
      </c>
      <c r="F155" t="s">
        <v>168</v>
      </c>
      <c r="G155" t="s">
        <v>177</v>
      </c>
      <c r="H155" t="s">
        <v>3126</v>
      </c>
      <c r="I155" t="s">
        <v>3127</v>
      </c>
      <c r="J155" t="s">
        <v>172</v>
      </c>
      <c r="K155" t="s">
        <v>179</v>
      </c>
      <c r="L155" t="s">
        <v>3128</v>
      </c>
      <c r="M155" t="s">
        <v>3377</v>
      </c>
      <c r="N155" t="s">
        <v>3115</v>
      </c>
      <c r="O155" t="s">
        <v>3378</v>
      </c>
      <c r="P155" t="s">
        <v>3106</v>
      </c>
      <c r="Q155" t="s">
        <v>3133</v>
      </c>
    </row>
    <row r="156" spans="1:17">
      <c r="A156" t="s">
        <v>486</v>
      </c>
      <c r="B156" t="s">
        <v>3372</v>
      </c>
      <c r="C156" t="s">
        <v>3379</v>
      </c>
      <c r="D156" t="s">
        <v>3125</v>
      </c>
      <c r="E156" t="s">
        <v>167</v>
      </c>
      <c r="F156" t="s">
        <v>168</v>
      </c>
      <c r="G156" t="s">
        <v>177</v>
      </c>
      <c r="H156" t="s">
        <v>3126</v>
      </c>
      <c r="I156" t="s">
        <v>3127</v>
      </c>
      <c r="J156" t="s">
        <v>172</v>
      </c>
      <c r="K156" t="s">
        <v>179</v>
      </c>
      <c r="L156" t="s">
        <v>3380</v>
      </c>
      <c r="M156" t="s">
        <v>3377</v>
      </c>
      <c r="N156" t="s">
        <v>3115</v>
      </c>
      <c r="O156" t="s">
        <v>3381</v>
      </c>
      <c r="P156" t="s">
        <v>3259</v>
      </c>
      <c r="Q156" t="s">
        <v>3118</v>
      </c>
    </row>
    <row r="157" spans="1:17">
      <c r="A157" t="s">
        <v>488</v>
      </c>
      <c r="B157" t="s">
        <v>3372</v>
      </c>
      <c r="C157" t="s">
        <v>3379</v>
      </c>
      <c r="D157" t="s">
        <v>3125</v>
      </c>
      <c r="E157" t="s">
        <v>167</v>
      </c>
      <c r="F157" t="s">
        <v>168</v>
      </c>
      <c r="G157" t="s">
        <v>177</v>
      </c>
      <c r="H157" t="s">
        <v>3126</v>
      </c>
      <c r="I157" t="s">
        <v>3127</v>
      </c>
      <c r="J157" t="s">
        <v>172</v>
      </c>
      <c r="K157" t="s">
        <v>254</v>
      </c>
      <c r="L157" t="s">
        <v>3257</v>
      </c>
      <c r="M157" t="s">
        <v>3377</v>
      </c>
      <c r="N157" t="s">
        <v>3115</v>
      </c>
      <c r="O157" t="s">
        <v>3382</v>
      </c>
      <c r="P157" t="s">
        <v>3132</v>
      </c>
      <c r="Q157" t="s">
        <v>3118</v>
      </c>
    </row>
    <row r="158" spans="1:17">
      <c r="A158" t="s">
        <v>252</v>
      </c>
      <c r="B158" t="s">
        <v>3383</v>
      </c>
      <c r="C158" t="s">
        <v>2359</v>
      </c>
      <c r="D158" t="s">
        <v>3158</v>
      </c>
      <c r="E158" t="s">
        <v>167</v>
      </c>
      <c r="F158" t="s">
        <v>168</v>
      </c>
      <c r="G158" t="s">
        <v>177</v>
      </c>
      <c r="H158" t="s">
        <v>3126</v>
      </c>
      <c r="I158" t="s">
        <v>3127</v>
      </c>
      <c r="J158" t="s">
        <v>172</v>
      </c>
      <c r="K158" t="s">
        <v>254</v>
      </c>
      <c r="L158" t="s">
        <v>3128</v>
      </c>
      <c r="M158" t="s">
        <v>2646</v>
      </c>
      <c r="N158" t="s">
        <v>3115</v>
      </c>
      <c r="O158" t="s">
        <v>3106</v>
      </c>
      <c r="P158" t="s">
        <v>3106</v>
      </c>
      <c r="Q158" t="s">
        <v>2646</v>
      </c>
    </row>
    <row r="159" spans="1:17">
      <c r="A159" t="s">
        <v>353</v>
      </c>
      <c r="B159" t="s">
        <v>3383</v>
      </c>
      <c r="C159" t="s">
        <v>354</v>
      </c>
      <c r="D159" t="s">
        <v>3158</v>
      </c>
      <c r="E159" t="s">
        <v>167</v>
      </c>
      <c r="F159" t="s">
        <v>168</v>
      </c>
      <c r="G159" t="s">
        <v>177</v>
      </c>
      <c r="H159" t="s">
        <v>3126</v>
      </c>
      <c r="I159" t="s">
        <v>287</v>
      </c>
      <c r="J159" t="s">
        <v>172</v>
      </c>
      <c r="K159" t="s">
        <v>195</v>
      </c>
      <c r="L159" t="s">
        <v>2646</v>
      </c>
      <c r="M159" t="s">
        <v>3106</v>
      </c>
      <c r="N159" t="s">
        <v>3115</v>
      </c>
      <c r="O159" t="s">
        <v>3106</v>
      </c>
      <c r="P159" t="s">
        <v>3106</v>
      </c>
      <c r="Q159" t="s">
        <v>3118</v>
      </c>
    </row>
    <row r="160" spans="1:17">
      <c r="A160" t="s">
        <v>3005</v>
      </c>
      <c r="B160" t="s">
        <v>3384</v>
      </c>
      <c r="C160" t="s">
        <v>3385</v>
      </c>
      <c r="D160" t="s">
        <v>3214</v>
      </c>
      <c r="E160" t="s">
        <v>167</v>
      </c>
      <c r="F160" t="s">
        <v>168</v>
      </c>
      <c r="G160" t="s">
        <v>177</v>
      </c>
      <c r="H160" t="s">
        <v>3126</v>
      </c>
      <c r="I160" t="s">
        <v>3127</v>
      </c>
      <c r="J160" t="s">
        <v>172</v>
      </c>
      <c r="K160" t="s">
        <v>254</v>
      </c>
      <c r="L160" t="s">
        <v>3181</v>
      </c>
      <c r="M160" t="s">
        <v>3386</v>
      </c>
      <c r="N160" t="s">
        <v>3115</v>
      </c>
      <c r="O160" t="s">
        <v>3387</v>
      </c>
      <c r="P160" t="s">
        <v>3259</v>
      </c>
      <c r="Q160" t="s">
        <v>3118</v>
      </c>
    </row>
    <row r="161" spans="1:17">
      <c r="A161" t="s">
        <v>3009</v>
      </c>
      <c r="B161" t="s">
        <v>3384</v>
      </c>
      <c r="C161" t="s">
        <v>3388</v>
      </c>
      <c r="D161" t="s">
        <v>3214</v>
      </c>
      <c r="E161" t="s">
        <v>167</v>
      </c>
      <c r="F161" t="s">
        <v>168</v>
      </c>
      <c r="G161" t="s">
        <v>177</v>
      </c>
      <c r="H161" t="s">
        <v>3126</v>
      </c>
      <c r="I161" t="s">
        <v>3127</v>
      </c>
      <c r="J161" t="s">
        <v>172</v>
      </c>
      <c r="K161" t="s">
        <v>254</v>
      </c>
      <c r="L161" t="s">
        <v>3181</v>
      </c>
      <c r="M161" t="s">
        <v>3386</v>
      </c>
      <c r="N161" t="s">
        <v>3115</v>
      </c>
      <c r="O161" t="s">
        <v>3387</v>
      </c>
      <c r="P161" t="s">
        <v>3259</v>
      </c>
      <c r="Q161" t="s">
        <v>3118</v>
      </c>
    </row>
    <row r="162" spans="1:17">
      <c r="A162" t="s">
        <v>264</v>
      </c>
      <c r="B162" t="s">
        <v>3389</v>
      </c>
      <c r="C162" t="s">
        <v>265</v>
      </c>
      <c r="D162" t="s">
        <v>3101</v>
      </c>
      <c r="E162" t="s">
        <v>167</v>
      </c>
      <c r="F162" t="s">
        <v>168</v>
      </c>
      <c r="G162" t="s">
        <v>177</v>
      </c>
      <c r="H162" t="s">
        <v>3126</v>
      </c>
      <c r="I162" t="s">
        <v>3127</v>
      </c>
      <c r="J162" t="s">
        <v>172</v>
      </c>
      <c r="K162" t="s">
        <v>254</v>
      </c>
      <c r="L162" t="s">
        <v>3351</v>
      </c>
      <c r="M162" t="s">
        <v>2646</v>
      </c>
      <c r="N162" t="s">
        <v>3115</v>
      </c>
      <c r="O162" t="s">
        <v>3259</v>
      </c>
      <c r="P162" t="s">
        <v>3259</v>
      </c>
      <c r="Q162" t="s">
        <v>3118</v>
      </c>
    </row>
    <row r="163" spans="1:17">
      <c r="A163" t="s">
        <v>269</v>
      </c>
      <c r="B163" t="s">
        <v>3389</v>
      </c>
      <c r="C163" t="s">
        <v>3390</v>
      </c>
      <c r="D163" t="s">
        <v>3101</v>
      </c>
      <c r="E163" t="s">
        <v>167</v>
      </c>
      <c r="F163" t="s">
        <v>168</v>
      </c>
      <c r="G163" t="s">
        <v>177</v>
      </c>
      <c r="H163" t="s">
        <v>3126</v>
      </c>
      <c r="I163" t="s">
        <v>3127</v>
      </c>
      <c r="J163" t="s">
        <v>172</v>
      </c>
      <c r="K163" t="s">
        <v>254</v>
      </c>
      <c r="L163" t="s">
        <v>2646</v>
      </c>
      <c r="M163" t="s">
        <v>3377</v>
      </c>
      <c r="N163" t="s">
        <v>3115</v>
      </c>
      <c r="O163" t="s">
        <v>3391</v>
      </c>
      <c r="P163" t="s">
        <v>3111</v>
      </c>
      <c r="Q163" t="s">
        <v>3118</v>
      </c>
    </row>
    <row r="164" spans="1:17">
      <c r="A164" t="s">
        <v>269</v>
      </c>
      <c r="B164" t="s">
        <v>3389</v>
      </c>
      <c r="C164" t="s">
        <v>3390</v>
      </c>
      <c r="D164" t="s">
        <v>3101</v>
      </c>
      <c r="E164" t="s">
        <v>167</v>
      </c>
      <c r="F164" t="s">
        <v>168</v>
      </c>
      <c r="G164" t="s">
        <v>177</v>
      </c>
      <c r="H164" t="s">
        <v>3126</v>
      </c>
      <c r="I164" t="s">
        <v>3127</v>
      </c>
      <c r="J164" t="s">
        <v>172</v>
      </c>
      <c r="K164" t="s">
        <v>254</v>
      </c>
      <c r="L164" t="s">
        <v>3106</v>
      </c>
      <c r="M164" t="s">
        <v>3386</v>
      </c>
      <c r="N164" t="s">
        <v>3115</v>
      </c>
      <c r="O164" t="s">
        <v>805</v>
      </c>
      <c r="P164" t="s">
        <v>805</v>
      </c>
      <c r="Q164" t="s">
        <v>805</v>
      </c>
    </row>
    <row r="165" spans="1:17">
      <c r="A165" t="s">
        <v>269</v>
      </c>
      <c r="B165" t="s">
        <v>3389</v>
      </c>
      <c r="C165" t="s">
        <v>3390</v>
      </c>
      <c r="D165" t="s">
        <v>3101</v>
      </c>
      <c r="E165" t="s">
        <v>167</v>
      </c>
      <c r="F165" t="s">
        <v>168</v>
      </c>
      <c r="G165" t="s">
        <v>177</v>
      </c>
      <c r="H165" t="s">
        <v>3126</v>
      </c>
      <c r="I165" t="s">
        <v>3127</v>
      </c>
      <c r="J165" t="s">
        <v>172</v>
      </c>
      <c r="K165" t="s">
        <v>254</v>
      </c>
      <c r="L165" t="s">
        <v>3111</v>
      </c>
      <c r="M165" t="s">
        <v>3392</v>
      </c>
      <c r="N165" t="s">
        <v>3115</v>
      </c>
      <c r="O165" t="s">
        <v>805</v>
      </c>
      <c r="P165" t="s">
        <v>805</v>
      </c>
      <c r="Q165" t="s">
        <v>805</v>
      </c>
    </row>
    <row r="166" spans="1:17">
      <c r="A166" t="s">
        <v>314</v>
      </c>
      <c r="B166" t="s">
        <v>3389</v>
      </c>
      <c r="C166" t="s">
        <v>2828</v>
      </c>
      <c r="D166" t="s">
        <v>3101</v>
      </c>
      <c r="E166" t="s">
        <v>167</v>
      </c>
      <c r="F166" t="s">
        <v>168</v>
      </c>
      <c r="G166" t="s">
        <v>177</v>
      </c>
      <c r="H166" t="s">
        <v>3126</v>
      </c>
      <c r="I166" t="s">
        <v>3127</v>
      </c>
      <c r="J166" t="s">
        <v>172</v>
      </c>
      <c r="K166" t="s">
        <v>254</v>
      </c>
      <c r="L166" t="s">
        <v>3257</v>
      </c>
      <c r="M166" t="s">
        <v>2646</v>
      </c>
      <c r="N166" t="s">
        <v>3115</v>
      </c>
      <c r="O166" t="s">
        <v>2390</v>
      </c>
      <c r="P166" t="s">
        <v>2390</v>
      </c>
      <c r="Q166" t="s">
        <v>3118</v>
      </c>
    </row>
    <row r="167" spans="1:17">
      <c r="A167" t="s">
        <v>330</v>
      </c>
      <c r="B167" t="s">
        <v>3389</v>
      </c>
      <c r="C167" t="s">
        <v>331</v>
      </c>
      <c r="D167" t="s">
        <v>3101</v>
      </c>
      <c r="E167" t="s">
        <v>167</v>
      </c>
      <c r="F167" t="s">
        <v>168</v>
      </c>
      <c r="G167" t="s">
        <v>177</v>
      </c>
      <c r="H167" t="s">
        <v>3126</v>
      </c>
      <c r="I167" t="s">
        <v>3127</v>
      </c>
      <c r="J167" t="s">
        <v>172</v>
      </c>
      <c r="K167" t="s">
        <v>254</v>
      </c>
      <c r="L167" t="s">
        <v>2646</v>
      </c>
      <c r="M167" t="s">
        <v>2646</v>
      </c>
      <c r="N167" t="s">
        <v>3115</v>
      </c>
      <c r="O167" t="s">
        <v>2646</v>
      </c>
      <c r="P167" t="s">
        <v>2646</v>
      </c>
      <c r="Q167" t="s">
        <v>3118</v>
      </c>
    </row>
    <row r="168" spans="1:17">
      <c r="A168" t="s">
        <v>650</v>
      </c>
      <c r="B168" t="s">
        <v>3389</v>
      </c>
      <c r="C168" t="s">
        <v>651</v>
      </c>
      <c r="D168" t="s">
        <v>3101</v>
      </c>
      <c r="E168" t="s">
        <v>167</v>
      </c>
      <c r="F168" t="s">
        <v>168</v>
      </c>
      <c r="G168" t="s">
        <v>177</v>
      </c>
      <c r="H168" t="s">
        <v>3126</v>
      </c>
      <c r="I168" t="s">
        <v>3127</v>
      </c>
      <c r="J168" t="s">
        <v>172</v>
      </c>
      <c r="K168" t="s">
        <v>254</v>
      </c>
      <c r="L168" t="s">
        <v>3181</v>
      </c>
      <c r="M168" t="s">
        <v>3393</v>
      </c>
      <c r="N168" t="s">
        <v>3115</v>
      </c>
      <c r="O168" t="s">
        <v>3394</v>
      </c>
      <c r="P168" t="s">
        <v>3259</v>
      </c>
      <c r="Q168" t="s">
        <v>3118</v>
      </c>
    </row>
    <row r="169" spans="1:17">
      <c r="A169" t="s">
        <v>2379</v>
      </c>
      <c r="B169" t="s">
        <v>3395</v>
      </c>
      <c r="C169" t="s">
        <v>500</v>
      </c>
      <c r="D169" t="s">
        <v>3158</v>
      </c>
      <c r="E169" t="s">
        <v>167</v>
      </c>
      <c r="F169" t="s">
        <v>168</v>
      </c>
      <c r="G169" t="s">
        <v>177</v>
      </c>
      <c r="H169" t="s">
        <v>3102</v>
      </c>
      <c r="I169" t="s">
        <v>3348</v>
      </c>
      <c r="J169" t="s">
        <v>172</v>
      </c>
      <c r="K169" t="s">
        <v>254</v>
      </c>
      <c r="L169" t="s">
        <v>3335</v>
      </c>
      <c r="M169" t="s">
        <v>3396</v>
      </c>
      <c r="N169" t="s">
        <v>3104</v>
      </c>
      <c r="O169" t="s">
        <v>3397</v>
      </c>
      <c r="P169" t="s">
        <v>3398</v>
      </c>
      <c r="Q169" t="s">
        <v>3118</v>
      </c>
    </row>
    <row r="170" spans="1:17">
      <c r="A170" t="s">
        <v>2375</v>
      </c>
      <c r="B170" t="s">
        <v>3395</v>
      </c>
      <c r="C170" t="s">
        <v>3399</v>
      </c>
      <c r="D170" t="s">
        <v>3158</v>
      </c>
      <c r="E170" t="s">
        <v>167</v>
      </c>
      <c r="F170" t="s">
        <v>168</v>
      </c>
      <c r="G170" t="s">
        <v>177</v>
      </c>
      <c r="H170" t="s">
        <v>3102</v>
      </c>
      <c r="I170" t="s">
        <v>3348</v>
      </c>
      <c r="J170" t="s">
        <v>172</v>
      </c>
      <c r="K170" t="s">
        <v>254</v>
      </c>
      <c r="L170" t="s">
        <v>3351</v>
      </c>
      <c r="M170" t="s">
        <v>3396</v>
      </c>
      <c r="N170" t="s">
        <v>3104</v>
      </c>
      <c r="O170" t="s">
        <v>3400</v>
      </c>
      <c r="P170" t="s">
        <v>3192</v>
      </c>
      <c r="Q170" t="s">
        <v>3118</v>
      </c>
    </row>
    <row r="171" spans="1:17">
      <c r="A171" t="s">
        <v>499</v>
      </c>
      <c r="B171" t="s">
        <v>3395</v>
      </c>
      <c r="C171" t="s">
        <v>3401</v>
      </c>
      <c r="D171" t="s">
        <v>3158</v>
      </c>
      <c r="E171" t="s">
        <v>167</v>
      </c>
      <c r="F171" t="s">
        <v>168</v>
      </c>
      <c r="G171" t="s">
        <v>177</v>
      </c>
      <c r="H171" t="s">
        <v>3102</v>
      </c>
      <c r="I171" t="s">
        <v>3348</v>
      </c>
      <c r="J171" t="s">
        <v>172</v>
      </c>
      <c r="K171" t="s">
        <v>254</v>
      </c>
      <c r="L171" t="s">
        <v>3402</v>
      </c>
      <c r="M171" t="s">
        <v>3403</v>
      </c>
      <c r="N171" t="s">
        <v>3115</v>
      </c>
      <c r="O171" t="s">
        <v>3404</v>
      </c>
      <c r="P171" t="s">
        <v>3174</v>
      </c>
      <c r="Q171" t="s">
        <v>3118</v>
      </c>
    </row>
    <row r="172" spans="1:17">
      <c r="A172" t="s">
        <v>324</v>
      </c>
      <c r="B172" t="s">
        <v>1155</v>
      </c>
      <c r="C172" t="s">
        <v>325</v>
      </c>
      <c r="D172" t="s">
        <v>3101</v>
      </c>
      <c r="E172" t="s">
        <v>167</v>
      </c>
      <c r="F172" t="s">
        <v>168</v>
      </c>
      <c r="G172" t="s">
        <v>177</v>
      </c>
      <c r="H172" t="s">
        <v>198</v>
      </c>
      <c r="I172" t="s">
        <v>198</v>
      </c>
      <c r="J172" t="s">
        <v>199</v>
      </c>
      <c r="K172" t="s">
        <v>200</v>
      </c>
      <c r="L172" t="s">
        <v>3353</v>
      </c>
      <c r="M172" t="s">
        <v>3405</v>
      </c>
      <c r="N172" t="s">
        <v>3115</v>
      </c>
      <c r="O172" t="s">
        <v>3406</v>
      </c>
      <c r="P172" t="s">
        <v>3407</v>
      </c>
      <c r="Q172" t="s">
        <v>3118</v>
      </c>
    </row>
    <row r="173" spans="1:17">
      <c r="A173" t="s">
        <v>773</v>
      </c>
      <c r="B173" t="s">
        <v>1155</v>
      </c>
      <c r="C173" t="s">
        <v>2883</v>
      </c>
      <c r="D173" t="s">
        <v>3101</v>
      </c>
      <c r="E173" t="s">
        <v>167</v>
      </c>
      <c r="F173" t="s">
        <v>168</v>
      </c>
      <c r="G173" t="s">
        <v>177</v>
      </c>
      <c r="H173" t="s">
        <v>198</v>
      </c>
      <c r="I173" t="s">
        <v>198</v>
      </c>
      <c r="J173" t="s">
        <v>199</v>
      </c>
      <c r="K173" t="s">
        <v>200</v>
      </c>
      <c r="L173" t="s">
        <v>3408</v>
      </c>
      <c r="M173" t="s">
        <v>3409</v>
      </c>
      <c r="N173" t="s">
        <v>3115</v>
      </c>
      <c r="O173" t="s">
        <v>3175</v>
      </c>
      <c r="P173" t="s">
        <v>3175</v>
      </c>
      <c r="Q173" t="s">
        <v>3133</v>
      </c>
    </row>
    <row r="174" spans="1:17">
      <c r="A174" t="s">
        <v>2695</v>
      </c>
      <c r="B174" t="s">
        <v>843</v>
      </c>
      <c r="C174" t="s">
        <v>3410</v>
      </c>
      <c r="D174" t="s">
        <v>3101</v>
      </c>
      <c r="E174" t="s">
        <v>167</v>
      </c>
      <c r="F174" t="s">
        <v>168</v>
      </c>
      <c r="G174" t="s">
        <v>169</v>
      </c>
      <c r="H174" t="s">
        <v>3411</v>
      </c>
      <c r="I174" t="s">
        <v>3412</v>
      </c>
      <c r="J174" t="s">
        <v>3413</v>
      </c>
      <c r="K174" t="s">
        <v>3414</v>
      </c>
      <c r="L174" t="s">
        <v>3280</v>
      </c>
      <c r="M174" t="s">
        <v>3415</v>
      </c>
      <c r="N174" t="s">
        <v>3104</v>
      </c>
      <c r="O174">
        <v>30</v>
      </c>
      <c r="P174">
        <v>30</v>
      </c>
      <c r="Q174">
        <v>360</v>
      </c>
    </row>
    <row r="175" spans="1:17">
      <c r="A175" t="s">
        <v>2699</v>
      </c>
      <c r="B175" t="s">
        <v>843</v>
      </c>
      <c r="C175" t="s">
        <v>3410</v>
      </c>
      <c r="D175" t="s">
        <v>3101</v>
      </c>
      <c r="E175" t="s">
        <v>3236</v>
      </c>
      <c r="F175" t="s">
        <v>168</v>
      </c>
      <c r="G175" t="s">
        <v>169</v>
      </c>
      <c r="H175" t="s">
        <v>805</v>
      </c>
      <c r="I175" t="s">
        <v>805</v>
      </c>
      <c r="J175" t="s">
        <v>3413</v>
      </c>
      <c r="K175" t="s">
        <v>3414</v>
      </c>
      <c r="L175" t="s">
        <v>3280</v>
      </c>
      <c r="M175" t="s">
        <v>3415</v>
      </c>
      <c r="N175" t="s">
        <v>3104</v>
      </c>
      <c r="O175">
        <v>30</v>
      </c>
      <c r="P175">
        <v>30</v>
      </c>
      <c r="Q175">
        <v>360</v>
      </c>
    </row>
    <row r="176" spans="1:17">
      <c r="A176" t="s">
        <v>2722</v>
      </c>
      <c r="B176" t="s">
        <v>843</v>
      </c>
      <c r="C176" t="s">
        <v>3416</v>
      </c>
      <c r="D176" t="s">
        <v>3101</v>
      </c>
      <c r="E176" t="s">
        <v>167</v>
      </c>
      <c r="F176" t="s">
        <v>168</v>
      </c>
      <c r="G176" t="s">
        <v>169</v>
      </c>
      <c r="H176" t="s">
        <v>3411</v>
      </c>
      <c r="I176" t="s">
        <v>3412</v>
      </c>
      <c r="J176" t="s">
        <v>3413</v>
      </c>
      <c r="K176" t="s">
        <v>3414</v>
      </c>
      <c r="L176" t="s">
        <v>3417</v>
      </c>
      <c r="M176" t="s">
        <v>3418</v>
      </c>
      <c r="N176" t="s">
        <v>3104</v>
      </c>
      <c r="O176">
        <v>30.875</v>
      </c>
      <c r="P176">
        <v>25</v>
      </c>
      <c r="Q176">
        <v>200</v>
      </c>
    </row>
    <row r="177" spans="1:17">
      <c r="A177" t="s">
        <v>2726</v>
      </c>
      <c r="B177" t="s">
        <v>843</v>
      </c>
      <c r="C177" t="s">
        <v>3416</v>
      </c>
      <c r="D177" t="s">
        <v>3101</v>
      </c>
      <c r="E177" t="s">
        <v>3236</v>
      </c>
      <c r="F177" t="s">
        <v>168</v>
      </c>
      <c r="G177" t="s">
        <v>169</v>
      </c>
      <c r="H177" t="s">
        <v>805</v>
      </c>
      <c r="I177" t="s">
        <v>805</v>
      </c>
      <c r="J177" t="s">
        <v>3413</v>
      </c>
      <c r="K177" t="s">
        <v>3414</v>
      </c>
      <c r="L177" t="s">
        <v>3417</v>
      </c>
      <c r="M177" t="s">
        <v>3418</v>
      </c>
      <c r="N177" t="s">
        <v>3104</v>
      </c>
      <c r="O177">
        <v>30.875</v>
      </c>
      <c r="P177">
        <v>25</v>
      </c>
      <c r="Q177">
        <v>200</v>
      </c>
    </row>
    <row r="178" spans="1:17">
      <c r="A178" t="s">
        <v>524</v>
      </c>
      <c r="B178" t="s">
        <v>843</v>
      </c>
      <c r="C178" t="s">
        <v>525</v>
      </c>
      <c r="D178" t="s">
        <v>3101</v>
      </c>
      <c r="E178" t="s">
        <v>167</v>
      </c>
      <c r="F178" t="s">
        <v>168</v>
      </c>
      <c r="G178" t="s">
        <v>177</v>
      </c>
      <c r="H178" t="s">
        <v>3126</v>
      </c>
      <c r="I178" t="s">
        <v>3127</v>
      </c>
      <c r="J178" t="s">
        <v>172</v>
      </c>
      <c r="K178" t="s">
        <v>179</v>
      </c>
      <c r="L178" t="s">
        <v>2646</v>
      </c>
      <c r="M178" t="s">
        <v>3419</v>
      </c>
      <c r="N178" t="s">
        <v>3115</v>
      </c>
      <c r="O178" t="s">
        <v>2646</v>
      </c>
      <c r="P178" t="s">
        <v>2646</v>
      </c>
      <c r="Q178" t="s">
        <v>3133</v>
      </c>
    </row>
    <row r="179" spans="1:17">
      <c r="A179" t="s">
        <v>529</v>
      </c>
      <c r="B179" t="s">
        <v>843</v>
      </c>
      <c r="C179" t="s">
        <v>530</v>
      </c>
      <c r="D179" t="s">
        <v>3125</v>
      </c>
      <c r="E179" t="s">
        <v>167</v>
      </c>
      <c r="F179" t="s">
        <v>168</v>
      </c>
      <c r="G179" t="s">
        <v>169</v>
      </c>
      <c r="H179" t="s">
        <v>3102</v>
      </c>
      <c r="I179" t="s">
        <v>280</v>
      </c>
      <c r="J179" t="s">
        <v>172</v>
      </c>
      <c r="K179" t="s">
        <v>195</v>
      </c>
      <c r="L179" t="s">
        <v>2646</v>
      </c>
      <c r="M179" t="s">
        <v>3204</v>
      </c>
      <c r="N179" t="s">
        <v>3104</v>
      </c>
      <c r="O179" t="s">
        <v>3204</v>
      </c>
      <c r="P179" t="s">
        <v>3204</v>
      </c>
      <c r="Q179" t="s">
        <v>3159</v>
      </c>
    </row>
    <row r="180" spans="1:17">
      <c r="A180" t="s">
        <v>531</v>
      </c>
      <c r="B180" t="s">
        <v>843</v>
      </c>
      <c r="C180" t="s">
        <v>530</v>
      </c>
      <c r="D180" t="s">
        <v>3125</v>
      </c>
      <c r="E180" t="s">
        <v>167</v>
      </c>
      <c r="F180" t="s">
        <v>168</v>
      </c>
      <c r="G180" t="s">
        <v>169</v>
      </c>
      <c r="H180" t="s">
        <v>3102</v>
      </c>
      <c r="I180" t="s">
        <v>280</v>
      </c>
      <c r="J180" t="s">
        <v>172</v>
      </c>
      <c r="K180" t="s">
        <v>195</v>
      </c>
      <c r="L180" t="s">
        <v>3106</v>
      </c>
      <c r="M180" t="s">
        <v>3204</v>
      </c>
      <c r="N180" t="s">
        <v>3104</v>
      </c>
      <c r="O180" t="s">
        <v>3204</v>
      </c>
      <c r="P180" t="s">
        <v>3204</v>
      </c>
      <c r="Q180" t="s">
        <v>3159</v>
      </c>
    </row>
    <row r="181" spans="1:17">
      <c r="A181" t="s">
        <v>654</v>
      </c>
      <c r="B181" t="s">
        <v>843</v>
      </c>
      <c r="C181" t="s">
        <v>655</v>
      </c>
      <c r="D181" t="s">
        <v>3125</v>
      </c>
      <c r="E181" t="s">
        <v>167</v>
      </c>
      <c r="F181" t="s">
        <v>168</v>
      </c>
      <c r="G181" t="s">
        <v>169</v>
      </c>
      <c r="H181" t="s">
        <v>3102</v>
      </c>
      <c r="I181" t="s">
        <v>171</v>
      </c>
      <c r="J181" t="s">
        <v>172</v>
      </c>
      <c r="K181" t="s">
        <v>216</v>
      </c>
      <c r="L181" t="s">
        <v>2646</v>
      </c>
      <c r="M181" t="s">
        <v>3420</v>
      </c>
      <c r="N181" t="s">
        <v>3104</v>
      </c>
      <c r="O181" t="s">
        <v>3420</v>
      </c>
      <c r="P181" t="s">
        <v>3420</v>
      </c>
      <c r="Q181">
        <v>30</v>
      </c>
    </row>
    <row r="182" spans="1:17">
      <c r="A182" t="s">
        <v>729</v>
      </c>
      <c r="B182" t="s">
        <v>843</v>
      </c>
      <c r="C182" t="s">
        <v>730</v>
      </c>
      <c r="D182" t="s">
        <v>3125</v>
      </c>
      <c r="E182" t="s">
        <v>167</v>
      </c>
      <c r="F182" t="s">
        <v>168</v>
      </c>
      <c r="G182" t="s">
        <v>177</v>
      </c>
      <c r="H182" t="s">
        <v>3126</v>
      </c>
      <c r="I182" t="s">
        <v>3127</v>
      </c>
      <c r="J182" t="s">
        <v>172</v>
      </c>
      <c r="K182" t="s">
        <v>179</v>
      </c>
      <c r="L182" t="s">
        <v>3341</v>
      </c>
      <c r="M182" t="s">
        <v>3349</v>
      </c>
      <c r="N182" t="s">
        <v>3115</v>
      </c>
      <c r="O182" t="s">
        <v>3261</v>
      </c>
      <c r="P182" t="s">
        <v>3261</v>
      </c>
      <c r="Q182" t="s">
        <v>3133</v>
      </c>
    </row>
    <row r="183" spans="1:17">
      <c r="A183" t="s">
        <v>729</v>
      </c>
      <c r="B183" t="s">
        <v>843</v>
      </c>
      <c r="C183" t="s">
        <v>730</v>
      </c>
      <c r="D183" t="s">
        <v>3125</v>
      </c>
      <c r="E183" t="s">
        <v>167</v>
      </c>
      <c r="F183" t="s">
        <v>168</v>
      </c>
      <c r="G183" t="s">
        <v>177</v>
      </c>
      <c r="H183" t="s">
        <v>3126</v>
      </c>
      <c r="I183" t="s">
        <v>3127</v>
      </c>
      <c r="J183" t="s">
        <v>172</v>
      </c>
      <c r="K183" t="s">
        <v>179</v>
      </c>
      <c r="L183">
        <v>7</v>
      </c>
      <c r="M183" t="s">
        <v>3349</v>
      </c>
      <c r="N183" t="s">
        <v>3115</v>
      </c>
      <c r="O183" t="s">
        <v>805</v>
      </c>
      <c r="P183" t="s">
        <v>805</v>
      </c>
    </row>
    <row r="184" spans="1:17">
      <c r="A184" t="s">
        <v>768</v>
      </c>
      <c r="B184" t="s">
        <v>843</v>
      </c>
      <c r="C184" t="s">
        <v>769</v>
      </c>
      <c r="D184" t="s">
        <v>3101</v>
      </c>
      <c r="E184" t="s">
        <v>167</v>
      </c>
      <c r="F184" t="s">
        <v>168</v>
      </c>
      <c r="G184" t="s">
        <v>177</v>
      </c>
      <c r="H184" t="s">
        <v>3126</v>
      </c>
      <c r="I184" t="s">
        <v>3127</v>
      </c>
      <c r="J184" t="s">
        <v>172</v>
      </c>
      <c r="K184" t="s">
        <v>179</v>
      </c>
      <c r="L184" t="s">
        <v>2646</v>
      </c>
      <c r="M184" t="s">
        <v>2646</v>
      </c>
      <c r="N184" t="s">
        <v>3115</v>
      </c>
      <c r="O184" t="s">
        <v>2646</v>
      </c>
      <c r="P184" t="s">
        <v>2646</v>
      </c>
      <c r="Q184" t="s">
        <v>3133</v>
      </c>
    </row>
    <row r="185" spans="1:17">
      <c r="A185" t="s">
        <v>164</v>
      </c>
      <c r="B185" t="s">
        <v>1108</v>
      </c>
      <c r="C185" t="s">
        <v>165</v>
      </c>
      <c r="D185" t="s">
        <v>3214</v>
      </c>
      <c r="E185" t="s">
        <v>167</v>
      </c>
      <c r="F185" t="s">
        <v>168</v>
      </c>
      <c r="G185" t="s">
        <v>169</v>
      </c>
      <c r="H185" t="s">
        <v>3102</v>
      </c>
      <c r="I185" t="s">
        <v>3421</v>
      </c>
      <c r="J185" t="s">
        <v>172</v>
      </c>
      <c r="K185" t="s">
        <v>185</v>
      </c>
      <c r="L185" t="s">
        <v>3422</v>
      </c>
      <c r="M185" t="s">
        <v>3423</v>
      </c>
      <c r="N185" t="s">
        <v>3104</v>
      </c>
      <c r="O185" t="s">
        <v>3424</v>
      </c>
      <c r="P185" t="s">
        <v>2542</v>
      </c>
      <c r="Q185" t="s">
        <v>3425</v>
      </c>
    </row>
    <row r="186" spans="1:17">
      <c r="A186" t="s">
        <v>164</v>
      </c>
      <c r="B186" t="s">
        <v>1108</v>
      </c>
      <c r="C186" t="s">
        <v>165</v>
      </c>
      <c r="D186" t="s">
        <v>3214</v>
      </c>
      <c r="E186" t="s">
        <v>167</v>
      </c>
      <c r="F186" t="s">
        <v>168</v>
      </c>
      <c r="G186" t="s">
        <v>169</v>
      </c>
      <c r="H186" t="s">
        <v>3102</v>
      </c>
      <c r="I186" t="s">
        <v>3421</v>
      </c>
      <c r="J186" t="s">
        <v>172</v>
      </c>
      <c r="K186" t="s">
        <v>185</v>
      </c>
      <c r="L186" t="s">
        <v>3426</v>
      </c>
      <c r="M186" t="s">
        <v>3189</v>
      </c>
      <c r="N186" t="s">
        <v>3104</v>
      </c>
      <c r="O186" t="s">
        <v>805</v>
      </c>
      <c r="P186" t="s">
        <v>805</v>
      </c>
      <c r="Q186" t="s">
        <v>805</v>
      </c>
    </row>
    <row r="187" spans="1:17">
      <c r="A187" t="s">
        <v>164</v>
      </c>
      <c r="B187" t="s">
        <v>1108</v>
      </c>
      <c r="C187" t="s">
        <v>165</v>
      </c>
      <c r="D187" t="s">
        <v>3214</v>
      </c>
      <c r="E187" t="s">
        <v>167</v>
      </c>
      <c r="F187" t="s">
        <v>168</v>
      </c>
      <c r="G187" t="s">
        <v>169</v>
      </c>
      <c r="H187" t="s">
        <v>3102</v>
      </c>
      <c r="I187" t="s">
        <v>3421</v>
      </c>
      <c r="J187" t="s">
        <v>172</v>
      </c>
      <c r="K187" t="s">
        <v>185</v>
      </c>
      <c r="L187" t="s">
        <v>3427</v>
      </c>
      <c r="M187" t="s">
        <v>3150</v>
      </c>
      <c r="N187" t="s">
        <v>3104</v>
      </c>
      <c r="O187" t="s">
        <v>805</v>
      </c>
      <c r="P187" t="s">
        <v>805</v>
      </c>
      <c r="Q187" t="s">
        <v>805</v>
      </c>
    </row>
    <row r="188" spans="1:17">
      <c r="A188" t="s">
        <v>164</v>
      </c>
      <c r="B188" t="s">
        <v>1108</v>
      </c>
      <c r="C188" t="s">
        <v>165</v>
      </c>
      <c r="D188" t="s">
        <v>3214</v>
      </c>
      <c r="E188" t="s">
        <v>167</v>
      </c>
      <c r="F188" t="s">
        <v>168</v>
      </c>
      <c r="G188" t="s">
        <v>169</v>
      </c>
      <c r="H188" t="s">
        <v>3102</v>
      </c>
      <c r="I188" t="s">
        <v>3421</v>
      </c>
      <c r="J188" t="s">
        <v>172</v>
      </c>
      <c r="K188" t="s">
        <v>185</v>
      </c>
      <c r="L188" t="s">
        <v>3428</v>
      </c>
      <c r="M188" t="s">
        <v>3159</v>
      </c>
      <c r="N188" t="s">
        <v>3104</v>
      </c>
      <c r="O188" t="s">
        <v>805</v>
      </c>
      <c r="P188" t="s">
        <v>805</v>
      </c>
      <c r="Q188" t="s">
        <v>805</v>
      </c>
    </row>
    <row r="189" spans="1:17">
      <c r="A189" t="s">
        <v>164</v>
      </c>
      <c r="B189" t="s">
        <v>1108</v>
      </c>
      <c r="C189" t="s">
        <v>165</v>
      </c>
      <c r="D189" t="s">
        <v>3214</v>
      </c>
      <c r="E189" t="s">
        <v>167</v>
      </c>
      <c r="F189" t="s">
        <v>168</v>
      </c>
      <c r="G189" t="s">
        <v>169</v>
      </c>
      <c r="H189" t="s">
        <v>3102</v>
      </c>
      <c r="I189" t="s">
        <v>3421</v>
      </c>
      <c r="J189" t="s">
        <v>172</v>
      </c>
      <c r="K189" t="s">
        <v>185</v>
      </c>
      <c r="L189" t="s">
        <v>3429</v>
      </c>
      <c r="M189" t="s">
        <v>3430</v>
      </c>
      <c r="N189" t="s">
        <v>3104</v>
      </c>
      <c r="O189" t="s">
        <v>805</v>
      </c>
      <c r="P189" t="s">
        <v>805</v>
      </c>
      <c r="Q189" t="s">
        <v>805</v>
      </c>
    </row>
    <row r="190" spans="1:17">
      <c r="A190" t="s">
        <v>164</v>
      </c>
      <c r="B190" t="s">
        <v>1108</v>
      </c>
      <c r="C190" t="s">
        <v>165</v>
      </c>
      <c r="D190" t="s">
        <v>3214</v>
      </c>
      <c r="E190" t="s">
        <v>167</v>
      </c>
      <c r="F190" t="s">
        <v>168</v>
      </c>
      <c r="G190" t="s">
        <v>169</v>
      </c>
      <c r="H190" t="s">
        <v>3102</v>
      </c>
      <c r="I190" t="s">
        <v>3421</v>
      </c>
      <c r="J190" t="s">
        <v>172</v>
      </c>
      <c r="K190" t="s">
        <v>185</v>
      </c>
      <c r="L190" t="s">
        <v>3431</v>
      </c>
      <c r="M190" t="s">
        <v>3192</v>
      </c>
      <c r="N190" t="s">
        <v>3104</v>
      </c>
      <c r="O190" t="s">
        <v>805</v>
      </c>
      <c r="P190" t="s">
        <v>805</v>
      </c>
      <c r="Q190" t="s">
        <v>805</v>
      </c>
    </row>
    <row r="191" spans="1:17">
      <c r="A191" t="s">
        <v>164</v>
      </c>
      <c r="B191" t="s">
        <v>1108</v>
      </c>
      <c r="C191" t="s">
        <v>165</v>
      </c>
      <c r="D191" t="s">
        <v>3214</v>
      </c>
      <c r="E191" t="s">
        <v>167</v>
      </c>
      <c r="F191" t="s">
        <v>168</v>
      </c>
      <c r="G191" t="s">
        <v>169</v>
      </c>
      <c r="H191" t="s">
        <v>3102</v>
      </c>
      <c r="I191" t="s">
        <v>3421</v>
      </c>
      <c r="J191" t="s">
        <v>172</v>
      </c>
      <c r="K191" t="s">
        <v>185</v>
      </c>
      <c r="L191" t="s">
        <v>3432</v>
      </c>
      <c r="M191" t="s">
        <v>3433</v>
      </c>
      <c r="N191" t="s">
        <v>3104</v>
      </c>
      <c r="O191" t="s">
        <v>805</v>
      </c>
      <c r="P191" t="s">
        <v>805</v>
      </c>
      <c r="Q191" t="s">
        <v>805</v>
      </c>
    </row>
    <row r="192" spans="1:17">
      <c r="A192" t="s">
        <v>164</v>
      </c>
      <c r="B192" t="s">
        <v>1108</v>
      </c>
      <c r="C192" t="s">
        <v>165</v>
      </c>
      <c r="D192" t="s">
        <v>3214</v>
      </c>
      <c r="E192" t="s">
        <v>167</v>
      </c>
      <c r="F192" t="s">
        <v>168</v>
      </c>
      <c r="G192" t="s">
        <v>169</v>
      </c>
      <c r="H192" t="s">
        <v>3102</v>
      </c>
      <c r="I192" t="s">
        <v>3421</v>
      </c>
      <c r="J192" t="s">
        <v>172</v>
      </c>
      <c r="K192" t="s">
        <v>185</v>
      </c>
      <c r="L192" t="s">
        <v>3434</v>
      </c>
      <c r="M192" t="s">
        <v>3189</v>
      </c>
      <c r="N192" t="s">
        <v>3104</v>
      </c>
      <c r="O192" t="s">
        <v>805</v>
      </c>
      <c r="P192" t="s">
        <v>805</v>
      </c>
      <c r="Q192" t="s">
        <v>805</v>
      </c>
    </row>
    <row r="193" spans="1:17">
      <c r="A193" t="s">
        <v>164</v>
      </c>
      <c r="B193" t="s">
        <v>1108</v>
      </c>
      <c r="C193" t="s">
        <v>165</v>
      </c>
      <c r="D193" t="s">
        <v>3214</v>
      </c>
      <c r="E193" t="s">
        <v>167</v>
      </c>
      <c r="F193" t="s">
        <v>168</v>
      </c>
      <c r="G193" t="s">
        <v>169</v>
      </c>
      <c r="H193" t="s">
        <v>3102</v>
      </c>
      <c r="I193" t="s">
        <v>3421</v>
      </c>
      <c r="J193" t="s">
        <v>172</v>
      </c>
      <c r="K193" t="s">
        <v>185</v>
      </c>
      <c r="L193" t="s">
        <v>3435</v>
      </c>
      <c r="M193" t="s">
        <v>3436</v>
      </c>
      <c r="N193" t="s">
        <v>3104</v>
      </c>
      <c r="O193" t="s">
        <v>805</v>
      </c>
      <c r="P193" t="s">
        <v>805</v>
      </c>
      <c r="Q193" t="s">
        <v>805</v>
      </c>
    </row>
    <row r="194" spans="1:17">
      <c r="A194" t="s">
        <v>164</v>
      </c>
      <c r="B194" t="s">
        <v>1108</v>
      </c>
      <c r="C194" t="s">
        <v>165</v>
      </c>
      <c r="D194" t="s">
        <v>3214</v>
      </c>
      <c r="E194" t="s">
        <v>167</v>
      </c>
      <c r="F194" t="s">
        <v>168</v>
      </c>
      <c r="G194" t="s">
        <v>169</v>
      </c>
      <c r="H194" t="s">
        <v>3102</v>
      </c>
      <c r="I194" t="s">
        <v>3421</v>
      </c>
      <c r="J194" t="s">
        <v>172</v>
      </c>
      <c r="K194" t="s">
        <v>185</v>
      </c>
      <c r="L194" t="s">
        <v>3437</v>
      </c>
      <c r="M194" t="s">
        <v>3438</v>
      </c>
      <c r="N194" t="s">
        <v>3104</v>
      </c>
      <c r="O194" t="s">
        <v>805</v>
      </c>
      <c r="P194" t="s">
        <v>805</v>
      </c>
      <c r="Q194" t="s">
        <v>805</v>
      </c>
    </row>
    <row r="195" spans="1:17">
      <c r="A195" t="s">
        <v>164</v>
      </c>
      <c r="B195" t="s">
        <v>1108</v>
      </c>
      <c r="C195" t="s">
        <v>165</v>
      </c>
      <c r="D195" t="s">
        <v>3214</v>
      </c>
      <c r="E195" t="s">
        <v>167</v>
      </c>
      <c r="F195" t="s">
        <v>168</v>
      </c>
      <c r="G195" t="s">
        <v>169</v>
      </c>
      <c r="H195" t="s">
        <v>3102</v>
      </c>
      <c r="I195" t="s">
        <v>3421</v>
      </c>
      <c r="J195" t="s">
        <v>172</v>
      </c>
      <c r="K195" t="s">
        <v>185</v>
      </c>
      <c r="L195" t="s">
        <v>3439</v>
      </c>
      <c r="M195" t="s">
        <v>3440</v>
      </c>
      <c r="N195" t="s">
        <v>3104</v>
      </c>
      <c r="O195" t="s">
        <v>805</v>
      </c>
      <c r="P195" t="s">
        <v>805</v>
      </c>
      <c r="Q195" t="s">
        <v>805</v>
      </c>
    </row>
    <row r="196" spans="1:17">
      <c r="A196" t="s">
        <v>777</v>
      </c>
      <c r="B196" t="s">
        <v>1108</v>
      </c>
      <c r="C196" t="s">
        <v>3441</v>
      </c>
      <c r="D196" t="s">
        <v>3101</v>
      </c>
      <c r="E196" t="s">
        <v>167</v>
      </c>
      <c r="F196" t="s">
        <v>168</v>
      </c>
      <c r="G196" t="s">
        <v>169</v>
      </c>
      <c r="H196" t="s">
        <v>3102</v>
      </c>
      <c r="I196" t="s">
        <v>194</v>
      </c>
      <c r="J196" t="s">
        <v>172</v>
      </c>
      <c r="K196" t="s">
        <v>195</v>
      </c>
      <c r="L196" t="s">
        <v>2646</v>
      </c>
      <c r="M196" t="s">
        <v>3442</v>
      </c>
      <c r="N196" t="s">
        <v>3104</v>
      </c>
      <c r="O196" t="s">
        <v>3442</v>
      </c>
      <c r="P196" t="s">
        <v>3443</v>
      </c>
      <c r="Q196" t="s">
        <v>3444</v>
      </c>
    </row>
    <row r="197" spans="1:17">
      <c r="A197" t="s">
        <v>779</v>
      </c>
      <c r="B197" t="s">
        <v>1108</v>
      </c>
      <c r="C197" t="s">
        <v>3441</v>
      </c>
      <c r="D197" t="s">
        <v>3101</v>
      </c>
      <c r="E197" t="s">
        <v>167</v>
      </c>
      <c r="F197" t="s">
        <v>168</v>
      </c>
      <c r="G197" t="s">
        <v>169</v>
      </c>
      <c r="H197" t="s">
        <v>3102</v>
      </c>
      <c r="I197" t="s">
        <v>194</v>
      </c>
      <c r="J197" t="s">
        <v>172</v>
      </c>
      <c r="K197" t="s">
        <v>195</v>
      </c>
      <c r="L197" t="s">
        <v>3106</v>
      </c>
      <c r="M197" t="s">
        <v>3442</v>
      </c>
      <c r="N197" t="s">
        <v>3104</v>
      </c>
      <c r="O197" t="s">
        <v>3442</v>
      </c>
      <c r="P197" t="s">
        <v>3443</v>
      </c>
      <c r="Q197" t="s">
        <v>3444</v>
      </c>
    </row>
    <row r="198" spans="1:17">
      <c r="A198" t="s">
        <v>780</v>
      </c>
      <c r="B198" t="s">
        <v>1108</v>
      </c>
      <c r="C198" t="s">
        <v>3441</v>
      </c>
      <c r="D198" t="s">
        <v>3101</v>
      </c>
      <c r="E198" t="s">
        <v>167</v>
      </c>
      <c r="F198" t="s">
        <v>168</v>
      </c>
      <c r="G198" t="s">
        <v>169</v>
      </c>
      <c r="H198" t="s">
        <v>3102</v>
      </c>
      <c r="I198" t="s">
        <v>194</v>
      </c>
      <c r="J198" t="s">
        <v>172</v>
      </c>
      <c r="K198" t="s">
        <v>195</v>
      </c>
      <c r="L198" t="s">
        <v>3111</v>
      </c>
      <c r="M198" t="s">
        <v>3445</v>
      </c>
      <c r="N198" t="s">
        <v>3104</v>
      </c>
      <c r="O198" t="s">
        <v>3445</v>
      </c>
      <c r="P198" t="s">
        <v>3446</v>
      </c>
      <c r="Q198" t="s">
        <v>3447</v>
      </c>
    </row>
    <row r="199" spans="1:17">
      <c r="A199" t="s">
        <v>781</v>
      </c>
      <c r="B199" t="s">
        <v>1108</v>
      </c>
      <c r="C199" t="s">
        <v>3441</v>
      </c>
      <c r="D199" t="s">
        <v>3101</v>
      </c>
      <c r="E199" t="s">
        <v>167</v>
      </c>
      <c r="F199" t="s">
        <v>168</v>
      </c>
      <c r="G199" t="s">
        <v>169</v>
      </c>
      <c r="H199" t="s">
        <v>3102</v>
      </c>
      <c r="I199" t="s">
        <v>194</v>
      </c>
      <c r="J199" t="s">
        <v>172</v>
      </c>
      <c r="K199" t="s">
        <v>195</v>
      </c>
      <c r="L199" t="s">
        <v>3105</v>
      </c>
      <c r="M199" t="s">
        <v>3445</v>
      </c>
      <c r="N199" t="s">
        <v>3104</v>
      </c>
      <c r="O199" t="s">
        <v>3445</v>
      </c>
      <c r="P199" t="s">
        <v>3446</v>
      </c>
      <c r="Q199" t="s">
        <v>3447</v>
      </c>
    </row>
    <row r="200" spans="1:17">
      <c r="A200" t="s">
        <v>228</v>
      </c>
      <c r="B200" t="s">
        <v>3448</v>
      </c>
      <c r="C200" t="s">
        <v>229</v>
      </c>
      <c r="D200" t="s">
        <v>3101</v>
      </c>
      <c r="E200" t="s">
        <v>167</v>
      </c>
      <c r="F200" t="s">
        <v>168</v>
      </c>
      <c r="G200" t="s">
        <v>177</v>
      </c>
      <c r="H200" t="s">
        <v>3102</v>
      </c>
      <c r="I200" t="s">
        <v>171</v>
      </c>
      <c r="J200" t="s">
        <v>172</v>
      </c>
      <c r="K200" t="s">
        <v>179</v>
      </c>
      <c r="L200" t="s">
        <v>3128</v>
      </c>
      <c r="M200" t="s">
        <v>2646</v>
      </c>
      <c r="N200" t="s">
        <v>3115</v>
      </c>
      <c r="O200" t="s">
        <v>3111</v>
      </c>
      <c r="P200" t="s">
        <v>3111</v>
      </c>
      <c r="Q200" t="s">
        <v>2646</v>
      </c>
    </row>
    <row r="201" spans="1:17">
      <c r="A201" t="s">
        <v>228</v>
      </c>
      <c r="B201" t="s">
        <v>3448</v>
      </c>
      <c r="C201" t="s">
        <v>229</v>
      </c>
      <c r="D201" t="s">
        <v>3101</v>
      </c>
      <c r="E201" t="s">
        <v>167</v>
      </c>
      <c r="F201" t="s">
        <v>168</v>
      </c>
      <c r="G201" t="s">
        <v>177</v>
      </c>
      <c r="H201" t="s">
        <v>3102</v>
      </c>
      <c r="I201" t="s">
        <v>188</v>
      </c>
      <c r="J201" t="s">
        <v>172</v>
      </c>
      <c r="K201" t="s">
        <v>179</v>
      </c>
      <c r="L201" t="s">
        <v>3111</v>
      </c>
      <c r="M201" t="s">
        <v>2646</v>
      </c>
      <c r="N201" t="s">
        <v>3115</v>
      </c>
      <c r="O201" t="s">
        <v>805</v>
      </c>
      <c r="P201" t="s">
        <v>805</v>
      </c>
      <c r="Q201" t="s">
        <v>805</v>
      </c>
    </row>
    <row r="202" spans="1:17">
      <c r="A202" t="s">
        <v>547</v>
      </c>
      <c r="B202" t="s">
        <v>3448</v>
      </c>
      <c r="C202" t="s">
        <v>3449</v>
      </c>
      <c r="D202" t="s">
        <v>3125</v>
      </c>
      <c r="E202" t="s">
        <v>167</v>
      </c>
      <c r="F202" t="s">
        <v>168</v>
      </c>
      <c r="G202" t="s">
        <v>177</v>
      </c>
      <c r="H202" t="s">
        <v>3102</v>
      </c>
      <c r="I202" t="s">
        <v>188</v>
      </c>
      <c r="J202" t="s">
        <v>172</v>
      </c>
      <c r="K202" t="s">
        <v>179</v>
      </c>
      <c r="L202" t="s">
        <v>3113</v>
      </c>
      <c r="M202" t="s">
        <v>3450</v>
      </c>
      <c r="N202" t="s">
        <v>3115</v>
      </c>
      <c r="O202" t="s">
        <v>3451</v>
      </c>
      <c r="P202" t="s">
        <v>3106</v>
      </c>
      <c r="Q202" t="s">
        <v>3133</v>
      </c>
    </row>
    <row r="203" spans="1:17">
      <c r="A203" t="s">
        <v>665</v>
      </c>
      <c r="B203" t="s">
        <v>3448</v>
      </c>
      <c r="C203" t="s">
        <v>3452</v>
      </c>
      <c r="D203" t="s">
        <v>3214</v>
      </c>
      <c r="E203" t="s">
        <v>167</v>
      </c>
      <c r="F203" t="s">
        <v>168</v>
      </c>
      <c r="G203" t="s">
        <v>177</v>
      </c>
      <c r="H203" t="s">
        <v>3102</v>
      </c>
      <c r="I203" t="s">
        <v>188</v>
      </c>
      <c r="J203" t="s">
        <v>172</v>
      </c>
      <c r="K203" t="s">
        <v>179</v>
      </c>
      <c r="L203" t="s">
        <v>2646</v>
      </c>
      <c r="M203" t="s">
        <v>3129</v>
      </c>
      <c r="N203" t="s">
        <v>3104</v>
      </c>
      <c r="O203" t="s">
        <v>3129</v>
      </c>
      <c r="P203" t="s">
        <v>2646</v>
      </c>
      <c r="Q203" t="s">
        <v>3133</v>
      </c>
    </row>
    <row r="204" spans="1:17">
      <c r="A204" t="s">
        <v>733</v>
      </c>
      <c r="B204" t="s">
        <v>3448</v>
      </c>
      <c r="C204" t="s">
        <v>734</v>
      </c>
      <c r="D204" t="s">
        <v>3125</v>
      </c>
      <c r="E204" t="s">
        <v>167</v>
      </c>
      <c r="F204" t="s">
        <v>168</v>
      </c>
      <c r="G204" t="s">
        <v>177</v>
      </c>
      <c r="H204" t="s">
        <v>3102</v>
      </c>
      <c r="I204" t="s">
        <v>188</v>
      </c>
      <c r="J204" t="s">
        <v>172</v>
      </c>
      <c r="K204" t="s">
        <v>179</v>
      </c>
      <c r="L204" t="s">
        <v>2646</v>
      </c>
      <c r="M204" t="s">
        <v>3453</v>
      </c>
      <c r="N204" t="s">
        <v>3104</v>
      </c>
      <c r="O204">
        <v>1</v>
      </c>
      <c r="P204" t="s">
        <v>2646</v>
      </c>
      <c r="Q204" t="s">
        <v>3133</v>
      </c>
    </row>
    <row r="205" spans="1:17">
      <c r="A205" t="s">
        <v>733</v>
      </c>
      <c r="B205" t="s">
        <v>3448</v>
      </c>
      <c r="C205" t="s">
        <v>734</v>
      </c>
      <c r="D205" t="s">
        <v>3125</v>
      </c>
      <c r="E205" t="s">
        <v>167</v>
      </c>
      <c r="F205" t="s">
        <v>168</v>
      </c>
      <c r="G205" t="s">
        <v>177</v>
      </c>
      <c r="H205" t="s">
        <v>3102</v>
      </c>
      <c r="I205" t="s">
        <v>188</v>
      </c>
      <c r="J205" t="s">
        <v>172</v>
      </c>
      <c r="K205" t="s">
        <v>179</v>
      </c>
      <c r="L205" t="s">
        <v>3106</v>
      </c>
      <c r="M205" t="s">
        <v>3454</v>
      </c>
      <c r="N205" t="s">
        <v>3115</v>
      </c>
      <c r="O205" t="s">
        <v>805</v>
      </c>
      <c r="P205" t="s">
        <v>805</v>
      </c>
      <c r="Q205" t="s">
        <v>805</v>
      </c>
    </row>
    <row r="206" spans="1:17">
      <c r="A206" t="s">
        <v>731</v>
      </c>
      <c r="B206" t="s">
        <v>3448</v>
      </c>
      <c r="C206" t="s">
        <v>732</v>
      </c>
      <c r="D206" t="s">
        <v>3125</v>
      </c>
      <c r="E206" t="s">
        <v>167</v>
      </c>
      <c r="F206" t="s">
        <v>168</v>
      </c>
      <c r="G206" t="s">
        <v>177</v>
      </c>
      <c r="H206" t="s">
        <v>3102</v>
      </c>
      <c r="I206" t="s">
        <v>188</v>
      </c>
      <c r="J206" t="s">
        <v>172</v>
      </c>
      <c r="K206" t="s">
        <v>179</v>
      </c>
      <c r="L206" t="s">
        <v>2646</v>
      </c>
      <c r="M206" t="s">
        <v>2646</v>
      </c>
      <c r="N206" t="s">
        <v>3115</v>
      </c>
      <c r="O206" t="s">
        <v>2646</v>
      </c>
      <c r="P206" t="s">
        <v>2646</v>
      </c>
      <c r="Q206" t="s">
        <v>3133</v>
      </c>
    </row>
    <row r="207" spans="1:17">
      <c r="A207" t="s">
        <v>213</v>
      </c>
      <c r="B207" t="s">
        <v>1323</v>
      </c>
      <c r="C207" t="s">
        <v>214</v>
      </c>
      <c r="D207" t="s">
        <v>3158</v>
      </c>
      <c r="E207" t="s">
        <v>167</v>
      </c>
      <c r="F207" t="s">
        <v>168</v>
      </c>
      <c r="G207" t="s">
        <v>169</v>
      </c>
      <c r="H207" t="s">
        <v>3102</v>
      </c>
      <c r="I207" t="s">
        <v>171</v>
      </c>
      <c r="J207" t="s">
        <v>172</v>
      </c>
      <c r="K207" t="s">
        <v>216</v>
      </c>
      <c r="L207" t="s">
        <v>2646</v>
      </c>
      <c r="M207" t="s">
        <v>3455</v>
      </c>
      <c r="N207" t="s">
        <v>3104</v>
      </c>
      <c r="O207" t="s">
        <v>3455</v>
      </c>
      <c r="P207" t="s">
        <v>3455</v>
      </c>
      <c r="Q207" t="s">
        <v>3111</v>
      </c>
    </row>
    <row r="208" spans="1:17">
      <c r="A208" t="s">
        <v>2295</v>
      </c>
      <c r="B208" t="s">
        <v>3456</v>
      </c>
      <c r="C208" t="s">
        <v>2294</v>
      </c>
      <c r="D208" t="s">
        <v>3158</v>
      </c>
      <c r="E208" t="s">
        <v>167</v>
      </c>
      <c r="F208" t="s">
        <v>168</v>
      </c>
      <c r="G208" t="s">
        <v>197</v>
      </c>
      <c r="H208" t="s">
        <v>219</v>
      </c>
      <c r="I208" t="s">
        <v>219</v>
      </c>
      <c r="J208" t="s">
        <v>199</v>
      </c>
      <c r="K208" t="s">
        <v>3244</v>
      </c>
      <c r="L208" t="s">
        <v>3457</v>
      </c>
      <c r="M208">
        <v>1.35</v>
      </c>
      <c r="N208" t="s">
        <v>3104</v>
      </c>
      <c r="O208">
        <v>118</v>
      </c>
      <c r="P208">
        <v>100</v>
      </c>
      <c r="Q208">
        <v>20</v>
      </c>
    </row>
    <row r="209" spans="1:17">
      <c r="A209" t="s">
        <v>2303</v>
      </c>
      <c r="B209" t="s">
        <v>3456</v>
      </c>
      <c r="C209" t="s">
        <v>3458</v>
      </c>
      <c r="D209" t="s">
        <v>3158</v>
      </c>
      <c r="E209" t="s">
        <v>167</v>
      </c>
      <c r="F209" t="s">
        <v>168</v>
      </c>
      <c r="G209" t="s">
        <v>197</v>
      </c>
      <c r="H209" t="s">
        <v>198</v>
      </c>
      <c r="I209" t="s">
        <v>198</v>
      </c>
      <c r="J209" t="s">
        <v>199</v>
      </c>
      <c r="K209" t="s">
        <v>200</v>
      </c>
      <c r="L209" t="s">
        <v>3459</v>
      </c>
      <c r="M209">
        <v>3.45</v>
      </c>
      <c r="N209" t="s">
        <v>3115</v>
      </c>
      <c r="O209">
        <v>127.65</v>
      </c>
      <c r="P209">
        <v>126.05</v>
      </c>
      <c r="Q209">
        <v>159</v>
      </c>
    </row>
    <row r="210" spans="1:17">
      <c r="A210" t="s">
        <v>2303</v>
      </c>
      <c r="B210" t="s">
        <v>3456</v>
      </c>
      <c r="C210" t="s">
        <v>3458</v>
      </c>
      <c r="D210" t="s">
        <v>3158</v>
      </c>
      <c r="E210" t="s">
        <v>167</v>
      </c>
      <c r="F210" t="s">
        <v>168</v>
      </c>
      <c r="G210" t="s">
        <v>197</v>
      </c>
      <c r="H210" t="s">
        <v>198</v>
      </c>
      <c r="I210" t="s">
        <v>198</v>
      </c>
      <c r="J210" t="s">
        <v>199</v>
      </c>
      <c r="K210" t="s">
        <v>200</v>
      </c>
      <c r="L210" t="s">
        <v>3460</v>
      </c>
      <c r="M210">
        <v>3.3</v>
      </c>
      <c r="N210" t="s">
        <v>3115</v>
      </c>
      <c r="O210">
        <v>52.8</v>
      </c>
      <c r="P210">
        <v>52.15</v>
      </c>
      <c r="Q210">
        <v>159</v>
      </c>
    </row>
    <row r="211" spans="1:17">
      <c r="A211" t="s">
        <v>556</v>
      </c>
      <c r="B211" t="s">
        <v>1394</v>
      </c>
      <c r="C211" t="s">
        <v>557</v>
      </c>
      <c r="D211" t="s">
        <v>3158</v>
      </c>
      <c r="E211" t="s">
        <v>167</v>
      </c>
      <c r="F211" t="s">
        <v>168</v>
      </c>
      <c r="G211" t="s">
        <v>169</v>
      </c>
      <c r="H211" t="s">
        <v>3102</v>
      </c>
      <c r="I211" t="s">
        <v>171</v>
      </c>
      <c r="J211" t="s">
        <v>172</v>
      </c>
      <c r="K211" t="s">
        <v>185</v>
      </c>
      <c r="L211" t="s">
        <v>2646</v>
      </c>
      <c r="M211" t="s">
        <v>3461</v>
      </c>
      <c r="N211" t="s">
        <v>3104</v>
      </c>
      <c r="O211" t="s">
        <v>3461</v>
      </c>
      <c r="P211" t="s">
        <v>3260</v>
      </c>
      <c r="Q211" t="s">
        <v>3175</v>
      </c>
    </row>
    <row r="212" spans="1:17">
      <c r="A212" t="s">
        <v>558</v>
      </c>
      <c r="B212" t="s">
        <v>1394</v>
      </c>
      <c r="C212" t="s">
        <v>557</v>
      </c>
      <c r="D212" t="s">
        <v>3158</v>
      </c>
      <c r="E212" t="s">
        <v>167</v>
      </c>
      <c r="F212" t="s">
        <v>168</v>
      </c>
      <c r="G212" t="s">
        <v>169</v>
      </c>
      <c r="H212" t="s">
        <v>3102</v>
      </c>
      <c r="I212" t="s">
        <v>171</v>
      </c>
      <c r="J212" t="s">
        <v>172</v>
      </c>
      <c r="K212" t="s">
        <v>185</v>
      </c>
      <c r="L212" t="s">
        <v>3106</v>
      </c>
      <c r="M212" t="s">
        <v>3461</v>
      </c>
      <c r="N212" t="s">
        <v>3104</v>
      </c>
      <c r="O212" t="s">
        <v>3461</v>
      </c>
      <c r="P212" t="s">
        <v>3260</v>
      </c>
      <c r="Q212" t="s">
        <v>3175</v>
      </c>
    </row>
    <row r="213" spans="1:17">
      <c r="A213" t="s">
        <v>368</v>
      </c>
      <c r="B213" t="s">
        <v>1293</v>
      </c>
      <c r="C213" t="s">
        <v>369</v>
      </c>
      <c r="D213" t="s">
        <v>3125</v>
      </c>
      <c r="E213" t="s">
        <v>167</v>
      </c>
      <c r="F213" t="s">
        <v>168</v>
      </c>
      <c r="G213" t="s">
        <v>177</v>
      </c>
      <c r="H213" t="s">
        <v>3102</v>
      </c>
      <c r="I213" t="s">
        <v>188</v>
      </c>
      <c r="J213" t="s">
        <v>172</v>
      </c>
      <c r="K213" t="s">
        <v>185</v>
      </c>
      <c r="L213" t="s">
        <v>3128</v>
      </c>
      <c r="M213" t="s">
        <v>3159</v>
      </c>
      <c r="N213" t="s">
        <v>3115</v>
      </c>
      <c r="O213" t="s">
        <v>3207</v>
      </c>
      <c r="P213" t="s">
        <v>3207</v>
      </c>
      <c r="Q213" t="s">
        <v>3118</v>
      </c>
    </row>
    <row r="214" spans="1:17">
      <c r="A214" t="s">
        <v>2839</v>
      </c>
      <c r="B214" t="s">
        <v>3462</v>
      </c>
      <c r="C214" t="s">
        <v>2838</v>
      </c>
      <c r="D214" t="s">
        <v>3101</v>
      </c>
      <c r="E214" t="s">
        <v>167</v>
      </c>
      <c r="F214" t="s">
        <v>168</v>
      </c>
      <c r="G214" t="s">
        <v>197</v>
      </c>
      <c r="H214" t="s">
        <v>219</v>
      </c>
      <c r="I214" t="s">
        <v>219</v>
      </c>
      <c r="J214" t="s">
        <v>199</v>
      </c>
      <c r="K214" t="s">
        <v>3244</v>
      </c>
      <c r="L214" t="s">
        <v>3463</v>
      </c>
      <c r="M214">
        <v>2.5</v>
      </c>
      <c r="N214" t="s">
        <v>3104</v>
      </c>
      <c r="O214">
        <v>55</v>
      </c>
      <c r="P214">
        <v>50</v>
      </c>
      <c r="Q214">
        <v>1000</v>
      </c>
    </row>
    <row r="215" spans="1:17">
      <c r="A215" t="s">
        <v>2288</v>
      </c>
      <c r="B215" t="s">
        <v>3464</v>
      </c>
      <c r="C215" t="s">
        <v>3465</v>
      </c>
      <c r="D215" t="s">
        <v>3158</v>
      </c>
      <c r="E215" t="s">
        <v>167</v>
      </c>
      <c r="F215" t="s">
        <v>168</v>
      </c>
      <c r="G215" t="s">
        <v>197</v>
      </c>
      <c r="H215" t="s">
        <v>219</v>
      </c>
      <c r="I215" t="s">
        <v>219</v>
      </c>
      <c r="J215" t="s">
        <v>199</v>
      </c>
      <c r="K215" t="s">
        <v>3141</v>
      </c>
      <c r="L215" t="s">
        <v>3408</v>
      </c>
      <c r="M215">
        <v>2.3849999999999998</v>
      </c>
      <c r="N215" t="s">
        <v>3104</v>
      </c>
      <c r="O215" t="s">
        <v>3207</v>
      </c>
      <c r="P215">
        <v>47.7</v>
      </c>
      <c r="Q215">
        <v>10</v>
      </c>
    </row>
    <row r="216" spans="1:17">
      <c r="A216" t="s">
        <v>2903</v>
      </c>
      <c r="B216" t="s">
        <v>3466</v>
      </c>
      <c r="C216" t="s">
        <v>3467</v>
      </c>
      <c r="D216" t="s">
        <v>3214</v>
      </c>
      <c r="E216" t="s">
        <v>167</v>
      </c>
      <c r="F216" t="s">
        <v>168</v>
      </c>
      <c r="G216" t="s">
        <v>169</v>
      </c>
      <c r="H216" t="s">
        <v>3411</v>
      </c>
      <c r="I216" t="s">
        <v>3412</v>
      </c>
      <c r="J216" t="s">
        <v>3413</v>
      </c>
      <c r="K216" t="s">
        <v>3414</v>
      </c>
      <c r="L216" t="s">
        <v>3336</v>
      </c>
      <c r="M216">
        <v>2.5</v>
      </c>
      <c r="N216" t="s">
        <v>3104</v>
      </c>
      <c r="O216">
        <v>30</v>
      </c>
      <c r="P216">
        <v>30</v>
      </c>
      <c r="Q216">
        <v>360</v>
      </c>
    </row>
    <row r="217" spans="1:17">
      <c r="A217" t="s">
        <v>2907</v>
      </c>
      <c r="B217" t="s">
        <v>3466</v>
      </c>
      <c r="C217" t="s">
        <v>3467</v>
      </c>
      <c r="D217" t="s">
        <v>3214</v>
      </c>
      <c r="E217" t="s">
        <v>3236</v>
      </c>
      <c r="F217" t="s">
        <v>168</v>
      </c>
      <c r="G217" t="s">
        <v>169</v>
      </c>
      <c r="H217" t="s">
        <v>805</v>
      </c>
      <c r="I217" t="s">
        <v>805</v>
      </c>
      <c r="J217" t="s">
        <v>3413</v>
      </c>
      <c r="K217" t="s">
        <v>3414</v>
      </c>
      <c r="L217" t="s">
        <v>3336</v>
      </c>
      <c r="M217">
        <v>2.5</v>
      </c>
      <c r="N217" t="s">
        <v>3104</v>
      </c>
      <c r="O217">
        <v>30</v>
      </c>
      <c r="P217">
        <v>30</v>
      </c>
      <c r="Q217">
        <v>360</v>
      </c>
    </row>
    <row r="218" spans="1:17">
      <c r="A218" t="s">
        <v>2486</v>
      </c>
      <c r="B218" t="s">
        <v>3468</v>
      </c>
      <c r="C218" t="s">
        <v>2485</v>
      </c>
      <c r="D218" t="s">
        <v>3125</v>
      </c>
      <c r="E218" t="s">
        <v>167</v>
      </c>
      <c r="F218" t="s">
        <v>168</v>
      </c>
      <c r="G218" t="s">
        <v>177</v>
      </c>
      <c r="H218" t="s">
        <v>219</v>
      </c>
      <c r="I218" t="s">
        <v>219</v>
      </c>
      <c r="J218" t="s">
        <v>199</v>
      </c>
      <c r="K218" t="s">
        <v>3244</v>
      </c>
      <c r="L218" t="s">
        <v>3336</v>
      </c>
      <c r="M218" t="s">
        <v>3469</v>
      </c>
      <c r="N218" t="s">
        <v>3104</v>
      </c>
      <c r="O218" t="s">
        <v>3470</v>
      </c>
      <c r="P218" t="s">
        <v>3471</v>
      </c>
      <c r="Q218" t="s">
        <v>2646</v>
      </c>
    </row>
    <row r="219" spans="1:17">
      <c r="A219" t="s">
        <v>274</v>
      </c>
      <c r="B219" t="s">
        <v>1250</v>
      </c>
      <c r="C219" t="s">
        <v>3472</v>
      </c>
      <c r="D219" t="s">
        <v>3125</v>
      </c>
      <c r="E219" t="s">
        <v>167</v>
      </c>
      <c r="F219" t="s">
        <v>168</v>
      </c>
      <c r="G219" t="s">
        <v>177</v>
      </c>
      <c r="H219" t="s">
        <v>210</v>
      </c>
      <c r="I219" t="s">
        <v>211</v>
      </c>
      <c r="J219" t="s">
        <v>199</v>
      </c>
      <c r="K219" t="s">
        <v>212</v>
      </c>
      <c r="L219" t="s">
        <v>3473</v>
      </c>
      <c r="M219" t="s">
        <v>3474</v>
      </c>
      <c r="N219" t="s">
        <v>3115</v>
      </c>
      <c r="O219" t="s">
        <v>3471</v>
      </c>
      <c r="P219" t="s">
        <v>3475</v>
      </c>
      <c r="Q219" t="s">
        <v>3133</v>
      </c>
    </row>
    <row r="220" spans="1:17">
      <c r="A220" t="s">
        <v>274</v>
      </c>
      <c r="B220" t="s">
        <v>1250</v>
      </c>
      <c r="C220" t="s">
        <v>3472</v>
      </c>
      <c r="D220" t="s">
        <v>3125</v>
      </c>
      <c r="E220" t="s">
        <v>167</v>
      </c>
      <c r="F220" t="s">
        <v>168</v>
      </c>
      <c r="G220" t="s">
        <v>177</v>
      </c>
      <c r="H220" t="s">
        <v>210</v>
      </c>
      <c r="I220" t="s">
        <v>211</v>
      </c>
      <c r="J220" t="s">
        <v>199</v>
      </c>
      <c r="K220" t="s">
        <v>212</v>
      </c>
      <c r="L220" t="s">
        <v>3259</v>
      </c>
      <c r="M220" t="s">
        <v>3476</v>
      </c>
      <c r="N220" t="s">
        <v>3115</v>
      </c>
      <c r="O220" t="s">
        <v>805</v>
      </c>
      <c r="P220" t="s">
        <v>805</v>
      </c>
      <c r="Q220" t="s">
        <v>805</v>
      </c>
    </row>
    <row r="221" spans="1:17">
      <c r="A221" t="s">
        <v>407</v>
      </c>
      <c r="B221" t="s">
        <v>1250</v>
      </c>
      <c r="C221" t="s">
        <v>3477</v>
      </c>
      <c r="D221" t="s">
        <v>3125</v>
      </c>
      <c r="E221" t="s">
        <v>167</v>
      </c>
      <c r="F221" t="s">
        <v>168</v>
      </c>
      <c r="G221" t="s">
        <v>169</v>
      </c>
      <c r="H221" t="s">
        <v>210</v>
      </c>
      <c r="I221" t="s">
        <v>211</v>
      </c>
      <c r="J221" t="s">
        <v>199</v>
      </c>
      <c r="K221" t="s">
        <v>212</v>
      </c>
      <c r="L221" t="s">
        <v>3128</v>
      </c>
      <c r="M221" t="s">
        <v>3149</v>
      </c>
      <c r="N221" t="s">
        <v>3104</v>
      </c>
      <c r="O221" t="s">
        <v>3149</v>
      </c>
      <c r="P221" t="s">
        <v>3478</v>
      </c>
      <c r="Q221" t="s">
        <v>3110</v>
      </c>
    </row>
    <row r="222" spans="1:17">
      <c r="A222" t="s">
        <v>2852</v>
      </c>
      <c r="B222" t="s">
        <v>1250</v>
      </c>
      <c r="C222" t="s">
        <v>3479</v>
      </c>
      <c r="D222" t="s">
        <v>3101</v>
      </c>
      <c r="E222" t="s">
        <v>167</v>
      </c>
      <c r="F222" t="s">
        <v>168</v>
      </c>
      <c r="G222" t="s">
        <v>169</v>
      </c>
      <c r="H222" t="s">
        <v>210</v>
      </c>
      <c r="I222" t="s">
        <v>211</v>
      </c>
      <c r="J222" t="s">
        <v>199</v>
      </c>
      <c r="K222" t="s">
        <v>212</v>
      </c>
      <c r="L222" t="s">
        <v>3128</v>
      </c>
      <c r="M222" t="s">
        <v>3149</v>
      </c>
      <c r="N222" t="s">
        <v>3104</v>
      </c>
      <c r="O222" t="s">
        <v>3149</v>
      </c>
      <c r="P222" t="s">
        <v>3478</v>
      </c>
      <c r="Q222" t="s">
        <v>3110</v>
      </c>
    </row>
    <row r="223" spans="1:17">
      <c r="A223" t="s">
        <v>448</v>
      </c>
      <c r="B223" t="s">
        <v>1250</v>
      </c>
      <c r="C223" t="s">
        <v>3480</v>
      </c>
      <c r="D223" t="s">
        <v>3125</v>
      </c>
      <c r="E223" t="s">
        <v>167</v>
      </c>
      <c r="F223" t="s">
        <v>168</v>
      </c>
      <c r="G223" t="s">
        <v>177</v>
      </c>
      <c r="H223" t="s">
        <v>210</v>
      </c>
      <c r="I223" t="s">
        <v>211</v>
      </c>
      <c r="J223" t="s">
        <v>199</v>
      </c>
      <c r="K223" t="s">
        <v>212</v>
      </c>
      <c r="L223" t="s">
        <v>2646</v>
      </c>
      <c r="M223" t="s">
        <v>3117</v>
      </c>
      <c r="N223" t="s">
        <v>3115</v>
      </c>
      <c r="O223" t="s">
        <v>3117</v>
      </c>
      <c r="P223" t="s">
        <v>3288</v>
      </c>
      <c r="Q223" t="s">
        <v>3133</v>
      </c>
    </row>
    <row r="224" spans="1:17">
      <c r="A224" t="s">
        <v>392</v>
      </c>
      <c r="B224" t="s">
        <v>1231</v>
      </c>
      <c r="C224" t="s">
        <v>111</v>
      </c>
      <c r="D224" t="s">
        <v>3125</v>
      </c>
      <c r="E224" t="s">
        <v>167</v>
      </c>
      <c r="F224" t="s">
        <v>168</v>
      </c>
      <c r="G224" t="s">
        <v>197</v>
      </c>
      <c r="H224" t="s">
        <v>198</v>
      </c>
      <c r="I224" t="s">
        <v>198</v>
      </c>
      <c r="J224" t="s">
        <v>199</v>
      </c>
      <c r="K224" t="s">
        <v>200</v>
      </c>
      <c r="L224" t="s">
        <v>3249</v>
      </c>
      <c r="M224" t="s">
        <v>3409</v>
      </c>
      <c r="N224" t="s">
        <v>3115</v>
      </c>
      <c r="O224" t="s">
        <v>3481</v>
      </c>
      <c r="P224" t="s">
        <v>3103</v>
      </c>
      <c r="Q224" t="s">
        <v>3103</v>
      </c>
    </row>
    <row r="225" spans="1:17">
      <c r="A225" t="s">
        <v>2272</v>
      </c>
      <c r="B225" t="s">
        <v>3482</v>
      </c>
      <c r="C225" t="s">
        <v>2271</v>
      </c>
      <c r="D225" t="s">
        <v>3158</v>
      </c>
      <c r="E225" t="s">
        <v>167</v>
      </c>
      <c r="F225" t="s">
        <v>168</v>
      </c>
      <c r="G225" t="s">
        <v>197</v>
      </c>
      <c r="H225" t="s">
        <v>219</v>
      </c>
      <c r="I225" t="s">
        <v>219</v>
      </c>
      <c r="J225" t="s">
        <v>199</v>
      </c>
      <c r="K225" t="s">
        <v>3244</v>
      </c>
      <c r="L225">
        <v>44927</v>
      </c>
      <c r="M225" t="s">
        <v>3483</v>
      </c>
      <c r="N225" t="s">
        <v>3104</v>
      </c>
      <c r="O225">
        <v>57.5</v>
      </c>
      <c r="P225">
        <v>56</v>
      </c>
      <c r="Q225">
        <v>20</v>
      </c>
    </row>
    <row r="226" spans="1:17">
      <c r="A226" t="s">
        <v>2276</v>
      </c>
      <c r="B226" t="s">
        <v>3484</v>
      </c>
      <c r="C226" t="s">
        <v>2275</v>
      </c>
      <c r="D226" t="s">
        <v>3158</v>
      </c>
      <c r="E226" t="s">
        <v>167</v>
      </c>
      <c r="F226" t="s">
        <v>168</v>
      </c>
      <c r="G226" t="s">
        <v>197</v>
      </c>
      <c r="H226" t="s">
        <v>219</v>
      </c>
      <c r="I226" t="s">
        <v>219</v>
      </c>
      <c r="J226" t="s">
        <v>199</v>
      </c>
      <c r="K226" t="s">
        <v>3244</v>
      </c>
      <c r="L226" t="s">
        <v>3402</v>
      </c>
      <c r="M226" t="s">
        <v>3329</v>
      </c>
      <c r="N226" t="s">
        <v>3104</v>
      </c>
      <c r="O226">
        <v>57.75</v>
      </c>
      <c r="P226">
        <v>50</v>
      </c>
      <c r="Q226">
        <v>165</v>
      </c>
    </row>
    <row r="227" spans="1:17">
      <c r="A227" t="s">
        <v>2921</v>
      </c>
      <c r="B227" t="s">
        <v>3485</v>
      </c>
      <c r="C227" t="s">
        <v>3486</v>
      </c>
      <c r="D227" t="s">
        <v>3214</v>
      </c>
      <c r="E227" t="s">
        <v>167</v>
      </c>
      <c r="F227" t="s">
        <v>168</v>
      </c>
      <c r="G227" t="s">
        <v>169</v>
      </c>
      <c r="H227" t="s">
        <v>3411</v>
      </c>
      <c r="I227" t="s">
        <v>198</v>
      </c>
      <c r="J227" t="s">
        <v>3413</v>
      </c>
      <c r="K227" t="s">
        <v>3487</v>
      </c>
      <c r="L227" t="s">
        <v>3488</v>
      </c>
      <c r="M227" t="s">
        <v>3489</v>
      </c>
      <c r="N227" t="s">
        <v>3115</v>
      </c>
      <c r="O227" t="s">
        <v>3490</v>
      </c>
      <c r="P227" t="s">
        <v>3297</v>
      </c>
      <c r="Q227" t="s">
        <v>3228</v>
      </c>
    </row>
    <row r="228" spans="1:17">
      <c r="A228" t="s">
        <v>2925</v>
      </c>
      <c r="B228" t="s">
        <v>3485</v>
      </c>
      <c r="C228" t="s">
        <v>3486</v>
      </c>
      <c r="D228" t="s">
        <v>3214</v>
      </c>
      <c r="E228" t="s">
        <v>3236</v>
      </c>
      <c r="F228" t="s">
        <v>168</v>
      </c>
      <c r="G228" t="s">
        <v>169</v>
      </c>
      <c r="H228" t="s">
        <v>805</v>
      </c>
      <c r="I228" t="s">
        <v>805</v>
      </c>
      <c r="J228" t="s">
        <v>3413</v>
      </c>
      <c r="K228" t="s">
        <v>3414</v>
      </c>
      <c r="L228" t="s">
        <v>3488</v>
      </c>
      <c r="M228" t="s">
        <v>3491</v>
      </c>
      <c r="N228" t="s">
        <v>3115</v>
      </c>
      <c r="O228" t="s">
        <v>3492</v>
      </c>
      <c r="P228" t="s">
        <v>3493</v>
      </c>
      <c r="Q228" t="s">
        <v>3228</v>
      </c>
    </row>
    <row r="229" spans="1:17">
      <c r="A229" t="s">
        <v>2279</v>
      </c>
      <c r="B229" t="s">
        <v>3494</v>
      </c>
      <c r="C229" t="s">
        <v>2278</v>
      </c>
      <c r="D229" t="s">
        <v>3158</v>
      </c>
      <c r="E229" t="s">
        <v>167</v>
      </c>
      <c r="F229" t="s">
        <v>168</v>
      </c>
      <c r="G229" t="s">
        <v>177</v>
      </c>
      <c r="H229" t="s">
        <v>219</v>
      </c>
      <c r="I229" t="s">
        <v>219</v>
      </c>
      <c r="J229" t="s">
        <v>199</v>
      </c>
      <c r="K229" t="s">
        <v>3244</v>
      </c>
      <c r="L229" t="s">
        <v>3495</v>
      </c>
      <c r="M229" t="s">
        <v>3496</v>
      </c>
      <c r="N229" t="s">
        <v>3104</v>
      </c>
      <c r="O229" t="s">
        <v>3497</v>
      </c>
      <c r="P229" t="s">
        <v>3407</v>
      </c>
      <c r="Q229" t="s">
        <v>3140</v>
      </c>
    </row>
    <row r="230" spans="1:17">
      <c r="A230" t="s">
        <v>401</v>
      </c>
      <c r="B230" t="s">
        <v>3498</v>
      </c>
      <c r="C230" t="s">
        <v>402</v>
      </c>
      <c r="D230" t="s">
        <v>3214</v>
      </c>
      <c r="E230" t="s">
        <v>167</v>
      </c>
      <c r="F230" t="s">
        <v>168</v>
      </c>
      <c r="G230" t="s">
        <v>197</v>
      </c>
      <c r="H230" t="s">
        <v>198</v>
      </c>
      <c r="I230" t="s">
        <v>198</v>
      </c>
      <c r="J230" t="s">
        <v>199</v>
      </c>
      <c r="K230" t="s">
        <v>200</v>
      </c>
      <c r="L230" t="s">
        <v>3171</v>
      </c>
      <c r="M230" t="s">
        <v>3451</v>
      </c>
      <c r="N230" t="s">
        <v>3104</v>
      </c>
      <c r="O230" t="s">
        <v>3499</v>
      </c>
      <c r="P230" t="s">
        <v>3170</v>
      </c>
      <c r="Q230" t="s">
        <v>3207</v>
      </c>
    </row>
    <row r="231" spans="1:17">
      <c r="A231" t="s">
        <v>2915</v>
      </c>
      <c r="B231" t="s">
        <v>3500</v>
      </c>
      <c r="C231" t="s">
        <v>3501</v>
      </c>
      <c r="D231" t="s">
        <v>3214</v>
      </c>
      <c r="E231" t="s">
        <v>167</v>
      </c>
      <c r="F231" t="s">
        <v>168</v>
      </c>
      <c r="G231" t="s">
        <v>197</v>
      </c>
      <c r="H231" t="s">
        <v>198</v>
      </c>
      <c r="I231" t="s">
        <v>198</v>
      </c>
      <c r="J231" t="s">
        <v>199</v>
      </c>
      <c r="K231" t="s">
        <v>200</v>
      </c>
      <c r="L231" t="s">
        <v>3171</v>
      </c>
      <c r="M231" t="s">
        <v>3451</v>
      </c>
      <c r="N231" t="s">
        <v>3104</v>
      </c>
      <c r="O231" t="s">
        <v>3499</v>
      </c>
      <c r="P231" t="s">
        <v>3170</v>
      </c>
      <c r="Q231" t="s">
        <v>3207</v>
      </c>
    </row>
    <row r="232" spans="1:17">
      <c r="A232" t="s">
        <v>2918</v>
      </c>
      <c r="B232" t="s">
        <v>3502</v>
      </c>
      <c r="C232" t="s">
        <v>3503</v>
      </c>
      <c r="D232" t="s">
        <v>3214</v>
      </c>
      <c r="E232" t="s">
        <v>167</v>
      </c>
      <c r="F232" t="s">
        <v>168</v>
      </c>
      <c r="G232" t="s">
        <v>197</v>
      </c>
      <c r="H232" t="s">
        <v>198</v>
      </c>
      <c r="I232" t="s">
        <v>198</v>
      </c>
      <c r="J232" t="s">
        <v>199</v>
      </c>
      <c r="K232" t="s">
        <v>200</v>
      </c>
      <c r="L232" t="s">
        <v>3504</v>
      </c>
      <c r="M232" t="s">
        <v>3451</v>
      </c>
      <c r="N232" t="s">
        <v>3104</v>
      </c>
      <c r="O232" t="s">
        <v>3505</v>
      </c>
      <c r="P232" t="s">
        <v>3506</v>
      </c>
      <c r="Q232" t="s">
        <v>3207</v>
      </c>
    </row>
    <row r="233" spans="1:17">
      <c r="A233" t="s">
        <v>272</v>
      </c>
      <c r="B233" t="s">
        <v>3507</v>
      </c>
      <c r="C233" t="s">
        <v>3508</v>
      </c>
      <c r="D233" t="s">
        <v>3125</v>
      </c>
      <c r="E233" t="s">
        <v>167</v>
      </c>
      <c r="F233" t="s">
        <v>168</v>
      </c>
      <c r="G233" t="s">
        <v>177</v>
      </c>
      <c r="H233" t="s">
        <v>210</v>
      </c>
      <c r="I233" t="s">
        <v>211</v>
      </c>
      <c r="J233" t="s">
        <v>199</v>
      </c>
      <c r="K233" t="s">
        <v>212</v>
      </c>
      <c r="L233" t="s">
        <v>2646</v>
      </c>
      <c r="M233" t="s">
        <v>3129</v>
      </c>
      <c r="N233" t="s">
        <v>3104</v>
      </c>
      <c r="O233" t="s">
        <v>3509</v>
      </c>
      <c r="P233" t="s">
        <v>3117</v>
      </c>
      <c r="Q233" t="s">
        <v>3118</v>
      </c>
    </row>
    <row r="234" spans="1:17">
      <c r="A234" t="s">
        <v>272</v>
      </c>
      <c r="B234" t="s">
        <v>3507</v>
      </c>
      <c r="C234" t="s">
        <v>3508</v>
      </c>
      <c r="D234" t="s">
        <v>3125</v>
      </c>
      <c r="E234" t="s">
        <v>167</v>
      </c>
      <c r="F234" t="s">
        <v>168</v>
      </c>
      <c r="G234" t="s">
        <v>177</v>
      </c>
      <c r="H234" t="s">
        <v>210</v>
      </c>
      <c r="I234" t="s">
        <v>211</v>
      </c>
      <c r="J234" t="s">
        <v>199</v>
      </c>
      <c r="K234" t="s">
        <v>212</v>
      </c>
      <c r="L234" t="s">
        <v>3510</v>
      </c>
      <c r="M234" t="s">
        <v>3511</v>
      </c>
      <c r="N234" t="s">
        <v>3104</v>
      </c>
      <c r="O234" t="s">
        <v>805</v>
      </c>
      <c r="P234" t="s">
        <v>805</v>
      </c>
      <c r="Q234" t="s">
        <v>805</v>
      </c>
    </row>
    <row r="235" spans="1:17">
      <c r="A235" t="s">
        <v>272</v>
      </c>
      <c r="B235" t="s">
        <v>3507</v>
      </c>
      <c r="C235" t="s">
        <v>3508</v>
      </c>
      <c r="D235" t="s">
        <v>3125</v>
      </c>
      <c r="E235" t="s">
        <v>167</v>
      </c>
      <c r="F235" t="s">
        <v>168</v>
      </c>
      <c r="G235" t="s">
        <v>177</v>
      </c>
      <c r="H235" t="s">
        <v>210</v>
      </c>
      <c r="I235" t="s">
        <v>211</v>
      </c>
      <c r="J235" t="s">
        <v>199</v>
      </c>
      <c r="K235" t="s">
        <v>212</v>
      </c>
      <c r="L235" t="s">
        <v>3512</v>
      </c>
      <c r="M235" t="s">
        <v>2646</v>
      </c>
      <c r="N235" t="s">
        <v>3104</v>
      </c>
      <c r="O235" t="s">
        <v>805</v>
      </c>
      <c r="P235" t="s">
        <v>805</v>
      </c>
      <c r="Q235" t="s">
        <v>805</v>
      </c>
    </row>
    <row r="236" spans="1:17">
      <c r="A236" t="s">
        <v>272</v>
      </c>
      <c r="B236" t="s">
        <v>3507</v>
      </c>
      <c r="C236" t="s">
        <v>3508</v>
      </c>
      <c r="D236" t="s">
        <v>3125</v>
      </c>
      <c r="E236" t="s">
        <v>167</v>
      </c>
      <c r="F236" t="s">
        <v>168</v>
      </c>
      <c r="G236" t="s">
        <v>177</v>
      </c>
      <c r="H236" t="s">
        <v>210</v>
      </c>
      <c r="I236" t="s">
        <v>211</v>
      </c>
      <c r="J236" t="s">
        <v>199</v>
      </c>
      <c r="K236" t="s">
        <v>212</v>
      </c>
      <c r="L236" t="s">
        <v>3117</v>
      </c>
      <c r="M236" t="s">
        <v>3394</v>
      </c>
      <c r="N236" t="s">
        <v>3104</v>
      </c>
      <c r="O236" t="s">
        <v>805</v>
      </c>
      <c r="P236" t="s">
        <v>805</v>
      </c>
      <c r="Q236" t="s">
        <v>805</v>
      </c>
    </row>
    <row r="237" spans="1:17">
      <c r="A237" t="s">
        <v>764</v>
      </c>
      <c r="B237" t="s">
        <v>3507</v>
      </c>
      <c r="C237" t="s">
        <v>765</v>
      </c>
      <c r="D237" t="s">
        <v>3125</v>
      </c>
      <c r="E237" t="s">
        <v>167</v>
      </c>
      <c r="F237" t="s">
        <v>168</v>
      </c>
      <c r="G237" t="s">
        <v>177</v>
      </c>
      <c r="H237" t="s">
        <v>210</v>
      </c>
      <c r="I237" t="s">
        <v>211</v>
      </c>
      <c r="J237" t="s">
        <v>199</v>
      </c>
      <c r="K237" t="s">
        <v>212</v>
      </c>
      <c r="L237" t="s">
        <v>2646</v>
      </c>
      <c r="M237" t="s">
        <v>3146</v>
      </c>
      <c r="N237" t="s">
        <v>3115</v>
      </c>
      <c r="O237" t="s">
        <v>3146</v>
      </c>
      <c r="P237" t="s">
        <v>3146</v>
      </c>
      <c r="Q237" t="s">
        <v>3133</v>
      </c>
    </row>
    <row r="238" spans="1:17">
      <c r="A238" t="s">
        <v>766</v>
      </c>
      <c r="B238" t="s">
        <v>3507</v>
      </c>
      <c r="C238" t="s">
        <v>767</v>
      </c>
      <c r="D238" t="s">
        <v>3125</v>
      </c>
      <c r="E238" t="s">
        <v>167</v>
      </c>
      <c r="F238" t="s">
        <v>168</v>
      </c>
      <c r="G238" t="s">
        <v>177</v>
      </c>
      <c r="H238" t="s">
        <v>210</v>
      </c>
      <c r="I238" t="s">
        <v>211</v>
      </c>
      <c r="J238" t="s">
        <v>199</v>
      </c>
      <c r="K238" t="s">
        <v>212</v>
      </c>
      <c r="L238" t="s">
        <v>2646</v>
      </c>
      <c r="M238" t="s">
        <v>3105</v>
      </c>
      <c r="N238" t="s">
        <v>3115</v>
      </c>
      <c r="O238" t="s">
        <v>3105</v>
      </c>
      <c r="P238" t="s">
        <v>3105</v>
      </c>
      <c r="Q238" t="s">
        <v>3133</v>
      </c>
    </row>
    <row r="239" spans="1:17">
      <c r="A239" t="s">
        <v>225</v>
      </c>
      <c r="B239" t="s">
        <v>935</v>
      </c>
      <c r="C239" t="s">
        <v>226</v>
      </c>
      <c r="D239" t="s">
        <v>3107</v>
      </c>
      <c r="E239" t="s">
        <v>167</v>
      </c>
      <c r="F239" t="s">
        <v>168</v>
      </c>
      <c r="G239" t="s">
        <v>169</v>
      </c>
      <c r="H239" t="s">
        <v>210</v>
      </c>
      <c r="I239" t="s">
        <v>211</v>
      </c>
      <c r="J239" t="s">
        <v>199</v>
      </c>
      <c r="K239" t="s">
        <v>212</v>
      </c>
      <c r="L239" t="s">
        <v>2646</v>
      </c>
      <c r="M239" t="s">
        <v>3513</v>
      </c>
      <c r="N239" t="s">
        <v>3104</v>
      </c>
      <c r="O239" t="s">
        <v>3513</v>
      </c>
      <c r="P239" t="s">
        <v>3514</v>
      </c>
      <c r="Q239" t="s">
        <v>3515</v>
      </c>
    </row>
    <row r="240" spans="1:17">
      <c r="A240" t="s">
        <v>276</v>
      </c>
      <c r="B240" t="s">
        <v>935</v>
      </c>
      <c r="C240" t="s">
        <v>277</v>
      </c>
      <c r="D240" t="s">
        <v>3107</v>
      </c>
      <c r="E240" t="s">
        <v>167</v>
      </c>
      <c r="F240" t="s">
        <v>168</v>
      </c>
      <c r="G240" t="s">
        <v>177</v>
      </c>
      <c r="H240" t="s">
        <v>210</v>
      </c>
      <c r="I240" t="s">
        <v>211</v>
      </c>
      <c r="J240" t="s">
        <v>199</v>
      </c>
      <c r="K240" t="s">
        <v>212</v>
      </c>
      <c r="L240" t="s">
        <v>2646</v>
      </c>
      <c r="M240" t="s">
        <v>3516</v>
      </c>
      <c r="N240" t="s">
        <v>3115</v>
      </c>
      <c r="O240" t="s">
        <v>3516</v>
      </c>
      <c r="P240" t="s">
        <v>3192</v>
      </c>
      <c r="Q240" t="s">
        <v>3133</v>
      </c>
    </row>
    <row r="241" spans="1:17">
      <c r="A241" t="s">
        <v>467</v>
      </c>
      <c r="B241" t="s">
        <v>935</v>
      </c>
      <c r="C241" t="s">
        <v>468</v>
      </c>
      <c r="D241" t="s">
        <v>3107</v>
      </c>
      <c r="E241" t="s">
        <v>167</v>
      </c>
      <c r="F241" t="s">
        <v>168</v>
      </c>
      <c r="G241" t="s">
        <v>169</v>
      </c>
      <c r="H241" t="s">
        <v>210</v>
      </c>
      <c r="I241" t="s">
        <v>211</v>
      </c>
      <c r="J241" t="s">
        <v>199</v>
      </c>
      <c r="K241" t="s">
        <v>212</v>
      </c>
      <c r="L241" t="s">
        <v>3517</v>
      </c>
      <c r="M241" t="s">
        <v>3518</v>
      </c>
      <c r="N241" t="s">
        <v>3104</v>
      </c>
      <c r="O241" t="s">
        <v>3519</v>
      </c>
      <c r="P241" t="s">
        <v>3520</v>
      </c>
      <c r="Q241" t="s">
        <v>2311</v>
      </c>
    </row>
    <row r="242" spans="1:17">
      <c r="A242" t="s">
        <v>467</v>
      </c>
      <c r="B242" t="s">
        <v>935</v>
      </c>
      <c r="C242" t="s">
        <v>468</v>
      </c>
      <c r="D242" t="s">
        <v>3107</v>
      </c>
      <c r="E242" t="s">
        <v>167</v>
      </c>
      <c r="F242" t="s">
        <v>168</v>
      </c>
      <c r="G242" t="s">
        <v>169</v>
      </c>
      <c r="H242" t="s">
        <v>210</v>
      </c>
      <c r="I242" t="s">
        <v>211</v>
      </c>
      <c r="J242" t="s">
        <v>199</v>
      </c>
      <c r="K242" t="s">
        <v>212</v>
      </c>
      <c r="L242" t="s">
        <v>3521</v>
      </c>
      <c r="M242" t="s">
        <v>3522</v>
      </c>
      <c r="N242" t="s">
        <v>3104</v>
      </c>
      <c r="O242" t="s">
        <v>805</v>
      </c>
      <c r="P242" t="s">
        <v>805</v>
      </c>
      <c r="Q242" t="s">
        <v>805</v>
      </c>
    </row>
    <row r="243" spans="1:17">
      <c r="A243" t="s">
        <v>467</v>
      </c>
      <c r="B243" t="s">
        <v>935</v>
      </c>
      <c r="C243" t="s">
        <v>468</v>
      </c>
      <c r="D243" t="s">
        <v>3107</v>
      </c>
      <c r="E243" t="s">
        <v>167</v>
      </c>
      <c r="F243" t="s">
        <v>168</v>
      </c>
      <c r="G243" t="s">
        <v>169</v>
      </c>
      <c r="H243" t="s">
        <v>210</v>
      </c>
      <c r="I243" t="s">
        <v>211</v>
      </c>
      <c r="J243" t="s">
        <v>199</v>
      </c>
      <c r="K243" t="s">
        <v>212</v>
      </c>
      <c r="L243" t="s">
        <v>3523</v>
      </c>
      <c r="M243" t="s">
        <v>3524</v>
      </c>
      <c r="N243" t="s">
        <v>3104</v>
      </c>
      <c r="O243" t="s">
        <v>805</v>
      </c>
      <c r="P243" t="s">
        <v>805</v>
      </c>
      <c r="Q243" t="s">
        <v>805</v>
      </c>
    </row>
    <row r="244" spans="1:17">
      <c r="A244" t="s">
        <v>304</v>
      </c>
      <c r="B244" t="s">
        <v>935</v>
      </c>
      <c r="C244" t="s">
        <v>305</v>
      </c>
      <c r="D244" t="s">
        <v>3107</v>
      </c>
      <c r="E244" t="s">
        <v>167</v>
      </c>
      <c r="F244" t="s">
        <v>168</v>
      </c>
      <c r="G244" t="s">
        <v>169</v>
      </c>
      <c r="H244" t="s">
        <v>210</v>
      </c>
      <c r="I244" t="s">
        <v>211</v>
      </c>
      <c r="J244" t="s">
        <v>199</v>
      </c>
      <c r="K244" t="s">
        <v>212</v>
      </c>
      <c r="L244" t="s">
        <v>2646</v>
      </c>
      <c r="M244" t="s">
        <v>3525</v>
      </c>
      <c r="N244" t="s">
        <v>3104</v>
      </c>
      <c r="O244" t="s">
        <v>3525</v>
      </c>
      <c r="P244" t="s">
        <v>3297</v>
      </c>
      <c r="Q244" t="s">
        <v>3515</v>
      </c>
    </row>
    <row r="245" spans="1:17">
      <c r="A245" t="s">
        <v>320</v>
      </c>
      <c r="B245" t="s">
        <v>935</v>
      </c>
      <c r="C245" t="s">
        <v>321</v>
      </c>
      <c r="D245" t="s">
        <v>3107</v>
      </c>
      <c r="E245" t="s">
        <v>167</v>
      </c>
      <c r="F245" t="s">
        <v>168</v>
      </c>
      <c r="G245" t="s">
        <v>177</v>
      </c>
      <c r="H245" t="s">
        <v>210</v>
      </c>
      <c r="I245" t="s">
        <v>211</v>
      </c>
      <c r="J245" t="s">
        <v>199</v>
      </c>
      <c r="K245" t="s">
        <v>212</v>
      </c>
      <c r="L245" t="s">
        <v>2646</v>
      </c>
      <c r="M245">
        <v>19</v>
      </c>
      <c r="N245" t="s">
        <v>3115</v>
      </c>
      <c r="O245">
        <v>19</v>
      </c>
      <c r="P245">
        <v>22</v>
      </c>
      <c r="Q245" t="s">
        <v>3133</v>
      </c>
    </row>
    <row r="246" spans="1:17">
      <c r="A246" t="s">
        <v>345</v>
      </c>
      <c r="B246" t="s">
        <v>935</v>
      </c>
      <c r="C246" t="s">
        <v>346</v>
      </c>
      <c r="D246" t="s">
        <v>3107</v>
      </c>
      <c r="E246" t="s">
        <v>167</v>
      </c>
      <c r="F246" t="s">
        <v>168</v>
      </c>
      <c r="G246" t="s">
        <v>169</v>
      </c>
      <c r="H246" t="s">
        <v>210</v>
      </c>
      <c r="I246" t="s">
        <v>211</v>
      </c>
      <c r="J246" t="s">
        <v>199</v>
      </c>
      <c r="K246" t="s">
        <v>212</v>
      </c>
      <c r="L246" t="s">
        <v>2646</v>
      </c>
      <c r="M246" t="s">
        <v>3140</v>
      </c>
      <c r="N246" t="s">
        <v>3104</v>
      </c>
      <c r="O246" t="s">
        <v>3140</v>
      </c>
      <c r="P246" t="s">
        <v>3343</v>
      </c>
      <c r="Q246" t="s">
        <v>3515</v>
      </c>
    </row>
    <row r="247" spans="1:17">
      <c r="A247" t="s">
        <v>366</v>
      </c>
      <c r="B247" t="s">
        <v>935</v>
      </c>
      <c r="C247" t="s">
        <v>367</v>
      </c>
      <c r="D247" t="s">
        <v>3107</v>
      </c>
      <c r="E247" t="s">
        <v>167</v>
      </c>
      <c r="F247" t="s">
        <v>168</v>
      </c>
      <c r="G247" t="s">
        <v>169</v>
      </c>
      <c r="H247" t="s">
        <v>210</v>
      </c>
      <c r="I247" t="s">
        <v>211</v>
      </c>
      <c r="J247" t="s">
        <v>199</v>
      </c>
      <c r="K247" t="s">
        <v>212</v>
      </c>
      <c r="L247" t="s">
        <v>2646</v>
      </c>
      <c r="M247" t="s">
        <v>3526</v>
      </c>
      <c r="N247" t="s">
        <v>3104</v>
      </c>
      <c r="O247" t="s">
        <v>3526</v>
      </c>
      <c r="P247" t="s">
        <v>3284</v>
      </c>
      <c r="Q247" t="s">
        <v>3175</v>
      </c>
    </row>
    <row r="248" spans="1:17">
      <c r="A248" t="s">
        <v>379</v>
      </c>
      <c r="B248" t="s">
        <v>935</v>
      </c>
      <c r="C248" t="s">
        <v>380</v>
      </c>
      <c r="D248" t="s">
        <v>3107</v>
      </c>
      <c r="E248" t="s">
        <v>167</v>
      </c>
      <c r="F248" t="s">
        <v>168</v>
      </c>
      <c r="G248" t="s">
        <v>169</v>
      </c>
      <c r="H248" t="s">
        <v>210</v>
      </c>
      <c r="I248" t="s">
        <v>211</v>
      </c>
      <c r="J248" t="s">
        <v>199</v>
      </c>
      <c r="K248" t="s">
        <v>212</v>
      </c>
      <c r="L248" t="s">
        <v>3113</v>
      </c>
      <c r="M248" t="s">
        <v>3527</v>
      </c>
      <c r="N248" t="s">
        <v>3104</v>
      </c>
      <c r="O248" t="s">
        <v>3528</v>
      </c>
      <c r="P248" t="s">
        <v>3237</v>
      </c>
      <c r="Q248" t="s">
        <v>3529</v>
      </c>
    </row>
    <row r="249" spans="1:17">
      <c r="A249" t="s">
        <v>427</v>
      </c>
      <c r="B249" t="s">
        <v>935</v>
      </c>
      <c r="C249" t="s">
        <v>428</v>
      </c>
      <c r="D249" t="s">
        <v>3107</v>
      </c>
      <c r="E249" t="s">
        <v>167</v>
      </c>
      <c r="F249" t="s">
        <v>168</v>
      </c>
      <c r="G249" t="s">
        <v>169</v>
      </c>
      <c r="H249" t="s">
        <v>210</v>
      </c>
      <c r="I249" t="s">
        <v>211</v>
      </c>
      <c r="J249" t="s">
        <v>199</v>
      </c>
      <c r="K249" t="s">
        <v>212</v>
      </c>
      <c r="L249" t="s">
        <v>2646</v>
      </c>
      <c r="M249" t="s">
        <v>3527</v>
      </c>
      <c r="N249" t="s">
        <v>3104</v>
      </c>
      <c r="O249" t="s">
        <v>3527</v>
      </c>
      <c r="P249" t="s">
        <v>3527</v>
      </c>
      <c r="Q249" t="s">
        <v>3515</v>
      </c>
    </row>
    <row r="250" spans="1:17">
      <c r="A250" t="s">
        <v>469</v>
      </c>
      <c r="B250" t="s">
        <v>935</v>
      </c>
      <c r="C250" t="s">
        <v>470</v>
      </c>
      <c r="D250" t="s">
        <v>3107</v>
      </c>
      <c r="E250" t="s">
        <v>167</v>
      </c>
      <c r="F250" t="s">
        <v>168</v>
      </c>
      <c r="G250" t="s">
        <v>169</v>
      </c>
      <c r="H250" t="s">
        <v>210</v>
      </c>
      <c r="I250" t="s">
        <v>211</v>
      </c>
      <c r="J250" t="s">
        <v>199</v>
      </c>
      <c r="K250" t="s">
        <v>212</v>
      </c>
      <c r="L250" t="s">
        <v>2646</v>
      </c>
      <c r="M250" t="s">
        <v>3530</v>
      </c>
      <c r="N250" t="s">
        <v>3104</v>
      </c>
      <c r="O250" t="s">
        <v>3530</v>
      </c>
      <c r="P250" t="s">
        <v>3191</v>
      </c>
      <c r="Q250" t="s">
        <v>3192</v>
      </c>
    </row>
    <row r="251" spans="1:17">
      <c r="A251" t="s">
        <v>465</v>
      </c>
      <c r="B251" t="s">
        <v>935</v>
      </c>
      <c r="C251" t="s">
        <v>3531</v>
      </c>
      <c r="D251" t="s">
        <v>3107</v>
      </c>
      <c r="E251" t="s">
        <v>167</v>
      </c>
      <c r="F251" t="s">
        <v>168</v>
      </c>
      <c r="G251" t="s">
        <v>169</v>
      </c>
      <c r="H251" t="s">
        <v>210</v>
      </c>
      <c r="I251" t="s">
        <v>211</v>
      </c>
      <c r="J251" t="s">
        <v>199</v>
      </c>
      <c r="K251" t="s">
        <v>212</v>
      </c>
      <c r="L251" t="s">
        <v>3532</v>
      </c>
      <c r="M251" t="s">
        <v>3342</v>
      </c>
      <c r="N251" t="s">
        <v>3104</v>
      </c>
      <c r="O251" t="s">
        <v>3533</v>
      </c>
      <c r="P251" t="s">
        <v>3534</v>
      </c>
      <c r="Q251" t="s">
        <v>3159</v>
      </c>
    </row>
    <row r="252" spans="1:17">
      <c r="A252" t="s">
        <v>465</v>
      </c>
      <c r="B252" t="s">
        <v>935</v>
      </c>
      <c r="C252" t="s">
        <v>3531</v>
      </c>
      <c r="D252" t="s">
        <v>3107</v>
      </c>
      <c r="E252" t="s">
        <v>167</v>
      </c>
      <c r="F252" t="s">
        <v>168</v>
      </c>
      <c r="G252" t="s">
        <v>169</v>
      </c>
      <c r="H252" t="s">
        <v>210</v>
      </c>
      <c r="I252" t="s">
        <v>211</v>
      </c>
      <c r="J252" t="s">
        <v>199</v>
      </c>
      <c r="K252" t="s">
        <v>212</v>
      </c>
      <c r="L252" t="s">
        <v>3535</v>
      </c>
      <c r="M252" t="s">
        <v>3536</v>
      </c>
      <c r="N252" t="s">
        <v>3104</v>
      </c>
      <c r="O252" t="s">
        <v>805</v>
      </c>
      <c r="P252" t="s">
        <v>805</v>
      </c>
      <c r="Q252" t="s">
        <v>805</v>
      </c>
    </row>
    <row r="253" spans="1:17">
      <c r="A253" t="s">
        <v>497</v>
      </c>
      <c r="B253" t="s">
        <v>935</v>
      </c>
      <c r="C253" t="s">
        <v>498</v>
      </c>
      <c r="D253" t="s">
        <v>3107</v>
      </c>
      <c r="E253" t="s">
        <v>167</v>
      </c>
      <c r="F253" t="s">
        <v>168</v>
      </c>
      <c r="G253" t="s">
        <v>169</v>
      </c>
      <c r="H253" t="s">
        <v>210</v>
      </c>
      <c r="I253" t="s">
        <v>211</v>
      </c>
      <c r="J253" t="s">
        <v>199</v>
      </c>
      <c r="K253" t="s">
        <v>212</v>
      </c>
      <c r="L253" t="s">
        <v>2646</v>
      </c>
      <c r="M253" t="s">
        <v>3513</v>
      </c>
      <c r="N253" t="s">
        <v>3104</v>
      </c>
      <c r="O253" t="s">
        <v>3513</v>
      </c>
      <c r="P253" t="s">
        <v>3537</v>
      </c>
      <c r="Q253" t="s">
        <v>3515</v>
      </c>
    </row>
    <row r="254" spans="1:17">
      <c r="A254" t="s">
        <v>505</v>
      </c>
      <c r="B254" t="s">
        <v>935</v>
      </c>
      <c r="C254" t="s">
        <v>506</v>
      </c>
      <c r="D254" t="s">
        <v>3107</v>
      </c>
      <c r="E254" t="s">
        <v>167</v>
      </c>
      <c r="F254" t="s">
        <v>168</v>
      </c>
      <c r="G254" t="s">
        <v>169</v>
      </c>
      <c r="H254" t="s">
        <v>210</v>
      </c>
      <c r="I254" t="s">
        <v>211</v>
      </c>
      <c r="J254" t="s">
        <v>199</v>
      </c>
      <c r="K254" t="s">
        <v>212</v>
      </c>
      <c r="L254" t="s">
        <v>2646</v>
      </c>
      <c r="M254" t="s">
        <v>3515</v>
      </c>
      <c r="N254" t="s">
        <v>3104</v>
      </c>
      <c r="O254" t="s">
        <v>3515</v>
      </c>
      <c r="P254" t="s">
        <v>3425</v>
      </c>
      <c r="Q254" t="s">
        <v>3110</v>
      </c>
    </row>
    <row r="255" spans="1:17">
      <c r="A255" t="s">
        <v>543</v>
      </c>
      <c r="B255" t="s">
        <v>935</v>
      </c>
      <c r="C255" t="s">
        <v>544</v>
      </c>
      <c r="D255" t="s">
        <v>3107</v>
      </c>
      <c r="E255" t="s">
        <v>167</v>
      </c>
      <c r="F255" t="s">
        <v>168</v>
      </c>
      <c r="G255" t="s">
        <v>197</v>
      </c>
      <c r="H255" t="s">
        <v>198</v>
      </c>
      <c r="I255" t="s">
        <v>198</v>
      </c>
      <c r="J255" t="s">
        <v>199</v>
      </c>
      <c r="K255" t="s">
        <v>200</v>
      </c>
      <c r="L255" t="s">
        <v>3538</v>
      </c>
      <c r="M255" t="s">
        <v>3111</v>
      </c>
      <c r="N255" t="s">
        <v>3115</v>
      </c>
      <c r="O255" t="s">
        <v>3276</v>
      </c>
      <c r="P255" t="s">
        <v>3276</v>
      </c>
      <c r="Q255" t="s">
        <v>3276</v>
      </c>
    </row>
    <row r="256" spans="1:17">
      <c r="A256" t="s">
        <v>563</v>
      </c>
      <c r="B256" t="s">
        <v>935</v>
      </c>
      <c r="C256" t="s">
        <v>564</v>
      </c>
      <c r="D256" t="s">
        <v>3107</v>
      </c>
      <c r="E256" t="s">
        <v>167</v>
      </c>
      <c r="F256" t="s">
        <v>168</v>
      </c>
      <c r="G256" t="s">
        <v>177</v>
      </c>
      <c r="H256" t="s">
        <v>210</v>
      </c>
      <c r="I256" t="s">
        <v>211</v>
      </c>
      <c r="J256" t="s">
        <v>199</v>
      </c>
      <c r="K256" t="s">
        <v>212</v>
      </c>
      <c r="L256" t="s">
        <v>2646</v>
      </c>
      <c r="M256">
        <v>28</v>
      </c>
      <c r="N256" t="s">
        <v>3115</v>
      </c>
      <c r="O256">
        <v>28</v>
      </c>
      <c r="P256" t="s">
        <v>2248</v>
      </c>
      <c r="Q256" t="s">
        <v>3133</v>
      </c>
    </row>
    <row r="257" spans="1:17">
      <c r="A257" t="s">
        <v>571</v>
      </c>
      <c r="B257" t="s">
        <v>935</v>
      </c>
      <c r="C257" t="s">
        <v>572</v>
      </c>
      <c r="D257" t="s">
        <v>3107</v>
      </c>
      <c r="E257" t="s">
        <v>167</v>
      </c>
      <c r="F257" t="s">
        <v>168</v>
      </c>
      <c r="G257" t="s">
        <v>169</v>
      </c>
      <c r="H257" t="s">
        <v>210</v>
      </c>
      <c r="I257" t="s">
        <v>211</v>
      </c>
      <c r="J257" t="s">
        <v>199</v>
      </c>
      <c r="K257" t="s">
        <v>212</v>
      </c>
      <c r="L257" t="s">
        <v>3128</v>
      </c>
      <c r="M257" t="s">
        <v>3207</v>
      </c>
      <c r="N257" t="s">
        <v>3104</v>
      </c>
      <c r="O257">
        <v>100</v>
      </c>
      <c r="P257" t="s">
        <v>3539</v>
      </c>
      <c r="Q257" t="s">
        <v>3146</v>
      </c>
    </row>
    <row r="258" spans="1:17">
      <c r="A258" t="s">
        <v>573</v>
      </c>
      <c r="B258" t="s">
        <v>935</v>
      </c>
      <c r="C258" t="s">
        <v>572</v>
      </c>
      <c r="D258" t="s">
        <v>3107</v>
      </c>
      <c r="E258" t="s">
        <v>167</v>
      </c>
      <c r="F258" t="s">
        <v>168</v>
      </c>
      <c r="G258" t="s">
        <v>169</v>
      </c>
      <c r="H258" t="s">
        <v>210</v>
      </c>
      <c r="I258" t="s">
        <v>211</v>
      </c>
      <c r="J258" t="s">
        <v>199</v>
      </c>
      <c r="K258" t="s">
        <v>212</v>
      </c>
      <c r="L258" t="s">
        <v>3540</v>
      </c>
      <c r="M258" t="s">
        <v>3207</v>
      </c>
      <c r="N258" t="s">
        <v>3104</v>
      </c>
      <c r="O258" t="s">
        <v>3228</v>
      </c>
      <c r="P258" t="s">
        <v>3541</v>
      </c>
      <c r="Q258" t="s">
        <v>3515</v>
      </c>
    </row>
    <row r="259" spans="1:17">
      <c r="A259" t="s">
        <v>598</v>
      </c>
      <c r="B259" t="s">
        <v>935</v>
      </c>
      <c r="C259" t="s">
        <v>599</v>
      </c>
      <c r="D259" t="s">
        <v>3107</v>
      </c>
      <c r="E259" t="s">
        <v>167</v>
      </c>
      <c r="F259" t="s">
        <v>168</v>
      </c>
      <c r="G259" t="s">
        <v>169</v>
      </c>
      <c r="H259" t="s">
        <v>210</v>
      </c>
      <c r="I259" t="s">
        <v>211</v>
      </c>
      <c r="J259" t="s">
        <v>199</v>
      </c>
      <c r="K259" t="s">
        <v>212</v>
      </c>
      <c r="L259" t="s">
        <v>2646</v>
      </c>
      <c r="M259" t="s">
        <v>3542</v>
      </c>
      <c r="N259" t="s">
        <v>3104</v>
      </c>
      <c r="O259" t="s">
        <v>3542</v>
      </c>
      <c r="P259" t="s">
        <v>3543</v>
      </c>
      <c r="Q259" t="s">
        <v>3515</v>
      </c>
    </row>
    <row r="260" spans="1:17">
      <c r="A260" t="s">
        <v>600</v>
      </c>
      <c r="B260" t="s">
        <v>935</v>
      </c>
      <c r="C260" t="s">
        <v>599</v>
      </c>
      <c r="D260" t="s">
        <v>3107</v>
      </c>
      <c r="E260" t="s">
        <v>167</v>
      </c>
      <c r="F260" t="s">
        <v>168</v>
      </c>
      <c r="G260" t="s">
        <v>169</v>
      </c>
      <c r="H260" t="s">
        <v>210</v>
      </c>
      <c r="I260" t="s">
        <v>211</v>
      </c>
      <c r="J260" t="s">
        <v>199</v>
      </c>
      <c r="K260" t="s">
        <v>212</v>
      </c>
      <c r="L260" t="s">
        <v>3106</v>
      </c>
      <c r="M260" t="s">
        <v>3542</v>
      </c>
      <c r="N260" t="s">
        <v>3104</v>
      </c>
      <c r="O260" t="s">
        <v>3542</v>
      </c>
      <c r="P260" t="s">
        <v>3543</v>
      </c>
      <c r="Q260" t="s">
        <v>3515</v>
      </c>
    </row>
    <row r="261" spans="1:17">
      <c r="A261" t="s">
        <v>603</v>
      </c>
      <c r="B261" t="s">
        <v>935</v>
      </c>
      <c r="C261" t="s">
        <v>604</v>
      </c>
      <c r="D261" t="s">
        <v>3107</v>
      </c>
      <c r="E261" t="s">
        <v>167</v>
      </c>
      <c r="F261" t="s">
        <v>168</v>
      </c>
      <c r="G261" t="s">
        <v>177</v>
      </c>
      <c r="H261" t="s">
        <v>210</v>
      </c>
      <c r="I261" t="s">
        <v>211</v>
      </c>
      <c r="J261" t="s">
        <v>199</v>
      </c>
      <c r="K261" t="s">
        <v>212</v>
      </c>
      <c r="L261" t="s">
        <v>2646</v>
      </c>
      <c r="M261" t="s">
        <v>3475</v>
      </c>
      <c r="N261" t="s">
        <v>3115</v>
      </c>
      <c r="O261" t="s">
        <v>3475</v>
      </c>
      <c r="P261" t="s">
        <v>3149</v>
      </c>
      <c r="Q261" t="s">
        <v>3133</v>
      </c>
    </row>
    <row r="262" spans="1:17">
      <c r="A262" t="s">
        <v>610</v>
      </c>
      <c r="B262" t="s">
        <v>935</v>
      </c>
      <c r="C262" t="s">
        <v>611</v>
      </c>
      <c r="D262" t="s">
        <v>3107</v>
      </c>
      <c r="E262" t="s">
        <v>167</v>
      </c>
      <c r="F262" t="s">
        <v>168</v>
      </c>
      <c r="G262" t="s">
        <v>177</v>
      </c>
      <c r="H262" t="s">
        <v>210</v>
      </c>
      <c r="I262" t="s">
        <v>211</v>
      </c>
      <c r="J262" t="s">
        <v>199</v>
      </c>
      <c r="K262" t="s">
        <v>212</v>
      </c>
      <c r="L262" t="s">
        <v>2646</v>
      </c>
      <c r="M262" t="s">
        <v>3544</v>
      </c>
      <c r="N262" t="s">
        <v>3115</v>
      </c>
      <c r="O262" t="s">
        <v>3544</v>
      </c>
      <c r="P262" t="s">
        <v>2390</v>
      </c>
      <c r="Q262" t="s">
        <v>3133</v>
      </c>
    </row>
    <row r="263" spans="1:17">
      <c r="A263" t="s">
        <v>663</v>
      </c>
      <c r="B263" t="s">
        <v>935</v>
      </c>
      <c r="C263" t="s">
        <v>664</v>
      </c>
      <c r="D263" t="s">
        <v>3107</v>
      </c>
      <c r="E263" t="s">
        <v>167</v>
      </c>
      <c r="F263" t="s">
        <v>168</v>
      </c>
      <c r="G263" t="s">
        <v>169</v>
      </c>
      <c r="H263" t="s">
        <v>210</v>
      </c>
      <c r="I263" t="s">
        <v>211</v>
      </c>
      <c r="J263" t="s">
        <v>199</v>
      </c>
      <c r="K263" t="s">
        <v>212</v>
      </c>
      <c r="L263" t="s">
        <v>3341</v>
      </c>
      <c r="M263" t="s">
        <v>3192</v>
      </c>
      <c r="N263" t="s">
        <v>3104</v>
      </c>
      <c r="O263" t="s">
        <v>3163</v>
      </c>
      <c r="P263" t="s">
        <v>3545</v>
      </c>
      <c r="Q263" t="s">
        <v>3140</v>
      </c>
    </row>
    <row r="264" spans="1:17">
      <c r="A264" t="s">
        <v>692</v>
      </c>
      <c r="B264" t="s">
        <v>935</v>
      </c>
      <c r="C264" t="s">
        <v>693</v>
      </c>
      <c r="D264" t="s">
        <v>3107</v>
      </c>
      <c r="E264" t="s">
        <v>167</v>
      </c>
      <c r="F264" t="s">
        <v>168</v>
      </c>
      <c r="G264" t="s">
        <v>169</v>
      </c>
      <c r="H264" t="s">
        <v>210</v>
      </c>
      <c r="I264" t="s">
        <v>211</v>
      </c>
      <c r="J264" t="s">
        <v>199</v>
      </c>
      <c r="K264" t="s">
        <v>212</v>
      </c>
      <c r="L264" t="s">
        <v>3128</v>
      </c>
      <c r="M264" t="s">
        <v>3146</v>
      </c>
      <c r="N264" t="s">
        <v>3104</v>
      </c>
      <c r="O264" t="s">
        <v>3546</v>
      </c>
      <c r="P264" t="s">
        <v>3547</v>
      </c>
      <c r="Q264" t="s">
        <v>3140</v>
      </c>
    </row>
    <row r="265" spans="1:17">
      <c r="A265" t="s">
        <v>692</v>
      </c>
      <c r="B265" t="s">
        <v>935</v>
      </c>
      <c r="C265" t="s">
        <v>693</v>
      </c>
      <c r="D265" t="s">
        <v>3107</v>
      </c>
      <c r="E265" t="s">
        <v>167</v>
      </c>
      <c r="F265" t="s">
        <v>168</v>
      </c>
      <c r="G265" t="s">
        <v>169</v>
      </c>
      <c r="H265" t="s">
        <v>210</v>
      </c>
      <c r="I265" t="s">
        <v>211</v>
      </c>
      <c r="J265" t="s">
        <v>199</v>
      </c>
      <c r="K265" t="s">
        <v>212</v>
      </c>
      <c r="L265" t="s">
        <v>3473</v>
      </c>
      <c r="M265" t="s">
        <v>3548</v>
      </c>
      <c r="N265" t="s">
        <v>3104</v>
      </c>
      <c r="O265" t="s">
        <v>805</v>
      </c>
      <c r="P265" t="s">
        <v>805</v>
      </c>
      <c r="Q265" t="s">
        <v>805</v>
      </c>
    </row>
    <row r="266" spans="1:17">
      <c r="A266" t="s">
        <v>694</v>
      </c>
      <c r="B266" t="s">
        <v>935</v>
      </c>
      <c r="C266" t="s">
        <v>695</v>
      </c>
      <c r="D266" t="s">
        <v>3107</v>
      </c>
      <c r="E266" t="s">
        <v>167</v>
      </c>
      <c r="F266" t="s">
        <v>168</v>
      </c>
      <c r="G266" t="s">
        <v>169</v>
      </c>
      <c r="H266" t="s">
        <v>210</v>
      </c>
      <c r="I266" t="s">
        <v>211</v>
      </c>
      <c r="J266" t="s">
        <v>199</v>
      </c>
      <c r="K266" t="s">
        <v>212</v>
      </c>
      <c r="L266" t="s">
        <v>2646</v>
      </c>
      <c r="M266" t="s">
        <v>3549</v>
      </c>
      <c r="N266" t="s">
        <v>3104</v>
      </c>
      <c r="O266" t="s">
        <v>3549</v>
      </c>
      <c r="P266" t="s">
        <v>3550</v>
      </c>
      <c r="Q266" t="s">
        <v>3515</v>
      </c>
    </row>
    <row r="267" spans="1:17">
      <c r="A267" t="s">
        <v>697</v>
      </c>
      <c r="B267" t="s">
        <v>935</v>
      </c>
      <c r="C267" t="s">
        <v>698</v>
      </c>
      <c r="D267" t="s">
        <v>3107</v>
      </c>
      <c r="E267" t="s">
        <v>167</v>
      </c>
      <c r="F267" t="s">
        <v>168</v>
      </c>
      <c r="G267" t="s">
        <v>169</v>
      </c>
      <c r="H267" t="s">
        <v>210</v>
      </c>
      <c r="I267" t="s">
        <v>211</v>
      </c>
      <c r="J267" t="s">
        <v>199</v>
      </c>
      <c r="K267" t="s">
        <v>212</v>
      </c>
      <c r="L267" t="s">
        <v>3551</v>
      </c>
      <c r="M267" t="s">
        <v>3159</v>
      </c>
      <c r="N267" t="s">
        <v>3104</v>
      </c>
      <c r="O267" t="s">
        <v>3552</v>
      </c>
      <c r="P267" t="s">
        <v>3553</v>
      </c>
      <c r="Q267" t="s">
        <v>3554</v>
      </c>
    </row>
    <row r="268" spans="1:17">
      <c r="A268" t="s">
        <v>758</v>
      </c>
      <c r="B268" t="s">
        <v>935</v>
      </c>
      <c r="C268" t="s">
        <v>759</v>
      </c>
      <c r="D268" t="s">
        <v>3107</v>
      </c>
      <c r="E268" t="s">
        <v>167</v>
      </c>
      <c r="F268" t="s">
        <v>168</v>
      </c>
      <c r="G268" t="s">
        <v>177</v>
      </c>
      <c r="H268" t="s">
        <v>198</v>
      </c>
      <c r="I268" t="s">
        <v>198</v>
      </c>
      <c r="J268" t="s">
        <v>199</v>
      </c>
      <c r="K268" t="s">
        <v>200</v>
      </c>
      <c r="L268" t="s">
        <v>3555</v>
      </c>
      <c r="M268" t="s">
        <v>3556</v>
      </c>
      <c r="N268" t="s">
        <v>3104</v>
      </c>
      <c r="O268" t="s">
        <v>3205</v>
      </c>
      <c r="P268" t="s">
        <v>3205</v>
      </c>
      <c r="Q268" t="s">
        <v>3133</v>
      </c>
    </row>
    <row r="269" spans="1:17">
      <c r="A269" t="s">
        <v>758</v>
      </c>
      <c r="B269" t="s">
        <v>935</v>
      </c>
      <c r="C269" t="s">
        <v>759</v>
      </c>
      <c r="D269" t="s">
        <v>3107</v>
      </c>
      <c r="E269" t="s">
        <v>167</v>
      </c>
      <c r="F269" t="s">
        <v>168</v>
      </c>
      <c r="G269" t="s">
        <v>177</v>
      </c>
      <c r="H269" t="s">
        <v>198</v>
      </c>
      <c r="I269" t="s">
        <v>198</v>
      </c>
      <c r="J269" t="s">
        <v>199</v>
      </c>
      <c r="K269" t="s">
        <v>200</v>
      </c>
      <c r="L269" t="s">
        <v>3557</v>
      </c>
      <c r="M269" t="s">
        <v>3111</v>
      </c>
      <c r="N269" t="s">
        <v>3104</v>
      </c>
      <c r="O269" t="s">
        <v>805</v>
      </c>
      <c r="P269" t="s">
        <v>805</v>
      </c>
      <c r="Q269" t="s">
        <v>805</v>
      </c>
    </row>
    <row r="270" spans="1:17">
      <c r="A270" t="s">
        <v>301</v>
      </c>
      <c r="B270" t="s">
        <v>3558</v>
      </c>
      <c r="C270" t="s">
        <v>302</v>
      </c>
      <c r="D270" t="s">
        <v>3125</v>
      </c>
      <c r="E270" t="s">
        <v>167</v>
      </c>
      <c r="F270" t="s">
        <v>168</v>
      </c>
      <c r="G270" t="s">
        <v>177</v>
      </c>
      <c r="H270" t="s">
        <v>219</v>
      </c>
      <c r="I270" t="s">
        <v>219</v>
      </c>
      <c r="J270" t="s">
        <v>199</v>
      </c>
      <c r="K270" t="s">
        <v>3141</v>
      </c>
      <c r="L270" t="s">
        <v>3128</v>
      </c>
      <c r="M270" t="s">
        <v>3559</v>
      </c>
      <c r="N270" t="s">
        <v>3115</v>
      </c>
      <c r="O270" t="s">
        <v>3560</v>
      </c>
      <c r="P270" t="s">
        <v>2646</v>
      </c>
      <c r="Q270" t="s">
        <v>3118</v>
      </c>
    </row>
    <row r="271" spans="1:17">
      <c r="A271" t="s">
        <v>301</v>
      </c>
      <c r="B271" t="s">
        <v>3558</v>
      </c>
      <c r="C271" t="s">
        <v>302</v>
      </c>
      <c r="D271" t="s">
        <v>3125</v>
      </c>
      <c r="E271" t="s">
        <v>167</v>
      </c>
      <c r="F271" t="s">
        <v>168</v>
      </c>
      <c r="G271" t="s">
        <v>177</v>
      </c>
      <c r="H271" t="s">
        <v>219</v>
      </c>
      <c r="I271" t="s">
        <v>219</v>
      </c>
      <c r="J271" t="s">
        <v>199</v>
      </c>
      <c r="K271" t="s">
        <v>3141</v>
      </c>
      <c r="L271" t="s">
        <v>3111</v>
      </c>
      <c r="M271" t="s">
        <v>3561</v>
      </c>
      <c r="N271" t="s">
        <v>3115</v>
      </c>
      <c r="O271" t="s">
        <v>805</v>
      </c>
      <c r="P271" t="s">
        <v>805</v>
      </c>
      <c r="Q271" t="s">
        <v>805</v>
      </c>
    </row>
    <row r="272" spans="1:17">
      <c r="A272" t="s">
        <v>301</v>
      </c>
      <c r="B272" t="s">
        <v>3558</v>
      </c>
      <c r="C272" t="s">
        <v>302</v>
      </c>
      <c r="D272" t="s">
        <v>3125</v>
      </c>
      <c r="E272" t="s">
        <v>167</v>
      </c>
      <c r="F272" t="s">
        <v>168</v>
      </c>
      <c r="G272" t="s">
        <v>177</v>
      </c>
      <c r="H272" t="s">
        <v>219</v>
      </c>
      <c r="I272" t="s">
        <v>219</v>
      </c>
      <c r="J272" t="s">
        <v>199</v>
      </c>
      <c r="K272" t="s">
        <v>3141</v>
      </c>
      <c r="L272" t="s">
        <v>3105</v>
      </c>
      <c r="M272" t="s">
        <v>3562</v>
      </c>
      <c r="N272" t="s">
        <v>3115</v>
      </c>
      <c r="O272" t="s">
        <v>805</v>
      </c>
      <c r="P272" t="s">
        <v>805</v>
      </c>
      <c r="Q272" t="s">
        <v>805</v>
      </c>
    </row>
    <row r="273" spans="1:17">
      <c r="A273" t="s">
        <v>293</v>
      </c>
      <c r="B273" t="s">
        <v>1241</v>
      </c>
      <c r="C273" t="s">
        <v>294</v>
      </c>
      <c r="D273" t="s">
        <v>3125</v>
      </c>
      <c r="E273" t="s">
        <v>167</v>
      </c>
      <c r="F273" t="s">
        <v>168</v>
      </c>
      <c r="G273" t="s">
        <v>177</v>
      </c>
      <c r="H273" t="s">
        <v>198</v>
      </c>
      <c r="I273" t="s">
        <v>198</v>
      </c>
      <c r="J273" t="s">
        <v>199</v>
      </c>
      <c r="K273" t="s">
        <v>200</v>
      </c>
      <c r="L273" t="s">
        <v>3563</v>
      </c>
      <c r="M273" t="s">
        <v>3106</v>
      </c>
      <c r="N273" t="s">
        <v>3115</v>
      </c>
      <c r="O273" t="s">
        <v>3205</v>
      </c>
      <c r="P273" t="s">
        <v>3205</v>
      </c>
      <c r="Q273" t="s">
        <v>3133</v>
      </c>
    </row>
    <row r="274" spans="1:17">
      <c r="A274" t="s">
        <v>483</v>
      </c>
      <c r="B274" t="s">
        <v>1123</v>
      </c>
      <c r="C274" t="s">
        <v>484</v>
      </c>
      <c r="D274" t="s">
        <v>3101</v>
      </c>
      <c r="E274" t="s">
        <v>167</v>
      </c>
      <c r="F274" t="s">
        <v>168</v>
      </c>
      <c r="G274" t="s">
        <v>169</v>
      </c>
      <c r="H274" t="s">
        <v>3102</v>
      </c>
      <c r="I274" t="s">
        <v>194</v>
      </c>
      <c r="J274" t="s">
        <v>172</v>
      </c>
      <c r="K274" t="s">
        <v>195</v>
      </c>
      <c r="L274" t="s">
        <v>2646</v>
      </c>
      <c r="M274" t="s">
        <v>2447</v>
      </c>
      <c r="N274" t="s">
        <v>3104</v>
      </c>
      <c r="O274" t="s">
        <v>2447</v>
      </c>
      <c r="P274" t="s">
        <v>3242</v>
      </c>
      <c r="Q274" t="s">
        <v>3159</v>
      </c>
    </row>
    <row r="275" spans="1:17">
      <c r="A275" t="s">
        <v>485</v>
      </c>
      <c r="B275" t="s">
        <v>1123</v>
      </c>
      <c r="C275" t="s">
        <v>484</v>
      </c>
      <c r="D275" t="s">
        <v>3101</v>
      </c>
      <c r="E275" t="s">
        <v>167</v>
      </c>
      <c r="F275" t="s">
        <v>168</v>
      </c>
      <c r="G275" t="s">
        <v>169</v>
      </c>
      <c r="H275" t="s">
        <v>3102</v>
      </c>
      <c r="I275" t="s">
        <v>194</v>
      </c>
      <c r="J275" t="s">
        <v>172</v>
      </c>
      <c r="K275" t="s">
        <v>195</v>
      </c>
      <c r="L275" t="s">
        <v>3106</v>
      </c>
      <c r="M275" t="s">
        <v>2447</v>
      </c>
      <c r="N275" t="s">
        <v>3104</v>
      </c>
      <c r="O275" t="s">
        <v>2447</v>
      </c>
      <c r="P275" t="s">
        <v>3242</v>
      </c>
      <c r="Q275" t="s">
        <v>3159</v>
      </c>
    </row>
    <row r="276" spans="1:17">
      <c r="A276" t="s">
        <v>2855</v>
      </c>
      <c r="B276" t="s">
        <v>3564</v>
      </c>
      <c r="C276" t="s">
        <v>2854</v>
      </c>
      <c r="D276" t="s">
        <v>3101</v>
      </c>
      <c r="E276" t="s">
        <v>167</v>
      </c>
      <c r="F276" t="s">
        <v>168</v>
      </c>
      <c r="G276" t="s">
        <v>197</v>
      </c>
      <c r="H276" t="s">
        <v>219</v>
      </c>
      <c r="I276" t="s">
        <v>219</v>
      </c>
      <c r="J276" t="s">
        <v>199</v>
      </c>
      <c r="K276" t="s">
        <v>3141</v>
      </c>
      <c r="L276" t="s">
        <v>3565</v>
      </c>
      <c r="M276" t="s">
        <v>3566</v>
      </c>
      <c r="N276" t="s">
        <v>3104</v>
      </c>
      <c r="O276">
        <v>104</v>
      </c>
      <c r="P276">
        <v>90</v>
      </c>
      <c r="Q276">
        <v>18</v>
      </c>
    </row>
    <row r="277" spans="1:17">
      <c r="A277" t="s">
        <v>2741</v>
      </c>
      <c r="B277" t="s">
        <v>3567</v>
      </c>
      <c r="C277" t="s">
        <v>2740</v>
      </c>
      <c r="D277" t="s">
        <v>3101</v>
      </c>
      <c r="E277" t="s">
        <v>167</v>
      </c>
      <c r="F277" t="s">
        <v>168</v>
      </c>
      <c r="G277" t="s">
        <v>197</v>
      </c>
      <c r="H277" t="s">
        <v>198</v>
      </c>
      <c r="I277" t="s">
        <v>198</v>
      </c>
      <c r="J277" t="s">
        <v>199</v>
      </c>
      <c r="K277" t="s">
        <v>200</v>
      </c>
      <c r="L277" t="s">
        <v>3568</v>
      </c>
      <c r="M277" t="s">
        <v>3569</v>
      </c>
      <c r="N277" t="s">
        <v>3115</v>
      </c>
      <c r="O277" t="s">
        <v>3570</v>
      </c>
      <c r="P277" t="s">
        <v>3190</v>
      </c>
      <c r="Q277" t="s">
        <v>3455</v>
      </c>
    </row>
    <row r="278" spans="1:17">
      <c r="A278" t="s">
        <v>473</v>
      </c>
      <c r="B278" t="s">
        <v>932</v>
      </c>
      <c r="C278" t="s">
        <v>474</v>
      </c>
      <c r="D278" t="s">
        <v>3214</v>
      </c>
      <c r="E278" t="s">
        <v>167</v>
      </c>
      <c r="F278" t="s">
        <v>168</v>
      </c>
      <c r="G278" t="s">
        <v>197</v>
      </c>
      <c r="H278" t="s">
        <v>198</v>
      </c>
      <c r="I278" t="s">
        <v>198</v>
      </c>
      <c r="J278" t="s">
        <v>199</v>
      </c>
      <c r="K278" t="s">
        <v>200</v>
      </c>
      <c r="L278" t="s">
        <v>3571</v>
      </c>
      <c r="M278" t="s">
        <v>3111</v>
      </c>
      <c r="N278" t="s">
        <v>3115</v>
      </c>
      <c r="O278" t="s">
        <v>3572</v>
      </c>
      <c r="P278" t="s">
        <v>3572</v>
      </c>
      <c r="Q278" t="s">
        <v>3253</v>
      </c>
    </row>
    <row r="279" spans="1:17">
      <c r="A279" t="s">
        <v>475</v>
      </c>
      <c r="B279" t="s">
        <v>932</v>
      </c>
      <c r="C279" t="s">
        <v>476</v>
      </c>
      <c r="D279" t="s">
        <v>3214</v>
      </c>
      <c r="E279" t="s">
        <v>167</v>
      </c>
      <c r="F279" t="s">
        <v>168</v>
      </c>
      <c r="G279" t="s">
        <v>197</v>
      </c>
      <c r="H279" t="s">
        <v>198</v>
      </c>
      <c r="I279" t="s">
        <v>198</v>
      </c>
      <c r="J279" t="s">
        <v>199</v>
      </c>
      <c r="K279" t="s">
        <v>200</v>
      </c>
      <c r="L279" t="s">
        <v>3573</v>
      </c>
      <c r="M279" t="s">
        <v>3111</v>
      </c>
      <c r="N279" t="s">
        <v>3115</v>
      </c>
      <c r="O279" t="s">
        <v>3574</v>
      </c>
      <c r="P279" t="s">
        <v>3574</v>
      </c>
      <c r="Q279" t="s">
        <v>3253</v>
      </c>
    </row>
    <row r="280" spans="1:17">
      <c r="A280" t="s">
        <v>471</v>
      </c>
      <c r="B280" t="s">
        <v>932</v>
      </c>
      <c r="C280" t="s">
        <v>3575</v>
      </c>
      <c r="D280" t="s">
        <v>3214</v>
      </c>
      <c r="E280" t="s">
        <v>167</v>
      </c>
      <c r="F280" t="s">
        <v>168</v>
      </c>
      <c r="G280" t="s">
        <v>177</v>
      </c>
      <c r="H280" t="s">
        <v>198</v>
      </c>
      <c r="I280" t="s">
        <v>198</v>
      </c>
      <c r="J280" t="s">
        <v>199</v>
      </c>
      <c r="K280" t="s">
        <v>200</v>
      </c>
      <c r="L280" t="s">
        <v>3576</v>
      </c>
      <c r="M280" t="s">
        <v>3556</v>
      </c>
      <c r="N280" t="s">
        <v>3115</v>
      </c>
      <c r="O280" t="s">
        <v>3577</v>
      </c>
      <c r="P280" t="s">
        <v>3447</v>
      </c>
      <c r="Q280" t="s">
        <v>3133</v>
      </c>
    </row>
    <row r="281" spans="1:17">
      <c r="A281" t="s">
        <v>805</v>
      </c>
      <c r="B281" t="s">
        <v>3578</v>
      </c>
      <c r="C281" t="s">
        <v>3579</v>
      </c>
      <c r="D281" t="s">
        <v>3101</v>
      </c>
      <c r="E281" t="s">
        <v>167</v>
      </c>
      <c r="F281" t="s">
        <v>313</v>
      </c>
      <c r="G281" t="s">
        <v>177</v>
      </c>
      <c r="H281" t="s">
        <v>3126</v>
      </c>
      <c r="I281" t="s">
        <v>3127</v>
      </c>
      <c r="J281" t="s">
        <v>172</v>
      </c>
      <c r="K281" t="s">
        <v>254</v>
      </c>
      <c r="L281" t="s">
        <v>3164</v>
      </c>
      <c r="M281">
        <v>1.1100000000000001</v>
      </c>
      <c r="N281" t="s">
        <v>3115</v>
      </c>
      <c r="O281">
        <v>8.8800000000000008</v>
      </c>
      <c r="P281">
        <v>8.8800000000000008</v>
      </c>
    </row>
    <row r="282" spans="1:17">
      <c r="A282" t="s">
        <v>2936</v>
      </c>
      <c r="B282" t="s">
        <v>3580</v>
      </c>
      <c r="C282" t="s">
        <v>2935</v>
      </c>
      <c r="D282" t="s">
        <v>3214</v>
      </c>
      <c r="E282" t="s">
        <v>167</v>
      </c>
      <c r="F282" t="s">
        <v>168</v>
      </c>
      <c r="G282" t="s">
        <v>197</v>
      </c>
      <c r="H282" t="s">
        <v>198</v>
      </c>
      <c r="I282" t="s">
        <v>198</v>
      </c>
      <c r="J282" t="s">
        <v>199</v>
      </c>
      <c r="K282" t="s">
        <v>200</v>
      </c>
      <c r="L282" t="s">
        <v>3581</v>
      </c>
      <c r="M282">
        <v>3.6</v>
      </c>
      <c r="N282" t="s">
        <v>3104</v>
      </c>
      <c r="O282">
        <v>212.4</v>
      </c>
      <c r="P282">
        <v>212.4</v>
      </c>
      <c r="Q282">
        <v>0</v>
      </c>
    </row>
    <row r="283" spans="1:17">
      <c r="A283" t="s">
        <v>805</v>
      </c>
      <c r="B283" t="s">
        <v>3582</v>
      </c>
      <c r="C283" t="s">
        <v>3583</v>
      </c>
      <c r="D283" t="s">
        <v>3125</v>
      </c>
      <c r="E283" t="s">
        <v>167</v>
      </c>
      <c r="F283" t="s">
        <v>313</v>
      </c>
      <c r="G283" t="s">
        <v>177</v>
      </c>
      <c r="H283" t="s">
        <v>3133</v>
      </c>
      <c r="I283" t="s">
        <v>3133</v>
      </c>
      <c r="J283" t="s">
        <v>3133</v>
      </c>
      <c r="K283" t="s">
        <v>3133</v>
      </c>
      <c r="L283" t="s">
        <v>3164</v>
      </c>
      <c r="M283" t="s">
        <v>3584</v>
      </c>
      <c r="N283" t="s">
        <v>3104</v>
      </c>
      <c r="O283" t="s">
        <v>3585</v>
      </c>
      <c r="P283" t="s">
        <v>3110</v>
      </c>
      <c r="Q283" t="s">
        <v>3133</v>
      </c>
    </row>
    <row r="284" spans="1:17">
      <c r="A284" t="s">
        <v>2847</v>
      </c>
      <c r="B284" t="s">
        <v>3582</v>
      </c>
      <c r="C284" t="s">
        <v>396</v>
      </c>
      <c r="D284" t="s">
        <v>3101</v>
      </c>
      <c r="E284" t="s">
        <v>167</v>
      </c>
      <c r="F284" t="s">
        <v>168</v>
      </c>
      <c r="G284" t="s">
        <v>177</v>
      </c>
      <c r="H284" t="s">
        <v>3126</v>
      </c>
      <c r="I284" t="s">
        <v>3127</v>
      </c>
      <c r="J284" t="s">
        <v>172</v>
      </c>
      <c r="K284" t="s">
        <v>254</v>
      </c>
      <c r="L284" t="s">
        <v>3164</v>
      </c>
      <c r="M284" t="s">
        <v>3584</v>
      </c>
      <c r="N284" t="s">
        <v>3115</v>
      </c>
      <c r="O284" t="s">
        <v>3585</v>
      </c>
      <c r="P284" t="s">
        <v>3122</v>
      </c>
      <c r="Q284" t="s">
        <v>3118</v>
      </c>
    </row>
    <row r="285" spans="1:17">
      <c r="A285" t="s">
        <v>601</v>
      </c>
      <c r="B285" t="s">
        <v>3582</v>
      </c>
      <c r="C285" t="s">
        <v>602</v>
      </c>
      <c r="D285" t="s">
        <v>3107</v>
      </c>
      <c r="E285" t="s">
        <v>167</v>
      </c>
      <c r="F285" t="s">
        <v>168</v>
      </c>
      <c r="G285" t="s">
        <v>177</v>
      </c>
      <c r="H285" t="s">
        <v>3126</v>
      </c>
      <c r="I285" t="s">
        <v>3127</v>
      </c>
      <c r="J285" t="s">
        <v>172</v>
      </c>
      <c r="K285" t="s">
        <v>254</v>
      </c>
      <c r="L285" t="s">
        <v>3128</v>
      </c>
      <c r="M285" t="s">
        <v>2646</v>
      </c>
      <c r="N285" t="s">
        <v>3115</v>
      </c>
      <c r="O285" t="s">
        <v>3106</v>
      </c>
      <c r="P285" t="s">
        <v>3106</v>
      </c>
      <c r="Q285" t="s">
        <v>3133</v>
      </c>
    </row>
    <row r="286" spans="1:17">
      <c r="A286" t="s">
        <v>2326</v>
      </c>
      <c r="B286" t="s">
        <v>3582</v>
      </c>
      <c r="C286" t="s">
        <v>3586</v>
      </c>
      <c r="D286" t="s">
        <v>3158</v>
      </c>
      <c r="E286" t="s">
        <v>167</v>
      </c>
      <c r="F286" t="s">
        <v>168</v>
      </c>
      <c r="G286" t="s">
        <v>177</v>
      </c>
      <c r="H286" t="s">
        <v>3126</v>
      </c>
      <c r="I286" t="s">
        <v>3127</v>
      </c>
      <c r="J286" t="s">
        <v>172</v>
      </c>
      <c r="K286" t="s">
        <v>254</v>
      </c>
      <c r="L286" t="s">
        <v>3128</v>
      </c>
      <c r="M286" t="s">
        <v>3587</v>
      </c>
      <c r="N286" t="s">
        <v>3115</v>
      </c>
      <c r="O286">
        <v>2.14</v>
      </c>
      <c r="P286" t="s">
        <v>3106</v>
      </c>
    </row>
    <row r="287" spans="1:17">
      <c r="A287" t="s">
        <v>2326</v>
      </c>
      <c r="B287" t="s">
        <v>3582</v>
      </c>
      <c r="C287" t="s">
        <v>3586</v>
      </c>
      <c r="D287" t="s">
        <v>3158</v>
      </c>
      <c r="E287" t="s">
        <v>167</v>
      </c>
      <c r="F287" t="s">
        <v>168</v>
      </c>
      <c r="G287" t="s">
        <v>177</v>
      </c>
      <c r="H287" t="s">
        <v>3126</v>
      </c>
      <c r="I287" t="s">
        <v>3127</v>
      </c>
      <c r="J287" t="s">
        <v>172</v>
      </c>
      <c r="K287" t="s">
        <v>254</v>
      </c>
      <c r="L287" t="s">
        <v>3111</v>
      </c>
      <c r="M287" t="s">
        <v>3588</v>
      </c>
      <c r="N287" t="s">
        <v>3115</v>
      </c>
      <c r="O287">
        <v>0.76500000000000001</v>
      </c>
      <c r="P287" t="s">
        <v>805</v>
      </c>
    </row>
    <row r="288" spans="1:17">
      <c r="A288" t="s">
        <v>2326</v>
      </c>
      <c r="B288" t="s">
        <v>3582</v>
      </c>
      <c r="C288" t="s">
        <v>3586</v>
      </c>
      <c r="D288" t="s">
        <v>3158</v>
      </c>
      <c r="E288" t="s">
        <v>167</v>
      </c>
      <c r="F288" t="s">
        <v>168</v>
      </c>
      <c r="G288" t="s">
        <v>177</v>
      </c>
      <c r="H288" t="s">
        <v>3126</v>
      </c>
      <c r="I288" t="s">
        <v>3127</v>
      </c>
      <c r="J288" t="s">
        <v>172</v>
      </c>
      <c r="K288" t="s">
        <v>254</v>
      </c>
      <c r="L288">
        <v>4</v>
      </c>
      <c r="M288">
        <v>0.46</v>
      </c>
      <c r="N288" t="s">
        <v>3115</v>
      </c>
      <c r="O288">
        <v>0.46</v>
      </c>
      <c r="P288" t="s">
        <v>805</v>
      </c>
    </row>
    <row r="289" spans="1:17">
      <c r="A289" t="s">
        <v>752</v>
      </c>
      <c r="B289" t="s">
        <v>3582</v>
      </c>
      <c r="C289" t="s">
        <v>753</v>
      </c>
      <c r="D289" t="s">
        <v>3101</v>
      </c>
      <c r="E289" t="s">
        <v>167</v>
      </c>
      <c r="F289" t="s">
        <v>168</v>
      </c>
      <c r="G289" t="s">
        <v>177</v>
      </c>
      <c r="H289" t="s">
        <v>3126</v>
      </c>
      <c r="I289" t="s">
        <v>3127</v>
      </c>
      <c r="J289" t="s">
        <v>172</v>
      </c>
      <c r="K289" t="s">
        <v>254</v>
      </c>
      <c r="L289" t="s">
        <v>3335</v>
      </c>
      <c r="M289" t="s">
        <v>3338</v>
      </c>
      <c r="N289" t="s">
        <v>3115</v>
      </c>
      <c r="O289" t="s">
        <v>3589</v>
      </c>
      <c r="P289" t="s">
        <v>3261</v>
      </c>
      <c r="Q289" t="s">
        <v>3118</v>
      </c>
    </row>
    <row r="290" spans="1:17">
      <c r="A290" t="s">
        <v>805</v>
      </c>
      <c r="B290" t="s">
        <v>3590</v>
      </c>
      <c r="C290" t="s">
        <v>3591</v>
      </c>
      <c r="D290" t="s">
        <v>3158</v>
      </c>
      <c r="E290" t="s">
        <v>167</v>
      </c>
      <c r="F290" t="s">
        <v>313</v>
      </c>
      <c r="G290" t="s">
        <v>177</v>
      </c>
      <c r="H290" t="s">
        <v>3126</v>
      </c>
      <c r="I290" t="s">
        <v>287</v>
      </c>
      <c r="J290" t="s">
        <v>172</v>
      </c>
      <c r="K290" t="s">
        <v>195</v>
      </c>
      <c r="L290" t="s">
        <v>2646</v>
      </c>
      <c r="M290" t="s">
        <v>3592</v>
      </c>
      <c r="N290" t="s">
        <v>3115</v>
      </c>
      <c r="O290" t="s">
        <v>3593</v>
      </c>
      <c r="P290" t="s">
        <v>3594</v>
      </c>
      <c r="Q290" t="s">
        <v>3118</v>
      </c>
    </row>
    <row r="291" spans="1:17">
      <c r="A291" t="s">
        <v>805</v>
      </c>
      <c r="B291" t="s">
        <v>3590</v>
      </c>
      <c r="C291" t="s">
        <v>3591</v>
      </c>
      <c r="D291" t="s">
        <v>3158</v>
      </c>
      <c r="E291" t="s">
        <v>167</v>
      </c>
      <c r="F291" t="s">
        <v>313</v>
      </c>
      <c r="G291" t="s">
        <v>177</v>
      </c>
      <c r="H291" t="s">
        <v>3126</v>
      </c>
      <c r="I291" t="s">
        <v>287</v>
      </c>
      <c r="J291" t="s">
        <v>172</v>
      </c>
      <c r="K291" t="s">
        <v>195</v>
      </c>
      <c r="L291" t="s">
        <v>3106</v>
      </c>
      <c r="M291" t="s">
        <v>3261</v>
      </c>
      <c r="N291" t="s">
        <v>3115</v>
      </c>
      <c r="O291" t="s">
        <v>805</v>
      </c>
      <c r="P291" t="s">
        <v>805</v>
      </c>
      <c r="Q291" t="s">
        <v>805</v>
      </c>
    </row>
    <row r="292" spans="1:17">
      <c r="A292" t="s">
        <v>805</v>
      </c>
      <c r="B292" t="s">
        <v>3590</v>
      </c>
      <c r="C292" t="s">
        <v>3591</v>
      </c>
      <c r="D292" t="s">
        <v>3158</v>
      </c>
      <c r="E292" t="s">
        <v>167</v>
      </c>
      <c r="F292" t="s">
        <v>313</v>
      </c>
      <c r="G292" t="s">
        <v>177</v>
      </c>
      <c r="H292" t="s">
        <v>3126</v>
      </c>
      <c r="I292" t="s">
        <v>287</v>
      </c>
      <c r="J292" t="s">
        <v>172</v>
      </c>
      <c r="K292" t="s">
        <v>195</v>
      </c>
      <c r="L292" t="s">
        <v>3111</v>
      </c>
      <c r="M292" t="s">
        <v>3287</v>
      </c>
      <c r="N292" t="s">
        <v>3115</v>
      </c>
      <c r="O292" t="s">
        <v>805</v>
      </c>
      <c r="P292" t="s">
        <v>805</v>
      </c>
      <c r="Q292" t="s">
        <v>805</v>
      </c>
    </row>
    <row r="293" spans="1:17">
      <c r="A293" t="s">
        <v>2630</v>
      </c>
      <c r="B293" t="s">
        <v>3595</v>
      </c>
      <c r="C293" t="s">
        <v>3596</v>
      </c>
      <c r="D293" t="s">
        <v>3125</v>
      </c>
      <c r="E293" t="s">
        <v>167</v>
      </c>
      <c r="F293" t="s">
        <v>168</v>
      </c>
      <c r="G293" t="s">
        <v>197</v>
      </c>
      <c r="H293" t="s">
        <v>219</v>
      </c>
      <c r="I293" t="s">
        <v>219</v>
      </c>
      <c r="J293" t="s">
        <v>199</v>
      </c>
      <c r="K293" t="s">
        <v>3141</v>
      </c>
      <c r="L293" t="s">
        <v>3597</v>
      </c>
      <c r="M293">
        <v>2.5</v>
      </c>
      <c r="N293" t="s">
        <v>3104</v>
      </c>
      <c r="O293">
        <v>50</v>
      </c>
      <c r="P293">
        <v>46</v>
      </c>
      <c r="Q293">
        <v>46</v>
      </c>
    </row>
    <row r="294" spans="1:17">
      <c r="A294" t="s">
        <v>2630</v>
      </c>
      <c r="B294" t="s">
        <v>3595</v>
      </c>
      <c r="C294" t="s">
        <v>3596</v>
      </c>
      <c r="D294" t="s">
        <v>3125</v>
      </c>
      <c r="E294" t="s">
        <v>167</v>
      </c>
      <c r="F294" t="s">
        <v>168</v>
      </c>
      <c r="G294" t="s">
        <v>197</v>
      </c>
      <c r="H294" t="s">
        <v>219</v>
      </c>
      <c r="I294" t="s">
        <v>219</v>
      </c>
      <c r="J294" t="s">
        <v>199</v>
      </c>
      <c r="K294" t="s">
        <v>3141</v>
      </c>
      <c r="L294" t="s">
        <v>3598</v>
      </c>
      <c r="M294">
        <v>2.5</v>
      </c>
      <c r="N294" t="s">
        <v>3104</v>
      </c>
      <c r="O294" t="s">
        <v>805</v>
      </c>
      <c r="P294" t="s">
        <v>805</v>
      </c>
      <c r="Q294" t="s">
        <v>805</v>
      </c>
    </row>
    <row r="295" spans="1:17">
      <c r="A295" t="s">
        <v>532</v>
      </c>
      <c r="B295" t="s">
        <v>1407</v>
      </c>
      <c r="C295" t="s">
        <v>533</v>
      </c>
      <c r="D295" t="s">
        <v>3158</v>
      </c>
      <c r="E295" t="s">
        <v>167</v>
      </c>
      <c r="F295" t="s">
        <v>168</v>
      </c>
      <c r="G295" t="s">
        <v>169</v>
      </c>
      <c r="H295" t="s">
        <v>3102</v>
      </c>
      <c r="I295" t="s">
        <v>280</v>
      </c>
      <c r="J295" t="s">
        <v>172</v>
      </c>
      <c r="K295" t="s">
        <v>334</v>
      </c>
      <c r="L295" t="s">
        <v>2646</v>
      </c>
      <c r="M295" t="s">
        <v>3599</v>
      </c>
      <c r="N295" t="s">
        <v>3104</v>
      </c>
      <c r="O295" t="s">
        <v>3599</v>
      </c>
      <c r="P295" t="s">
        <v>3600</v>
      </c>
      <c r="Q295" t="s">
        <v>3110</v>
      </c>
    </row>
    <row r="296" spans="1:17">
      <c r="A296" t="s">
        <v>534</v>
      </c>
      <c r="B296" t="s">
        <v>1407</v>
      </c>
      <c r="C296" t="s">
        <v>533</v>
      </c>
      <c r="D296" t="s">
        <v>3158</v>
      </c>
      <c r="E296" t="s">
        <v>167</v>
      </c>
      <c r="F296" t="s">
        <v>168</v>
      </c>
      <c r="G296" t="s">
        <v>169</v>
      </c>
      <c r="H296" t="s">
        <v>3102</v>
      </c>
      <c r="I296" t="s">
        <v>280</v>
      </c>
      <c r="J296" t="s">
        <v>172</v>
      </c>
      <c r="K296" t="s">
        <v>334</v>
      </c>
      <c r="L296" t="s">
        <v>3106</v>
      </c>
      <c r="M296" t="s">
        <v>3599</v>
      </c>
      <c r="N296" t="s">
        <v>3104</v>
      </c>
      <c r="O296" t="s">
        <v>3599</v>
      </c>
      <c r="P296" t="s">
        <v>3600</v>
      </c>
      <c r="Q296" t="s">
        <v>3110</v>
      </c>
    </row>
    <row r="297" spans="1:17">
      <c r="A297" t="s">
        <v>522</v>
      </c>
      <c r="B297" t="s">
        <v>3601</v>
      </c>
      <c r="C297" t="s">
        <v>523</v>
      </c>
      <c r="D297" t="s">
        <v>3125</v>
      </c>
      <c r="E297" t="s">
        <v>167</v>
      </c>
      <c r="F297" t="s">
        <v>168</v>
      </c>
      <c r="G297" t="s">
        <v>197</v>
      </c>
      <c r="H297" t="s">
        <v>219</v>
      </c>
      <c r="I297" t="s">
        <v>219</v>
      </c>
      <c r="J297" t="s">
        <v>199</v>
      </c>
      <c r="K297" t="s">
        <v>3244</v>
      </c>
      <c r="L297" t="s">
        <v>3602</v>
      </c>
      <c r="M297" t="s">
        <v>3603</v>
      </c>
      <c r="N297" t="s">
        <v>3115</v>
      </c>
      <c r="O297" t="s">
        <v>3604</v>
      </c>
      <c r="P297" t="s">
        <v>3605</v>
      </c>
      <c r="Q297" t="s">
        <v>3140</v>
      </c>
    </row>
    <row r="298" spans="1:17">
      <c r="A298" t="s">
        <v>516</v>
      </c>
      <c r="B298" t="s">
        <v>1144</v>
      </c>
      <c r="C298" t="s">
        <v>517</v>
      </c>
      <c r="D298" t="s">
        <v>3101</v>
      </c>
      <c r="E298" t="s">
        <v>167</v>
      </c>
      <c r="F298" t="s">
        <v>168</v>
      </c>
      <c r="G298" t="s">
        <v>177</v>
      </c>
      <c r="H298" t="s">
        <v>198</v>
      </c>
      <c r="I298" t="s">
        <v>198</v>
      </c>
      <c r="J298" t="s">
        <v>199</v>
      </c>
      <c r="K298" t="s">
        <v>200</v>
      </c>
      <c r="L298" t="s">
        <v>3573</v>
      </c>
      <c r="M298" t="s">
        <v>3409</v>
      </c>
      <c r="N298" t="s">
        <v>3115</v>
      </c>
      <c r="O298" t="s">
        <v>3606</v>
      </c>
      <c r="P298" t="s">
        <v>3146</v>
      </c>
      <c r="Q298" t="s">
        <v>3118</v>
      </c>
    </row>
    <row r="299" spans="1:17">
      <c r="A299" t="s">
        <v>2864</v>
      </c>
      <c r="B299" t="s">
        <v>3607</v>
      </c>
      <c r="C299" t="s">
        <v>3608</v>
      </c>
      <c r="D299" t="s">
        <v>3101</v>
      </c>
      <c r="E299" t="s">
        <v>167</v>
      </c>
      <c r="F299" t="s">
        <v>168</v>
      </c>
      <c r="G299" t="s">
        <v>197</v>
      </c>
      <c r="H299" t="s">
        <v>198</v>
      </c>
      <c r="I299" t="s">
        <v>198</v>
      </c>
      <c r="J299" t="s">
        <v>199</v>
      </c>
      <c r="K299" t="s">
        <v>200</v>
      </c>
      <c r="L299" t="s">
        <v>3609</v>
      </c>
      <c r="M299">
        <v>3.1360000000000001</v>
      </c>
      <c r="N299" t="s">
        <v>3104</v>
      </c>
      <c r="O299">
        <v>43.904000000000003</v>
      </c>
      <c r="P299">
        <v>66</v>
      </c>
      <c r="Q299" t="s">
        <v>3610</v>
      </c>
    </row>
    <row r="300" spans="1:17">
      <c r="A300" t="s">
        <v>2864</v>
      </c>
      <c r="B300" t="s">
        <v>3607</v>
      </c>
      <c r="C300" t="s">
        <v>3608</v>
      </c>
      <c r="D300" t="s">
        <v>3101</v>
      </c>
      <c r="E300" t="s">
        <v>167</v>
      </c>
      <c r="F300" t="s">
        <v>168</v>
      </c>
      <c r="G300" t="s">
        <v>197</v>
      </c>
      <c r="H300" t="s">
        <v>198</v>
      </c>
      <c r="I300" t="s">
        <v>198</v>
      </c>
      <c r="J300" t="s">
        <v>199</v>
      </c>
      <c r="K300" t="s">
        <v>200</v>
      </c>
      <c r="L300" t="s">
        <v>3611</v>
      </c>
      <c r="M300">
        <v>3.1360000000000001</v>
      </c>
      <c r="N300" t="s">
        <v>3104</v>
      </c>
      <c r="O300">
        <v>25.088000000000001</v>
      </c>
      <c r="P300" t="s">
        <v>805</v>
      </c>
      <c r="Q300" t="s">
        <v>805</v>
      </c>
    </row>
    <row r="301" spans="1:17">
      <c r="A301" t="s">
        <v>2864</v>
      </c>
      <c r="B301" t="s">
        <v>3607</v>
      </c>
      <c r="C301" t="s">
        <v>3608</v>
      </c>
      <c r="D301" t="s">
        <v>3101</v>
      </c>
      <c r="E301" t="s">
        <v>167</v>
      </c>
      <c r="F301" t="s">
        <v>168</v>
      </c>
      <c r="G301" t="s">
        <v>197</v>
      </c>
      <c r="H301" t="s">
        <v>198</v>
      </c>
      <c r="I301" t="s">
        <v>198</v>
      </c>
      <c r="J301" t="s">
        <v>199</v>
      </c>
      <c r="K301" t="s">
        <v>200</v>
      </c>
      <c r="L301" t="s">
        <v>3612</v>
      </c>
      <c r="M301">
        <v>3.1360000000000001</v>
      </c>
      <c r="N301" t="s">
        <v>3104</v>
      </c>
      <c r="O301">
        <v>12.544</v>
      </c>
      <c r="P301">
        <v>66</v>
      </c>
      <c r="Q301" t="s">
        <v>3610</v>
      </c>
    </row>
    <row r="302" spans="1:17">
      <c r="A302" t="s">
        <v>2864</v>
      </c>
      <c r="B302" t="s">
        <v>3607</v>
      </c>
      <c r="C302" t="s">
        <v>3608</v>
      </c>
      <c r="D302" t="s">
        <v>3101</v>
      </c>
      <c r="E302" t="s">
        <v>167</v>
      </c>
      <c r="F302" t="s">
        <v>168</v>
      </c>
      <c r="G302" t="s">
        <v>197</v>
      </c>
      <c r="H302" t="s">
        <v>198</v>
      </c>
      <c r="I302" t="s">
        <v>198</v>
      </c>
      <c r="J302" t="s">
        <v>199</v>
      </c>
      <c r="K302" t="s">
        <v>200</v>
      </c>
      <c r="L302" t="s">
        <v>3613</v>
      </c>
      <c r="M302">
        <v>3.1360000000000001</v>
      </c>
      <c r="N302" t="s">
        <v>3104</v>
      </c>
      <c r="O302">
        <v>28.224</v>
      </c>
      <c r="P302" t="s">
        <v>805</v>
      </c>
      <c r="Q302" t="s">
        <v>805</v>
      </c>
    </row>
    <row r="303" spans="1:17">
      <c r="A303" t="s">
        <v>2864</v>
      </c>
      <c r="B303" t="s">
        <v>3607</v>
      </c>
      <c r="C303" t="s">
        <v>3608</v>
      </c>
      <c r="D303" t="s">
        <v>3101</v>
      </c>
      <c r="E303" t="s">
        <v>167</v>
      </c>
      <c r="F303" t="s">
        <v>168</v>
      </c>
      <c r="G303" t="s">
        <v>197</v>
      </c>
      <c r="H303" t="s">
        <v>198</v>
      </c>
      <c r="I303" t="s">
        <v>198</v>
      </c>
      <c r="J303" t="s">
        <v>199</v>
      </c>
      <c r="K303" t="s">
        <v>200</v>
      </c>
      <c r="L303" t="s">
        <v>3614</v>
      </c>
      <c r="M303">
        <v>3.1360000000000001</v>
      </c>
      <c r="N303" t="s">
        <v>3104</v>
      </c>
      <c r="O303">
        <v>9.4079999999999995</v>
      </c>
      <c r="P303" t="s">
        <v>805</v>
      </c>
      <c r="Q303" t="s">
        <v>805</v>
      </c>
    </row>
    <row r="304" spans="1:17">
      <c r="A304" t="s">
        <v>2864</v>
      </c>
      <c r="B304" t="s">
        <v>3607</v>
      </c>
      <c r="C304" t="s">
        <v>3608</v>
      </c>
      <c r="D304" t="s">
        <v>3101</v>
      </c>
      <c r="E304" t="s">
        <v>167</v>
      </c>
      <c r="F304" t="s">
        <v>168</v>
      </c>
      <c r="G304" t="s">
        <v>197</v>
      </c>
      <c r="H304" t="s">
        <v>198</v>
      </c>
      <c r="I304" t="s">
        <v>198</v>
      </c>
      <c r="J304" t="s">
        <v>199</v>
      </c>
      <c r="K304" t="s">
        <v>200</v>
      </c>
      <c r="L304" t="s">
        <v>3615</v>
      </c>
      <c r="M304">
        <v>3.1360000000000001</v>
      </c>
      <c r="N304" t="s">
        <v>3104</v>
      </c>
      <c r="O304">
        <v>18.815999999999999</v>
      </c>
      <c r="P304" t="s">
        <v>805</v>
      </c>
      <c r="Q304" t="s">
        <v>805</v>
      </c>
    </row>
    <row r="305" spans="1:17">
      <c r="A305" t="s">
        <v>403</v>
      </c>
      <c r="B305" t="s">
        <v>1130</v>
      </c>
      <c r="C305" t="s">
        <v>2849</v>
      </c>
      <c r="D305" t="s">
        <v>3101</v>
      </c>
      <c r="E305" t="s">
        <v>167</v>
      </c>
      <c r="F305" t="s">
        <v>168</v>
      </c>
      <c r="G305" t="s">
        <v>177</v>
      </c>
      <c r="H305" t="s">
        <v>198</v>
      </c>
      <c r="I305" t="s">
        <v>198</v>
      </c>
      <c r="J305" t="s">
        <v>199</v>
      </c>
      <c r="K305" t="s">
        <v>200</v>
      </c>
      <c r="L305" t="s">
        <v>3616</v>
      </c>
      <c r="M305" t="s">
        <v>3114</v>
      </c>
      <c r="N305" t="s">
        <v>3115</v>
      </c>
      <c r="O305" t="s">
        <v>3617</v>
      </c>
      <c r="P305" t="s">
        <v>3105</v>
      </c>
      <c r="Q305" t="s">
        <v>3118</v>
      </c>
    </row>
    <row r="306" spans="1:17">
      <c r="A306" t="s">
        <v>507</v>
      </c>
      <c r="B306" t="s">
        <v>1130</v>
      </c>
      <c r="C306" t="s">
        <v>508</v>
      </c>
      <c r="D306" t="s">
        <v>3101</v>
      </c>
      <c r="E306" t="s">
        <v>167</v>
      </c>
      <c r="F306" t="s">
        <v>168</v>
      </c>
      <c r="G306" t="s">
        <v>197</v>
      </c>
      <c r="H306" t="s">
        <v>198</v>
      </c>
      <c r="I306" t="s">
        <v>198</v>
      </c>
      <c r="J306" t="s">
        <v>199</v>
      </c>
      <c r="K306" t="s">
        <v>200</v>
      </c>
      <c r="L306" t="s">
        <v>3618</v>
      </c>
      <c r="M306" t="s">
        <v>3114</v>
      </c>
      <c r="N306" t="s">
        <v>3115</v>
      </c>
      <c r="O306" t="s">
        <v>3619</v>
      </c>
      <c r="P306" t="s">
        <v>3620</v>
      </c>
      <c r="Q306" t="s">
        <v>2248</v>
      </c>
    </row>
    <row r="307" spans="1:17">
      <c r="A307" t="s">
        <v>539</v>
      </c>
      <c r="B307" t="s">
        <v>821</v>
      </c>
      <c r="C307" t="s">
        <v>540</v>
      </c>
      <c r="D307" t="s">
        <v>3214</v>
      </c>
      <c r="E307" t="s">
        <v>167</v>
      </c>
      <c r="F307" t="s">
        <v>168</v>
      </c>
      <c r="G307" t="s">
        <v>177</v>
      </c>
      <c r="H307" t="s">
        <v>198</v>
      </c>
      <c r="I307" t="s">
        <v>198</v>
      </c>
      <c r="J307" t="s">
        <v>199</v>
      </c>
      <c r="K307" t="s">
        <v>200</v>
      </c>
      <c r="L307" t="s">
        <v>3504</v>
      </c>
      <c r="M307" t="s">
        <v>3106</v>
      </c>
      <c r="N307" t="s">
        <v>3115</v>
      </c>
      <c r="O307" t="s">
        <v>3478</v>
      </c>
      <c r="P307" t="s">
        <v>3478</v>
      </c>
      <c r="Q307" t="s">
        <v>3133</v>
      </c>
    </row>
    <row r="308" spans="1:17">
      <c r="A308" t="s">
        <v>515</v>
      </c>
      <c r="B308" t="s">
        <v>3621</v>
      </c>
      <c r="C308" t="s">
        <v>514</v>
      </c>
      <c r="D308" t="s">
        <v>3125</v>
      </c>
      <c r="E308" t="s">
        <v>167</v>
      </c>
      <c r="F308" t="s">
        <v>168</v>
      </c>
      <c r="G308" t="s">
        <v>177</v>
      </c>
      <c r="H308" t="s">
        <v>219</v>
      </c>
      <c r="I308" t="s">
        <v>219</v>
      </c>
      <c r="J308" t="s">
        <v>199</v>
      </c>
      <c r="K308" t="s">
        <v>3244</v>
      </c>
      <c r="L308" t="s">
        <v>2646</v>
      </c>
      <c r="M308" t="s">
        <v>3298</v>
      </c>
      <c r="N308" t="s">
        <v>3104</v>
      </c>
      <c r="O308" t="s">
        <v>3298</v>
      </c>
      <c r="P308" t="s">
        <v>3298</v>
      </c>
      <c r="Q308" t="s">
        <v>3118</v>
      </c>
    </row>
    <row r="309" spans="1:17">
      <c r="A309" t="s">
        <v>2490</v>
      </c>
      <c r="B309" t="s">
        <v>1227</v>
      </c>
      <c r="C309" t="s">
        <v>2489</v>
      </c>
      <c r="D309" t="s">
        <v>3125</v>
      </c>
      <c r="E309" t="s">
        <v>167</v>
      </c>
      <c r="F309" t="s">
        <v>168</v>
      </c>
      <c r="G309" t="s">
        <v>197</v>
      </c>
      <c r="H309" t="s">
        <v>219</v>
      </c>
      <c r="I309" t="s">
        <v>219</v>
      </c>
      <c r="J309" t="s">
        <v>199</v>
      </c>
      <c r="K309" t="s">
        <v>3622</v>
      </c>
      <c r="L309" t="s">
        <v>3181</v>
      </c>
      <c r="M309">
        <v>2.5</v>
      </c>
      <c r="N309" t="s">
        <v>3104</v>
      </c>
      <c r="O309">
        <v>10</v>
      </c>
      <c r="P309">
        <v>10</v>
      </c>
      <c r="Q309" t="s">
        <v>3110</v>
      </c>
    </row>
    <row r="310" spans="1:17">
      <c r="A310" t="s">
        <v>390</v>
      </c>
      <c r="B310" t="s">
        <v>1227</v>
      </c>
      <c r="C310" t="s">
        <v>391</v>
      </c>
      <c r="D310" t="s">
        <v>3125</v>
      </c>
      <c r="E310" t="s">
        <v>167</v>
      </c>
      <c r="F310" t="s">
        <v>168</v>
      </c>
      <c r="G310" t="s">
        <v>197</v>
      </c>
      <c r="H310" t="s">
        <v>198</v>
      </c>
      <c r="I310" t="s">
        <v>198</v>
      </c>
      <c r="J310" t="s">
        <v>199</v>
      </c>
      <c r="K310" t="s">
        <v>200</v>
      </c>
      <c r="L310" t="s">
        <v>3280</v>
      </c>
      <c r="M310" t="s">
        <v>3409</v>
      </c>
      <c r="N310" t="s">
        <v>3115</v>
      </c>
      <c r="O310" t="s">
        <v>3623</v>
      </c>
      <c r="P310" t="s">
        <v>3624</v>
      </c>
      <c r="Q310" t="s">
        <v>3191</v>
      </c>
    </row>
    <row r="311" spans="1:17">
      <c r="A311" t="s">
        <v>390</v>
      </c>
      <c r="B311" t="s">
        <v>1227</v>
      </c>
      <c r="C311" t="s">
        <v>391</v>
      </c>
      <c r="D311" t="s">
        <v>3125</v>
      </c>
      <c r="E311" t="s">
        <v>167</v>
      </c>
      <c r="F311" t="s">
        <v>168</v>
      </c>
      <c r="G311" t="s">
        <v>197</v>
      </c>
      <c r="H311" t="s">
        <v>198</v>
      </c>
      <c r="I311" t="s">
        <v>198</v>
      </c>
      <c r="J311" t="s">
        <v>199</v>
      </c>
      <c r="K311" t="s">
        <v>200</v>
      </c>
      <c r="L311" t="s">
        <v>3625</v>
      </c>
      <c r="M311" t="s">
        <v>3483</v>
      </c>
      <c r="N311" t="s">
        <v>3115</v>
      </c>
      <c r="O311" t="s">
        <v>805</v>
      </c>
      <c r="P311" t="s">
        <v>805</v>
      </c>
      <c r="Q311" t="s">
        <v>805</v>
      </c>
    </row>
    <row r="312" spans="1:17">
      <c r="A312" t="s">
        <v>673</v>
      </c>
      <c r="B312" t="s">
        <v>3626</v>
      </c>
      <c r="C312" t="s">
        <v>3627</v>
      </c>
      <c r="D312" t="s">
        <v>3101</v>
      </c>
      <c r="E312" t="s">
        <v>167</v>
      </c>
      <c r="F312" t="s">
        <v>168</v>
      </c>
      <c r="G312" t="s">
        <v>177</v>
      </c>
      <c r="H312" t="s">
        <v>3102</v>
      </c>
      <c r="I312" t="s">
        <v>171</v>
      </c>
      <c r="J312" t="s">
        <v>172</v>
      </c>
      <c r="K312" t="s">
        <v>254</v>
      </c>
      <c r="L312" t="s">
        <v>3351</v>
      </c>
      <c r="M312" t="s">
        <v>3106</v>
      </c>
      <c r="N312" t="s">
        <v>3115</v>
      </c>
      <c r="O312" t="s">
        <v>3110</v>
      </c>
      <c r="P312" t="s">
        <v>3110</v>
      </c>
      <c r="Q312" t="s">
        <v>3118</v>
      </c>
    </row>
    <row r="313" spans="1:17">
      <c r="A313" t="s">
        <v>344</v>
      </c>
      <c r="B313" t="s">
        <v>889</v>
      </c>
      <c r="C313" t="s">
        <v>147</v>
      </c>
      <c r="D313" t="s">
        <v>3158</v>
      </c>
      <c r="E313" t="s">
        <v>167</v>
      </c>
      <c r="F313" t="s">
        <v>168</v>
      </c>
      <c r="G313" t="s">
        <v>169</v>
      </c>
      <c r="H313" t="s">
        <v>3102</v>
      </c>
      <c r="I313" t="s">
        <v>171</v>
      </c>
      <c r="J313" t="s">
        <v>172</v>
      </c>
      <c r="K313" t="s">
        <v>216</v>
      </c>
      <c r="L313" t="s">
        <v>3118</v>
      </c>
      <c r="M313" t="s">
        <v>3310</v>
      </c>
      <c r="N313" t="s">
        <v>3104</v>
      </c>
      <c r="O313" t="s">
        <v>3628</v>
      </c>
      <c r="P313" t="s">
        <v>3629</v>
      </c>
      <c r="Q313" t="s">
        <v>3110</v>
      </c>
    </row>
    <row r="314" spans="1:17">
      <c r="A314" t="s">
        <v>344</v>
      </c>
      <c r="B314" t="s">
        <v>889</v>
      </c>
      <c r="C314" t="s">
        <v>147</v>
      </c>
      <c r="D314" t="s">
        <v>3158</v>
      </c>
      <c r="E314" t="s">
        <v>167</v>
      </c>
      <c r="F314" t="s">
        <v>168</v>
      </c>
      <c r="G314" t="s">
        <v>169</v>
      </c>
      <c r="H314" t="s">
        <v>3102</v>
      </c>
      <c r="I314" t="s">
        <v>171</v>
      </c>
      <c r="J314" t="s">
        <v>172</v>
      </c>
      <c r="K314" t="s">
        <v>216</v>
      </c>
      <c r="L314" t="s">
        <v>3113</v>
      </c>
      <c r="M314" t="s">
        <v>3630</v>
      </c>
      <c r="N314" t="s">
        <v>3104</v>
      </c>
      <c r="O314" t="s">
        <v>805</v>
      </c>
      <c r="P314" t="s">
        <v>805</v>
      </c>
      <c r="Q314" t="s">
        <v>805</v>
      </c>
    </row>
    <row r="315" spans="1:17">
      <c r="A315" t="s">
        <v>360</v>
      </c>
      <c r="B315" t="s">
        <v>889</v>
      </c>
      <c r="C315" t="s">
        <v>361</v>
      </c>
      <c r="D315" t="s">
        <v>3125</v>
      </c>
      <c r="E315" t="s">
        <v>167</v>
      </c>
      <c r="F315" t="s">
        <v>168</v>
      </c>
      <c r="G315" t="s">
        <v>169</v>
      </c>
      <c r="H315" t="s">
        <v>3102</v>
      </c>
      <c r="I315" t="s">
        <v>280</v>
      </c>
      <c r="J315" t="s">
        <v>172</v>
      </c>
      <c r="K315" t="s">
        <v>195</v>
      </c>
      <c r="L315" t="s">
        <v>2646</v>
      </c>
      <c r="M315" t="s">
        <v>3631</v>
      </c>
      <c r="N315" t="s">
        <v>3104</v>
      </c>
      <c r="O315" t="s">
        <v>3631</v>
      </c>
      <c r="P315" t="s">
        <v>3632</v>
      </c>
      <c r="Q315" t="s">
        <v>3146</v>
      </c>
    </row>
    <row r="316" spans="1:17">
      <c r="A316" t="s">
        <v>362</v>
      </c>
      <c r="B316" t="s">
        <v>889</v>
      </c>
      <c r="C316" t="s">
        <v>361</v>
      </c>
      <c r="D316" t="s">
        <v>3125</v>
      </c>
      <c r="E316" t="s">
        <v>167</v>
      </c>
      <c r="F316" t="s">
        <v>168</v>
      </c>
      <c r="G316" t="s">
        <v>169</v>
      </c>
      <c r="H316" t="s">
        <v>3102</v>
      </c>
      <c r="I316" t="s">
        <v>280</v>
      </c>
      <c r="J316" t="s">
        <v>172</v>
      </c>
      <c r="K316" t="s">
        <v>195</v>
      </c>
      <c r="L316" t="s">
        <v>3106</v>
      </c>
      <c r="M316" t="s">
        <v>3631</v>
      </c>
      <c r="N316" t="s">
        <v>3104</v>
      </c>
      <c r="O316" t="s">
        <v>3631</v>
      </c>
      <c r="P316" t="s">
        <v>3632</v>
      </c>
      <c r="Q316" t="s">
        <v>3146</v>
      </c>
    </row>
    <row r="317" spans="1:17">
      <c r="A317" t="s">
        <v>363</v>
      </c>
      <c r="B317" t="s">
        <v>889</v>
      </c>
      <c r="C317" t="s">
        <v>361</v>
      </c>
      <c r="D317" t="s">
        <v>3125</v>
      </c>
      <c r="E317" t="s">
        <v>167</v>
      </c>
      <c r="F317" t="s">
        <v>168</v>
      </c>
      <c r="G317" t="s">
        <v>169</v>
      </c>
      <c r="H317" t="s">
        <v>3102</v>
      </c>
      <c r="I317" t="s">
        <v>280</v>
      </c>
      <c r="J317" t="s">
        <v>172</v>
      </c>
      <c r="K317" t="s">
        <v>195</v>
      </c>
      <c r="L317" t="s">
        <v>3111</v>
      </c>
      <c r="M317" t="s">
        <v>3631</v>
      </c>
      <c r="N317" t="s">
        <v>3104</v>
      </c>
      <c r="O317" t="s">
        <v>3631</v>
      </c>
      <c r="P317" t="s">
        <v>3632</v>
      </c>
      <c r="Q317" t="s">
        <v>3146</v>
      </c>
    </row>
    <row r="318" spans="1:17">
      <c r="A318" t="s">
        <v>364</v>
      </c>
      <c r="B318" t="s">
        <v>889</v>
      </c>
      <c r="C318" t="s">
        <v>361</v>
      </c>
      <c r="D318" t="s">
        <v>3125</v>
      </c>
      <c r="E318" t="s">
        <v>167</v>
      </c>
      <c r="F318" t="s">
        <v>168</v>
      </c>
      <c r="G318" t="s">
        <v>169</v>
      </c>
      <c r="H318" t="s">
        <v>3102</v>
      </c>
      <c r="I318" t="s">
        <v>280</v>
      </c>
      <c r="J318" t="s">
        <v>172</v>
      </c>
      <c r="K318" t="s">
        <v>195</v>
      </c>
      <c r="L318" t="s">
        <v>3105</v>
      </c>
      <c r="M318" t="s">
        <v>3631</v>
      </c>
      <c r="N318" t="s">
        <v>3104</v>
      </c>
      <c r="O318" t="s">
        <v>3631</v>
      </c>
      <c r="P318" t="s">
        <v>3632</v>
      </c>
      <c r="Q318" t="s">
        <v>3146</v>
      </c>
    </row>
    <row r="319" spans="1:17">
      <c r="A319" t="s">
        <v>365</v>
      </c>
      <c r="B319" t="s">
        <v>889</v>
      </c>
      <c r="C319" t="s">
        <v>361</v>
      </c>
      <c r="D319" t="s">
        <v>3125</v>
      </c>
      <c r="E319" t="s">
        <v>167</v>
      </c>
      <c r="F319" t="s">
        <v>168</v>
      </c>
      <c r="G319" t="s">
        <v>177</v>
      </c>
      <c r="H319" t="s">
        <v>3102</v>
      </c>
      <c r="I319" t="s">
        <v>188</v>
      </c>
      <c r="J319" t="s">
        <v>172</v>
      </c>
      <c r="K319" t="s">
        <v>185</v>
      </c>
      <c r="L319" t="s">
        <v>2646</v>
      </c>
      <c r="M319" t="s">
        <v>3633</v>
      </c>
      <c r="N319" t="s">
        <v>3115</v>
      </c>
      <c r="O319" t="s">
        <v>3633</v>
      </c>
      <c r="P319" t="s">
        <v>3605</v>
      </c>
      <c r="Q319" t="s">
        <v>3118</v>
      </c>
    </row>
    <row r="320" spans="1:17">
      <c r="A320" t="s">
        <v>455</v>
      </c>
      <c r="B320" t="s">
        <v>889</v>
      </c>
      <c r="C320" t="s">
        <v>456</v>
      </c>
      <c r="D320" t="s">
        <v>3214</v>
      </c>
      <c r="E320" t="s">
        <v>167</v>
      </c>
      <c r="F320" t="s">
        <v>168</v>
      </c>
      <c r="G320" t="s">
        <v>169</v>
      </c>
      <c r="H320" t="s">
        <v>3102</v>
      </c>
      <c r="I320" t="s">
        <v>171</v>
      </c>
      <c r="J320" t="s">
        <v>172</v>
      </c>
      <c r="K320" t="s">
        <v>185</v>
      </c>
      <c r="L320" t="s">
        <v>2646</v>
      </c>
      <c r="M320" t="s">
        <v>3515</v>
      </c>
      <c r="N320" t="s">
        <v>3104</v>
      </c>
      <c r="O320" t="s">
        <v>3515</v>
      </c>
      <c r="P320" t="s">
        <v>3207</v>
      </c>
      <c r="Q320" t="s">
        <v>3110</v>
      </c>
    </row>
    <row r="321" spans="1:17">
      <c r="A321" t="s">
        <v>457</v>
      </c>
      <c r="B321" t="s">
        <v>889</v>
      </c>
      <c r="C321" t="s">
        <v>456</v>
      </c>
      <c r="D321" t="s">
        <v>3214</v>
      </c>
      <c r="E321" t="s">
        <v>167</v>
      </c>
      <c r="F321" t="s">
        <v>168</v>
      </c>
      <c r="G321" t="s">
        <v>169</v>
      </c>
      <c r="H321" t="s">
        <v>3102</v>
      </c>
      <c r="I321" t="s">
        <v>171</v>
      </c>
      <c r="J321" t="s">
        <v>172</v>
      </c>
      <c r="K321" t="s">
        <v>185</v>
      </c>
      <c r="L321" t="s">
        <v>3106</v>
      </c>
      <c r="M321" t="s">
        <v>3515</v>
      </c>
      <c r="N321" t="s">
        <v>3104</v>
      </c>
      <c r="O321" t="s">
        <v>3515</v>
      </c>
      <c r="P321" t="s">
        <v>3207</v>
      </c>
      <c r="Q321" t="s">
        <v>3110</v>
      </c>
    </row>
    <row r="322" spans="1:17">
      <c r="A322" t="s">
        <v>526</v>
      </c>
      <c r="B322" t="s">
        <v>889</v>
      </c>
      <c r="C322" t="s">
        <v>3634</v>
      </c>
      <c r="D322" t="s">
        <v>3101</v>
      </c>
      <c r="E322" t="s">
        <v>167</v>
      </c>
      <c r="F322" t="s">
        <v>168</v>
      </c>
      <c r="G322" t="s">
        <v>169</v>
      </c>
      <c r="H322" t="s">
        <v>3102</v>
      </c>
      <c r="I322" t="s">
        <v>171</v>
      </c>
      <c r="J322" t="s">
        <v>172</v>
      </c>
      <c r="K322" t="s">
        <v>185</v>
      </c>
      <c r="L322" t="s">
        <v>2646</v>
      </c>
      <c r="M322" t="s">
        <v>3635</v>
      </c>
      <c r="N322" t="s">
        <v>3104</v>
      </c>
      <c r="O322" t="s">
        <v>3635</v>
      </c>
      <c r="P322" t="s">
        <v>3636</v>
      </c>
      <c r="Q322" t="s">
        <v>3132</v>
      </c>
    </row>
    <row r="323" spans="1:17">
      <c r="A323" t="s">
        <v>528</v>
      </c>
      <c r="B323" t="s">
        <v>889</v>
      </c>
      <c r="C323" t="s">
        <v>3634</v>
      </c>
      <c r="D323" t="s">
        <v>3101</v>
      </c>
      <c r="E323" t="s">
        <v>167</v>
      </c>
      <c r="F323" t="s">
        <v>168</v>
      </c>
      <c r="G323" t="s">
        <v>169</v>
      </c>
      <c r="H323" t="s">
        <v>3102</v>
      </c>
      <c r="I323" t="s">
        <v>171</v>
      </c>
      <c r="J323" t="s">
        <v>172</v>
      </c>
      <c r="K323" t="s">
        <v>185</v>
      </c>
      <c r="L323" t="s">
        <v>2646</v>
      </c>
      <c r="M323" t="s">
        <v>3635</v>
      </c>
      <c r="N323" t="s">
        <v>3104</v>
      </c>
      <c r="O323" t="s">
        <v>3635</v>
      </c>
      <c r="P323" t="s">
        <v>3636</v>
      </c>
      <c r="Q323" t="s">
        <v>3132</v>
      </c>
    </row>
    <row r="324" spans="1:17">
      <c r="A324" t="s">
        <v>535</v>
      </c>
      <c r="B324" t="s">
        <v>889</v>
      </c>
      <c r="C324" t="s">
        <v>536</v>
      </c>
      <c r="D324" t="s">
        <v>3158</v>
      </c>
      <c r="E324" t="s">
        <v>167</v>
      </c>
      <c r="F324" t="s">
        <v>168</v>
      </c>
      <c r="G324" t="s">
        <v>169</v>
      </c>
      <c r="H324" t="s">
        <v>3102</v>
      </c>
      <c r="I324" t="s">
        <v>411</v>
      </c>
      <c r="J324" t="s">
        <v>172</v>
      </c>
      <c r="K324" t="s">
        <v>185</v>
      </c>
      <c r="L324" t="s">
        <v>2646</v>
      </c>
      <c r="M324" t="s">
        <v>3527</v>
      </c>
      <c r="N324" t="s">
        <v>3104</v>
      </c>
      <c r="O324" t="s">
        <v>3527</v>
      </c>
      <c r="P324" t="s">
        <v>3637</v>
      </c>
      <c r="Q324" t="s">
        <v>3190</v>
      </c>
    </row>
    <row r="325" spans="1:17">
      <c r="A325" t="s">
        <v>537</v>
      </c>
      <c r="B325" t="s">
        <v>889</v>
      </c>
      <c r="C325" t="s">
        <v>536</v>
      </c>
      <c r="D325" t="s">
        <v>3158</v>
      </c>
      <c r="E325" t="s">
        <v>167</v>
      </c>
      <c r="F325" t="s">
        <v>168</v>
      </c>
      <c r="G325" t="s">
        <v>169</v>
      </c>
      <c r="H325" t="s">
        <v>3102</v>
      </c>
      <c r="I325" t="s">
        <v>411</v>
      </c>
      <c r="J325" t="s">
        <v>172</v>
      </c>
      <c r="K325" t="s">
        <v>185</v>
      </c>
      <c r="L325" t="s">
        <v>3106</v>
      </c>
      <c r="M325" t="s">
        <v>3527</v>
      </c>
      <c r="N325" t="s">
        <v>3104</v>
      </c>
      <c r="O325" t="s">
        <v>3527</v>
      </c>
      <c r="P325" t="s">
        <v>3637</v>
      </c>
      <c r="Q325" t="s">
        <v>3190</v>
      </c>
    </row>
    <row r="326" spans="1:17">
      <c r="A326" t="s">
        <v>538</v>
      </c>
      <c r="B326" t="s">
        <v>889</v>
      </c>
      <c r="C326" t="s">
        <v>536</v>
      </c>
      <c r="D326" t="s">
        <v>3158</v>
      </c>
      <c r="E326" t="s">
        <v>167</v>
      </c>
      <c r="F326" t="s">
        <v>168</v>
      </c>
      <c r="G326" t="s">
        <v>169</v>
      </c>
      <c r="H326" t="s">
        <v>3102</v>
      </c>
      <c r="I326" t="s">
        <v>411</v>
      </c>
      <c r="J326" t="s">
        <v>172</v>
      </c>
      <c r="K326" t="s">
        <v>185</v>
      </c>
      <c r="L326" t="s">
        <v>3111</v>
      </c>
      <c r="M326" t="s">
        <v>3620</v>
      </c>
      <c r="N326" t="s">
        <v>3104</v>
      </c>
      <c r="O326" t="s">
        <v>3620</v>
      </c>
      <c r="P326" t="s">
        <v>3638</v>
      </c>
      <c r="Q326" t="s">
        <v>3475</v>
      </c>
    </row>
    <row r="327" spans="1:17">
      <c r="A327" t="s">
        <v>561</v>
      </c>
      <c r="B327" t="s">
        <v>889</v>
      </c>
      <c r="C327" t="s">
        <v>562</v>
      </c>
      <c r="D327" t="s">
        <v>3214</v>
      </c>
      <c r="E327" t="s">
        <v>167</v>
      </c>
      <c r="F327" t="s">
        <v>168</v>
      </c>
      <c r="G327" t="s">
        <v>169</v>
      </c>
      <c r="H327" t="s">
        <v>3102</v>
      </c>
      <c r="I327" t="s">
        <v>171</v>
      </c>
      <c r="J327" t="s">
        <v>172</v>
      </c>
      <c r="K327" t="s">
        <v>216</v>
      </c>
      <c r="L327" t="s">
        <v>2646</v>
      </c>
      <c r="M327" t="s">
        <v>3197</v>
      </c>
      <c r="N327" t="s">
        <v>3104</v>
      </c>
      <c r="O327" t="s">
        <v>3529</v>
      </c>
      <c r="P327" t="s">
        <v>3639</v>
      </c>
      <c r="Q327" t="s">
        <v>3640</v>
      </c>
    </row>
    <row r="328" spans="1:17">
      <c r="A328" t="s">
        <v>561</v>
      </c>
      <c r="B328" t="s">
        <v>889</v>
      </c>
      <c r="C328" t="s">
        <v>562</v>
      </c>
      <c r="D328" t="s">
        <v>3214</v>
      </c>
      <c r="E328" t="s">
        <v>167</v>
      </c>
      <c r="F328" t="s">
        <v>168</v>
      </c>
      <c r="G328" t="s">
        <v>169</v>
      </c>
      <c r="H328" t="s">
        <v>3102</v>
      </c>
      <c r="I328" t="s">
        <v>171</v>
      </c>
      <c r="J328" t="s">
        <v>172</v>
      </c>
      <c r="K328" t="s">
        <v>216</v>
      </c>
      <c r="L328" t="s">
        <v>3106</v>
      </c>
      <c r="M328" t="s">
        <v>3641</v>
      </c>
      <c r="N328" t="s">
        <v>3104</v>
      </c>
      <c r="O328" t="s">
        <v>805</v>
      </c>
      <c r="P328" t="s">
        <v>805</v>
      </c>
      <c r="Q328" t="s">
        <v>805</v>
      </c>
    </row>
    <row r="329" spans="1:17">
      <c r="A329" t="s">
        <v>590</v>
      </c>
      <c r="B329" t="s">
        <v>889</v>
      </c>
      <c r="C329" t="s">
        <v>591</v>
      </c>
      <c r="D329" t="s">
        <v>3214</v>
      </c>
      <c r="E329" t="s">
        <v>167</v>
      </c>
      <c r="F329" t="s">
        <v>168</v>
      </c>
      <c r="G329" t="s">
        <v>169</v>
      </c>
      <c r="H329" t="s">
        <v>3102</v>
      </c>
      <c r="I329" t="s">
        <v>171</v>
      </c>
      <c r="J329" t="s">
        <v>172</v>
      </c>
      <c r="K329" t="s">
        <v>185</v>
      </c>
      <c r="L329" t="s">
        <v>2646</v>
      </c>
      <c r="M329">
        <v>29</v>
      </c>
      <c r="N329" t="s">
        <v>3104</v>
      </c>
      <c r="O329">
        <v>29</v>
      </c>
      <c r="P329">
        <v>29.5</v>
      </c>
      <c r="Q329" t="s">
        <v>3259</v>
      </c>
    </row>
    <row r="330" spans="1:17">
      <c r="A330" t="s">
        <v>592</v>
      </c>
      <c r="B330" t="s">
        <v>889</v>
      </c>
      <c r="C330" t="s">
        <v>591</v>
      </c>
      <c r="D330" t="s">
        <v>3214</v>
      </c>
      <c r="E330" t="s">
        <v>167</v>
      </c>
      <c r="F330" t="s">
        <v>168</v>
      </c>
      <c r="G330" t="s">
        <v>169</v>
      </c>
      <c r="H330" t="s">
        <v>3102</v>
      </c>
      <c r="I330" t="s">
        <v>171</v>
      </c>
      <c r="J330" t="s">
        <v>172</v>
      </c>
      <c r="K330" t="s">
        <v>185</v>
      </c>
      <c r="L330" t="s">
        <v>3106</v>
      </c>
      <c r="M330" t="s">
        <v>3518</v>
      </c>
      <c r="N330" t="s">
        <v>3104</v>
      </c>
      <c r="O330" t="s">
        <v>3518</v>
      </c>
      <c r="P330" t="s">
        <v>3159</v>
      </c>
      <c r="Q330" t="s">
        <v>3259</v>
      </c>
    </row>
    <row r="331" spans="1:17">
      <c r="A331" t="s">
        <v>593</v>
      </c>
      <c r="B331" t="s">
        <v>889</v>
      </c>
      <c r="C331" t="s">
        <v>591</v>
      </c>
      <c r="D331" t="s">
        <v>3214</v>
      </c>
      <c r="E331" t="s">
        <v>167</v>
      </c>
      <c r="F331" t="s">
        <v>168</v>
      </c>
      <c r="G331" t="s">
        <v>169</v>
      </c>
      <c r="H331" t="s">
        <v>3102</v>
      </c>
      <c r="I331" t="s">
        <v>171</v>
      </c>
      <c r="J331" t="s">
        <v>172</v>
      </c>
      <c r="K331" t="s">
        <v>185</v>
      </c>
      <c r="L331" t="s">
        <v>3111</v>
      </c>
      <c r="M331" t="s">
        <v>3518</v>
      </c>
      <c r="N331" t="s">
        <v>3104</v>
      </c>
      <c r="O331" t="s">
        <v>3518</v>
      </c>
      <c r="P331" t="s">
        <v>3159</v>
      </c>
      <c r="Q331" t="s">
        <v>3259</v>
      </c>
    </row>
    <row r="332" spans="1:17">
      <c r="A332" t="s">
        <v>594</v>
      </c>
      <c r="B332" t="s">
        <v>889</v>
      </c>
      <c r="C332" t="s">
        <v>591</v>
      </c>
      <c r="D332" t="s">
        <v>3214</v>
      </c>
      <c r="E332" t="s">
        <v>167</v>
      </c>
      <c r="F332" t="s">
        <v>168</v>
      </c>
      <c r="G332" t="s">
        <v>169</v>
      </c>
      <c r="H332" t="s">
        <v>3102</v>
      </c>
      <c r="I332" t="s">
        <v>171</v>
      </c>
      <c r="J332" t="s">
        <v>172</v>
      </c>
      <c r="K332" t="s">
        <v>185</v>
      </c>
      <c r="L332" t="s">
        <v>3105</v>
      </c>
      <c r="M332" t="s">
        <v>3518</v>
      </c>
      <c r="N332" t="s">
        <v>3104</v>
      </c>
      <c r="O332" t="s">
        <v>3518</v>
      </c>
      <c r="P332" t="s">
        <v>3159</v>
      </c>
      <c r="Q332" t="s">
        <v>3259</v>
      </c>
    </row>
    <row r="333" spans="1:17">
      <c r="A333" t="s">
        <v>595</v>
      </c>
      <c r="B333" t="s">
        <v>889</v>
      </c>
      <c r="C333" t="s">
        <v>591</v>
      </c>
      <c r="D333" t="s">
        <v>3214</v>
      </c>
      <c r="E333" t="s">
        <v>167</v>
      </c>
      <c r="F333" t="s">
        <v>168</v>
      </c>
      <c r="G333" t="s">
        <v>169</v>
      </c>
      <c r="H333" t="s">
        <v>3102</v>
      </c>
      <c r="I333" t="s">
        <v>171</v>
      </c>
      <c r="J333" t="s">
        <v>172</v>
      </c>
      <c r="K333" t="s">
        <v>185</v>
      </c>
      <c r="L333" t="s">
        <v>3259</v>
      </c>
      <c r="M333" t="s">
        <v>3642</v>
      </c>
      <c r="N333" t="s">
        <v>3104</v>
      </c>
      <c r="O333" t="s">
        <v>3642</v>
      </c>
      <c r="P333" t="s">
        <v>3642</v>
      </c>
      <c r="Q333" t="s">
        <v>3643</v>
      </c>
    </row>
    <row r="334" spans="1:17">
      <c r="A334" t="s">
        <v>605</v>
      </c>
      <c r="B334" t="s">
        <v>889</v>
      </c>
      <c r="C334" t="s">
        <v>606</v>
      </c>
      <c r="D334" t="s">
        <v>3158</v>
      </c>
      <c r="E334" t="s">
        <v>167</v>
      </c>
      <c r="F334" t="s">
        <v>168</v>
      </c>
      <c r="G334" t="s">
        <v>177</v>
      </c>
      <c r="H334" t="s">
        <v>3126</v>
      </c>
      <c r="I334" t="s">
        <v>3127</v>
      </c>
      <c r="J334" t="s">
        <v>172</v>
      </c>
      <c r="K334" t="s">
        <v>179</v>
      </c>
      <c r="L334" t="s">
        <v>3181</v>
      </c>
      <c r="M334" t="s">
        <v>3338</v>
      </c>
      <c r="N334" t="s">
        <v>3115</v>
      </c>
      <c r="O334" t="s">
        <v>3644</v>
      </c>
      <c r="P334" t="s">
        <v>3105</v>
      </c>
      <c r="Q334" t="s">
        <v>3118</v>
      </c>
    </row>
    <row r="335" spans="1:17">
      <c r="A335" t="s">
        <v>607</v>
      </c>
      <c r="B335" t="s">
        <v>889</v>
      </c>
      <c r="C335" t="s">
        <v>608</v>
      </c>
      <c r="D335" t="s">
        <v>3158</v>
      </c>
      <c r="E335" t="s">
        <v>167</v>
      </c>
      <c r="F335" t="s">
        <v>168</v>
      </c>
      <c r="G335" t="s">
        <v>169</v>
      </c>
      <c r="H335" t="s">
        <v>3102</v>
      </c>
      <c r="I335" t="s">
        <v>171</v>
      </c>
      <c r="J335" t="s">
        <v>172</v>
      </c>
      <c r="K335" t="s">
        <v>185</v>
      </c>
      <c r="L335" t="s">
        <v>3261</v>
      </c>
      <c r="M335" t="s">
        <v>3515</v>
      </c>
      <c r="N335" t="s">
        <v>3104</v>
      </c>
      <c r="O335" t="s">
        <v>3515</v>
      </c>
      <c r="P335" t="s">
        <v>3645</v>
      </c>
      <c r="Q335" t="s">
        <v>3122</v>
      </c>
    </row>
    <row r="336" spans="1:17">
      <c r="A336" t="s">
        <v>609</v>
      </c>
      <c r="B336" t="s">
        <v>889</v>
      </c>
      <c r="C336" t="s">
        <v>608</v>
      </c>
      <c r="D336" t="s">
        <v>3158</v>
      </c>
      <c r="E336" t="s">
        <v>167</v>
      </c>
      <c r="F336" t="s">
        <v>168</v>
      </c>
      <c r="G336" t="s">
        <v>169</v>
      </c>
      <c r="H336" t="s">
        <v>3102</v>
      </c>
      <c r="I336" t="s">
        <v>171</v>
      </c>
      <c r="J336" t="s">
        <v>172</v>
      </c>
      <c r="K336" t="s">
        <v>185</v>
      </c>
      <c r="L336" t="s">
        <v>3288</v>
      </c>
      <c r="M336" t="s">
        <v>3515</v>
      </c>
      <c r="N336" t="s">
        <v>3104</v>
      </c>
      <c r="O336" t="s">
        <v>3515</v>
      </c>
      <c r="P336" t="s">
        <v>3645</v>
      </c>
      <c r="Q336" t="s">
        <v>3122</v>
      </c>
    </row>
    <row r="337" spans="1:17">
      <c r="A337" t="s">
        <v>620</v>
      </c>
      <c r="B337" t="s">
        <v>889</v>
      </c>
      <c r="C337" t="s">
        <v>3646</v>
      </c>
      <c r="D337" t="s">
        <v>3125</v>
      </c>
      <c r="E337" t="s">
        <v>167</v>
      </c>
      <c r="F337" t="s">
        <v>168</v>
      </c>
      <c r="G337" t="s">
        <v>169</v>
      </c>
      <c r="H337" t="s">
        <v>210</v>
      </c>
      <c r="I337" t="s">
        <v>211</v>
      </c>
      <c r="J337" t="s">
        <v>199</v>
      </c>
      <c r="K337" t="s">
        <v>212</v>
      </c>
      <c r="L337" t="s">
        <v>3128</v>
      </c>
      <c r="M337" t="s">
        <v>3515</v>
      </c>
      <c r="N337" t="s">
        <v>3104</v>
      </c>
      <c r="O337" t="s">
        <v>3316</v>
      </c>
      <c r="P337" t="s">
        <v>3316</v>
      </c>
      <c r="Q337" t="s">
        <v>3298</v>
      </c>
    </row>
    <row r="338" spans="1:17">
      <c r="A338" t="s">
        <v>620</v>
      </c>
      <c r="B338" t="s">
        <v>889</v>
      </c>
      <c r="C338" t="s">
        <v>3646</v>
      </c>
      <c r="D338" t="s">
        <v>3125</v>
      </c>
      <c r="E338" t="s">
        <v>167</v>
      </c>
      <c r="F338" t="s">
        <v>168</v>
      </c>
      <c r="G338" t="s">
        <v>169</v>
      </c>
      <c r="H338" t="s">
        <v>210</v>
      </c>
      <c r="I338" t="s">
        <v>211</v>
      </c>
      <c r="J338" t="s">
        <v>199</v>
      </c>
      <c r="K338" t="s">
        <v>212</v>
      </c>
      <c r="L338" t="s">
        <v>3473</v>
      </c>
      <c r="M338" t="s">
        <v>3493</v>
      </c>
      <c r="N338" t="s">
        <v>3104</v>
      </c>
      <c r="O338" t="s">
        <v>805</v>
      </c>
      <c r="P338" t="s">
        <v>805</v>
      </c>
      <c r="Q338" t="s">
        <v>805</v>
      </c>
    </row>
    <row r="339" spans="1:17">
      <c r="A339" t="s">
        <v>623</v>
      </c>
      <c r="B339" t="s">
        <v>889</v>
      </c>
      <c r="C339" t="s">
        <v>3646</v>
      </c>
      <c r="D339" t="s">
        <v>3125</v>
      </c>
      <c r="E339" t="s">
        <v>3236</v>
      </c>
      <c r="F339" t="s">
        <v>313</v>
      </c>
      <c r="G339" t="s">
        <v>169</v>
      </c>
      <c r="H339" t="s">
        <v>805</v>
      </c>
      <c r="I339" t="s">
        <v>805</v>
      </c>
      <c r="J339" t="s">
        <v>805</v>
      </c>
      <c r="K339" t="s">
        <v>805</v>
      </c>
      <c r="L339" t="s">
        <v>3128</v>
      </c>
      <c r="M339" t="s">
        <v>3515</v>
      </c>
      <c r="N339" t="s">
        <v>3104</v>
      </c>
      <c r="O339" t="s">
        <v>3316</v>
      </c>
      <c r="P339" t="s">
        <v>3316</v>
      </c>
      <c r="Q339" t="s">
        <v>3298</v>
      </c>
    </row>
    <row r="340" spans="1:17">
      <c r="A340" t="s">
        <v>623</v>
      </c>
      <c r="B340" t="s">
        <v>889</v>
      </c>
      <c r="C340" t="s">
        <v>3646</v>
      </c>
      <c r="D340" t="s">
        <v>3125</v>
      </c>
      <c r="E340" t="s">
        <v>3236</v>
      </c>
      <c r="F340" t="s">
        <v>313</v>
      </c>
      <c r="G340" t="s">
        <v>169</v>
      </c>
      <c r="H340" t="s">
        <v>805</v>
      </c>
      <c r="I340" t="s">
        <v>805</v>
      </c>
      <c r="J340" t="s">
        <v>805</v>
      </c>
      <c r="K340" t="s">
        <v>805</v>
      </c>
      <c r="L340" t="s">
        <v>3473</v>
      </c>
      <c r="M340" t="s">
        <v>3493</v>
      </c>
      <c r="N340" t="s">
        <v>3104</v>
      </c>
      <c r="O340" t="s">
        <v>805</v>
      </c>
      <c r="P340" t="s">
        <v>805</v>
      </c>
      <c r="Q340" t="s">
        <v>805</v>
      </c>
    </row>
    <row r="341" spans="1:17">
      <c r="A341" t="s">
        <v>737</v>
      </c>
      <c r="B341" t="s">
        <v>889</v>
      </c>
      <c r="C341" t="s">
        <v>738</v>
      </c>
      <c r="D341" t="s">
        <v>3158</v>
      </c>
      <c r="E341" t="s">
        <v>167</v>
      </c>
      <c r="F341" t="s">
        <v>168</v>
      </c>
      <c r="G341" t="s">
        <v>177</v>
      </c>
      <c r="H341" t="s">
        <v>3126</v>
      </c>
      <c r="I341" t="s">
        <v>3127</v>
      </c>
      <c r="J341" t="s">
        <v>172</v>
      </c>
      <c r="K341" t="s">
        <v>179</v>
      </c>
      <c r="L341" t="s">
        <v>2646</v>
      </c>
      <c r="M341" t="s">
        <v>3338</v>
      </c>
      <c r="N341" t="s">
        <v>3115</v>
      </c>
      <c r="O341" t="s">
        <v>2646</v>
      </c>
      <c r="P341" t="s">
        <v>2646</v>
      </c>
      <c r="Q341" t="s">
        <v>3118</v>
      </c>
    </row>
    <row r="342" spans="1:17">
      <c r="A342" t="s">
        <v>2891</v>
      </c>
      <c r="B342" t="s">
        <v>1254</v>
      </c>
      <c r="C342" t="s">
        <v>2890</v>
      </c>
      <c r="D342" t="s">
        <v>3214</v>
      </c>
      <c r="E342" t="s">
        <v>167</v>
      </c>
      <c r="F342" t="s">
        <v>168</v>
      </c>
      <c r="G342" t="s">
        <v>197</v>
      </c>
      <c r="H342" t="s">
        <v>219</v>
      </c>
      <c r="I342" t="s">
        <v>219</v>
      </c>
      <c r="J342" t="s">
        <v>199</v>
      </c>
      <c r="K342" t="s">
        <v>3244</v>
      </c>
      <c r="L342">
        <v>54</v>
      </c>
      <c r="M342">
        <v>2.5</v>
      </c>
      <c r="N342" t="s">
        <v>3104</v>
      </c>
      <c r="O342">
        <v>135</v>
      </c>
      <c r="P342">
        <v>110</v>
      </c>
      <c r="Q342">
        <v>25</v>
      </c>
    </row>
    <row r="343" spans="1:17">
      <c r="A343" t="s">
        <v>2895</v>
      </c>
      <c r="B343" t="s">
        <v>1254</v>
      </c>
      <c r="C343" t="s">
        <v>2894</v>
      </c>
      <c r="D343" t="s">
        <v>3214</v>
      </c>
      <c r="E343" t="s">
        <v>167</v>
      </c>
      <c r="F343" t="s">
        <v>168</v>
      </c>
      <c r="G343" t="s">
        <v>197</v>
      </c>
      <c r="H343" t="s">
        <v>219</v>
      </c>
      <c r="I343" t="s">
        <v>219</v>
      </c>
      <c r="J343" t="s">
        <v>199</v>
      </c>
      <c r="K343" t="s">
        <v>3244</v>
      </c>
      <c r="L343">
        <v>54</v>
      </c>
      <c r="M343">
        <v>2.5</v>
      </c>
      <c r="N343" t="s">
        <v>3104</v>
      </c>
      <c r="O343">
        <v>135</v>
      </c>
      <c r="P343">
        <v>110</v>
      </c>
      <c r="Q343">
        <v>25</v>
      </c>
    </row>
    <row r="344" spans="1:17">
      <c r="A344" t="s">
        <v>705</v>
      </c>
      <c r="B344" t="s">
        <v>1254</v>
      </c>
      <c r="C344" t="s">
        <v>3647</v>
      </c>
      <c r="D344" t="s">
        <v>3125</v>
      </c>
      <c r="E344" t="s">
        <v>167</v>
      </c>
      <c r="F344" t="s">
        <v>168</v>
      </c>
      <c r="G344" t="s">
        <v>169</v>
      </c>
      <c r="H344" t="s">
        <v>3102</v>
      </c>
      <c r="I344" t="s">
        <v>171</v>
      </c>
      <c r="J344" t="s">
        <v>172</v>
      </c>
      <c r="K344" t="s">
        <v>185</v>
      </c>
      <c r="L344" t="s">
        <v>2646</v>
      </c>
      <c r="M344" t="s">
        <v>3648</v>
      </c>
      <c r="N344" t="s">
        <v>3104</v>
      </c>
      <c r="O344" t="s">
        <v>3648</v>
      </c>
      <c r="P344" t="s">
        <v>3648</v>
      </c>
      <c r="Q344" t="s">
        <v>3191</v>
      </c>
    </row>
    <row r="345" spans="1:17">
      <c r="A345" t="s">
        <v>707</v>
      </c>
      <c r="B345" t="s">
        <v>1254</v>
      </c>
      <c r="C345" t="s">
        <v>3647</v>
      </c>
      <c r="D345" t="s">
        <v>3125</v>
      </c>
      <c r="E345" t="s">
        <v>167</v>
      </c>
      <c r="F345" t="s">
        <v>168</v>
      </c>
      <c r="G345" t="s">
        <v>169</v>
      </c>
      <c r="H345" t="s">
        <v>3102</v>
      </c>
      <c r="I345" t="s">
        <v>171</v>
      </c>
      <c r="J345" t="s">
        <v>172</v>
      </c>
      <c r="K345" t="s">
        <v>185</v>
      </c>
      <c r="L345" t="s">
        <v>3106</v>
      </c>
      <c r="M345" t="s">
        <v>3648</v>
      </c>
      <c r="N345" t="s">
        <v>3104</v>
      </c>
      <c r="O345" t="s">
        <v>3648</v>
      </c>
      <c r="P345" t="s">
        <v>3648</v>
      </c>
      <c r="Q345" t="s">
        <v>3191</v>
      </c>
    </row>
    <row r="346" spans="1:17">
      <c r="A346" t="s">
        <v>708</v>
      </c>
      <c r="B346" t="s">
        <v>1254</v>
      </c>
      <c r="C346" t="s">
        <v>3647</v>
      </c>
      <c r="D346" t="s">
        <v>3125</v>
      </c>
      <c r="E346" t="s">
        <v>167</v>
      </c>
      <c r="F346" t="s">
        <v>168</v>
      </c>
      <c r="G346" t="s">
        <v>169</v>
      </c>
      <c r="H346" t="s">
        <v>3102</v>
      </c>
      <c r="I346" t="s">
        <v>171</v>
      </c>
      <c r="J346" t="s">
        <v>172</v>
      </c>
      <c r="K346" t="s">
        <v>185</v>
      </c>
      <c r="L346" t="s">
        <v>3111</v>
      </c>
      <c r="M346" t="s">
        <v>3648</v>
      </c>
      <c r="N346" t="s">
        <v>3104</v>
      </c>
      <c r="O346" t="s">
        <v>3648</v>
      </c>
      <c r="P346" t="s">
        <v>3648</v>
      </c>
      <c r="Q346" t="s">
        <v>3191</v>
      </c>
    </row>
    <row r="347" spans="1:17">
      <c r="A347" t="s">
        <v>709</v>
      </c>
      <c r="B347" t="s">
        <v>1254</v>
      </c>
      <c r="C347" t="s">
        <v>3647</v>
      </c>
      <c r="D347" t="s">
        <v>3125</v>
      </c>
      <c r="E347" t="s">
        <v>167</v>
      </c>
      <c r="F347" t="s">
        <v>168</v>
      </c>
      <c r="G347" t="s">
        <v>169</v>
      </c>
      <c r="H347" t="s">
        <v>3102</v>
      </c>
      <c r="I347" t="s">
        <v>171</v>
      </c>
      <c r="J347" t="s">
        <v>172</v>
      </c>
      <c r="K347" t="s">
        <v>185</v>
      </c>
      <c r="L347" t="s">
        <v>3105</v>
      </c>
      <c r="M347" t="s">
        <v>3648</v>
      </c>
      <c r="N347" t="s">
        <v>3104</v>
      </c>
      <c r="O347" t="s">
        <v>3648</v>
      </c>
      <c r="P347" t="s">
        <v>3648</v>
      </c>
      <c r="Q347" t="s">
        <v>3191</v>
      </c>
    </row>
    <row r="348" spans="1:17">
      <c r="A348" t="s">
        <v>311</v>
      </c>
      <c r="B348" t="s">
        <v>1137</v>
      </c>
      <c r="C348" t="s">
        <v>312</v>
      </c>
      <c r="D348" t="s">
        <v>3101</v>
      </c>
      <c r="E348" t="s">
        <v>167</v>
      </c>
      <c r="F348" t="s">
        <v>168</v>
      </c>
      <c r="G348" t="s">
        <v>177</v>
      </c>
      <c r="H348" t="s">
        <v>198</v>
      </c>
      <c r="I348" t="s">
        <v>198</v>
      </c>
      <c r="J348" t="s">
        <v>199</v>
      </c>
      <c r="K348" t="s">
        <v>200</v>
      </c>
      <c r="L348" t="s">
        <v>3504</v>
      </c>
      <c r="M348" t="s">
        <v>3409</v>
      </c>
      <c r="N348" t="s">
        <v>3104</v>
      </c>
      <c r="O348" t="s">
        <v>3224</v>
      </c>
      <c r="P348">
        <v>52</v>
      </c>
      <c r="Q348">
        <v>0</v>
      </c>
    </row>
    <row r="349" spans="1:17">
      <c r="A349" t="s">
        <v>316</v>
      </c>
      <c r="B349" t="s">
        <v>867</v>
      </c>
      <c r="C349" t="s">
        <v>317</v>
      </c>
      <c r="D349" t="s">
        <v>3214</v>
      </c>
      <c r="E349" t="s">
        <v>167</v>
      </c>
      <c r="F349" t="s">
        <v>168</v>
      </c>
      <c r="G349" t="s">
        <v>197</v>
      </c>
      <c r="H349" t="s">
        <v>198</v>
      </c>
      <c r="I349" t="s">
        <v>198</v>
      </c>
      <c r="J349" t="s">
        <v>199</v>
      </c>
      <c r="K349" t="s">
        <v>200</v>
      </c>
      <c r="L349" t="s">
        <v>3649</v>
      </c>
      <c r="M349" t="s">
        <v>3106</v>
      </c>
      <c r="N349" t="s">
        <v>3115</v>
      </c>
      <c r="O349" t="s">
        <v>3312</v>
      </c>
      <c r="P349" t="s">
        <v>3312</v>
      </c>
      <c r="Q349" t="s">
        <v>3175</v>
      </c>
    </row>
    <row r="350" spans="1:17">
      <c r="A350" t="s">
        <v>2714</v>
      </c>
      <c r="B350" t="s">
        <v>3650</v>
      </c>
      <c r="C350" t="s">
        <v>2713</v>
      </c>
      <c r="D350" t="s">
        <v>3101</v>
      </c>
      <c r="E350" t="s">
        <v>167</v>
      </c>
      <c r="F350" t="s">
        <v>168</v>
      </c>
      <c r="G350" t="s">
        <v>197</v>
      </c>
      <c r="H350" t="s">
        <v>198</v>
      </c>
      <c r="I350" t="s">
        <v>198</v>
      </c>
      <c r="J350" t="s">
        <v>199</v>
      </c>
      <c r="K350" t="s">
        <v>200</v>
      </c>
      <c r="L350" t="s">
        <v>3651</v>
      </c>
      <c r="M350" t="s">
        <v>3114</v>
      </c>
      <c r="N350" t="s">
        <v>3104</v>
      </c>
      <c r="O350">
        <v>79.95</v>
      </c>
      <c r="P350">
        <v>79</v>
      </c>
      <c r="Q350">
        <v>39</v>
      </c>
    </row>
    <row r="351" spans="1:17">
      <c r="A351" t="s">
        <v>358</v>
      </c>
      <c r="B351" t="s">
        <v>3652</v>
      </c>
      <c r="C351" t="s">
        <v>356</v>
      </c>
      <c r="D351" t="s">
        <v>3101</v>
      </c>
      <c r="E351" t="s">
        <v>167</v>
      </c>
      <c r="F351" t="s">
        <v>168</v>
      </c>
      <c r="G351" t="s">
        <v>177</v>
      </c>
      <c r="H351" t="s">
        <v>210</v>
      </c>
      <c r="I351" t="s">
        <v>211</v>
      </c>
      <c r="J351" t="s">
        <v>199</v>
      </c>
      <c r="K351" t="s">
        <v>223</v>
      </c>
      <c r="L351" t="s">
        <v>2646</v>
      </c>
      <c r="M351" t="s">
        <v>3653</v>
      </c>
      <c r="N351" t="s">
        <v>3115</v>
      </c>
      <c r="O351" t="s">
        <v>3653</v>
      </c>
      <c r="P351" t="s">
        <v>3259</v>
      </c>
      <c r="Q351" t="s">
        <v>3118</v>
      </c>
    </row>
    <row r="352" spans="1:17">
      <c r="A352" t="s">
        <v>377</v>
      </c>
      <c r="B352" t="s">
        <v>3652</v>
      </c>
      <c r="C352" t="s">
        <v>378</v>
      </c>
      <c r="D352" t="s">
        <v>3101</v>
      </c>
      <c r="E352" t="s">
        <v>167</v>
      </c>
      <c r="F352" t="s">
        <v>168</v>
      </c>
      <c r="G352" t="s">
        <v>177</v>
      </c>
      <c r="H352" t="s">
        <v>210</v>
      </c>
      <c r="I352" t="s">
        <v>211</v>
      </c>
      <c r="J352" t="s">
        <v>199</v>
      </c>
      <c r="K352" t="s">
        <v>223</v>
      </c>
      <c r="L352" t="s">
        <v>2646</v>
      </c>
      <c r="M352" t="s">
        <v>3654</v>
      </c>
      <c r="N352" t="s">
        <v>3115</v>
      </c>
      <c r="O352" t="s">
        <v>3654</v>
      </c>
      <c r="P352" t="s">
        <v>3105</v>
      </c>
      <c r="Q352" t="s">
        <v>3118</v>
      </c>
    </row>
    <row r="353" spans="1:17">
      <c r="A353" t="s">
        <v>675</v>
      </c>
      <c r="B353" t="s">
        <v>3652</v>
      </c>
      <c r="C353" t="s">
        <v>2661</v>
      </c>
      <c r="D353" t="s">
        <v>3125</v>
      </c>
      <c r="E353" t="s">
        <v>167</v>
      </c>
      <c r="F353" t="s">
        <v>168</v>
      </c>
      <c r="G353" t="s">
        <v>177</v>
      </c>
      <c r="H353" t="s">
        <v>210</v>
      </c>
      <c r="I353" t="s">
        <v>211</v>
      </c>
      <c r="J353" t="s">
        <v>199</v>
      </c>
      <c r="K353" t="s">
        <v>223</v>
      </c>
      <c r="L353" t="s">
        <v>2646</v>
      </c>
      <c r="M353" t="s">
        <v>3483</v>
      </c>
      <c r="N353" t="s">
        <v>3115</v>
      </c>
      <c r="O353" t="s">
        <v>3483</v>
      </c>
      <c r="P353" t="s">
        <v>3111</v>
      </c>
      <c r="Q353" t="s">
        <v>3118</v>
      </c>
    </row>
    <row r="354" spans="1:17">
      <c r="A354" t="s">
        <v>743</v>
      </c>
      <c r="B354" t="s">
        <v>3652</v>
      </c>
      <c r="C354" t="s">
        <v>3655</v>
      </c>
      <c r="D354" t="s">
        <v>3101</v>
      </c>
      <c r="E354" t="s">
        <v>167</v>
      </c>
      <c r="F354" t="s">
        <v>168</v>
      </c>
      <c r="G354" t="s">
        <v>177</v>
      </c>
      <c r="H354" t="s">
        <v>210</v>
      </c>
      <c r="I354" t="s">
        <v>211</v>
      </c>
      <c r="J354" t="s">
        <v>199</v>
      </c>
      <c r="K354" t="s">
        <v>223</v>
      </c>
      <c r="L354" t="s">
        <v>2646</v>
      </c>
      <c r="M354" t="s">
        <v>3409</v>
      </c>
      <c r="N354" t="s">
        <v>3115</v>
      </c>
      <c r="O354" t="s">
        <v>3409</v>
      </c>
      <c r="P354" t="s">
        <v>3106</v>
      </c>
      <c r="Q354" t="s">
        <v>3118</v>
      </c>
    </row>
    <row r="355" spans="1:17">
      <c r="A355" t="s">
        <v>805</v>
      </c>
      <c r="B355" t="s">
        <v>1161</v>
      </c>
      <c r="C355" t="s">
        <v>580</v>
      </c>
      <c r="D355" t="s">
        <v>3101</v>
      </c>
      <c r="E355" t="s">
        <v>167</v>
      </c>
      <c r="F355" t="s">
        <v>313</v>
      </c>
      <c r="G355" t="s">
        <v>177</v>
      </c>
      <c r="H355" t="s">
        <v>198</v>
      </c>
      <c r="I355" t="s">
        <v>198</v>
      </c>
      <c r="J355" t="s">
        <v>199</v>
      </c>
      <c r="K355" t="s">
        <v>200</v>
      </c>
      <c r="L355" t="s">
        <v>3137</v>
      </c>
      <c r="M355" t="s">
        <v>3106</v>
      </c>
      <c r="N355" t="s">
        <v>3115</v>
      </c>
      <c r="O355" t="s">
        <v>3656</v>
      </c>
      <c r="P355" t="s">
        <v>3656</v>
      </c>
      <c r="Q355" t="s">
        <v>3118</v>
      </c>
    </row>
    <row r="356" spans="1:17">
      <c r="A356" t="s">
        <v>2811</v>
      </c>
      <c r="B356" t="s">
        <v>3657</v>
      </c>
      <c r="C356" t="s">
        <v>2810</v>
      </c>
      <c r="D356" t="s">
        <v>3101</v>
      </c>
      <c r="E356" t="s">
        <v>167</v>
      </c>
      <c r="F356" t="s">
        <v>168</v>
      </c>
      <c r="G356" t="s">
        <v>177</v>
      </c>
      <c r="H356" t="s">
        <v>198</v>
      </c>
      <c r="I356" t="s">
        <v>198</v>
      </c>
      <c r="J356" t="s">
        <v>199</v>
      </c>
      <c r="K356" t="s">
        <v>200</v>
      </c>
      <c r="L356" t="s">
        <v>3353</v>
      </c>
      <c r="M356" t="s">
        <v>3114</v>
      </c>
      <c r="N356" t="s">
        <v>3104</v>
      </c>
      <c r="O356" t="s">
        <v>3658</v>
      </c>
      <c r="P356" t="s">
        <v>3475</v>
      </c>
      <c r="Q356" t="s">
        <v>3659</v>
      </c>
    </row>
    <row r="357" spans="1:17">
      <c r="A357" t="s">
        <v>2534</v>
      </c>
      <c r="B357" t="s">
        <v>3660</v>
      </c>
      <c r="C357" t="s">
        <v>2533</v>
      </c>
      <c r="D357" t="s">
        <v>3125</v>
      </c>
      <c r="E357" t="s">
        <v>167</v>
      </c>
      <c r="F357" t="s">
        <v>168</v>
      </c>
      <c r="G357" t="s">
        <v>197</v>
      </c>
      <c r="H357" t="s">
        <v>219</v>
      </c>
      <c r="I357" t="s">
        <v>219</v>
      </c>
      <c r="J357" t="s">
        <v>199</v>
      </c>
      <c r="K357" t="s">
        <v>3141</v>
      </c>
      <c r="L357" t="s">
        <v>3463</v>
      </c>
      <c r="M357" t="s">
        <v>3661</v>
      </c>
      <c r="N357" t="s">
        <v>3104</v>
      </c>
      <c r="O357" t="s">
        <v>3662</v>
      </c>
      <c r="P357" t="s">
        <v>3207</v>
      </c>
      <c r="Q357" t="s">
        <v>3663</v>
      </c>
    </row>
    <row r="358" spans="1:17">
      <c r="A358" t="s">
        <v>581</v>
      </c>
      <c r="B358" t="s">
        <v>885</v>
      </c>
      <c r="C358" t="s">
        <v>582</v>
      </c>
      <c r="D358" t="s">
        <v>3214</v>
      </c>
      <c r="E358" t="s">
        <v>167</v>
      </c>
      <c r="F358" t="s">
        <v>168</v>
      </c>
      <c r="G358" t="s">
        <v>169</v>
      </c>
      <c r="H358" t="s">
        <v>3102</v>
      </c>
      <c r="I358" t="s">
        <v>171</v>
      </c>
      <c r="J358" t="s">
        <v>172</v>
      </c>
      <c r="K358" t="s">
        <v>216</v>
      </c>
      <c r="L358" t="s">
        <v>3128</v>
      </c>
      <c r="M358" t="s">
        <v>3184</v>
      </c>
      <c r="N358" t="s">
        <v>3104</v>
      </c>
      <c r="O358" t="s">
        <v>3265</v>
      </c>
      <c r="P358">
        <v>529</v>
      </c>
      <c r="Q358">
        <v>20</v>
      </c>
    </row>
    <row r="359" spans="1:17">
      <c r="A359" t="s">
        <v>581</v>
      </c>
      <c r="B359" t="s">
        <v>885</v>
      </c>
      <c r="C359" t="s">
        <v>582</v>
      </c>
      <c r="D359" t="s">
        <v>3214</v>
      </c>
      <c r="E359" t="s">
        <v>167</v>
      </c>
      <c r="F359" t="s">
        <v>168</v>
      </c>
      <c r="G359" t="s">
        <v>169</v>
      </c>
      <c r="H359" t="s">
        <v>3102</v>
      </c>
      <c r="I359" t="s">
        <v>171</v>
      </c>
      <c r="J359" t="s">
        <v>172</v>
      </c>
      <c r="K359" t="s">
        <v>216</v>
      </c>
      <c r="L359" t="s">
        <v>3111</v>
      </c>
      <c r="M359" t="s">
        <v>3664</v>
      </c>
      <c r="N359" t="s">
        <v>3104</v>
      </c>
      <c r="O359" t="s">
        <v>805</v>
      </c>
      <c r="P359" t="s">
        <v>805</v>
      </c>
      <c r="Q359" t="s">
        <v>805</v>
      </c>
    </row>
    <row r="360" spans="1:17">
      <c r="A360" t="s">
        <v>805</v>
      </c>
      <c r="B360" t="s">
        <v>3665</v>
      </c>
      <c r="C360" t="s">
        <v>3666</v>
      </c>
      <c r="D360" t="s">
        <v>3158</v>
      </c>
      <c r="E360" t="s">
        <v>167</v>
      </c>
      <c r="F360" t="s">
        <v>313</v>
      </c>
      <c r="G360" t="s">
        <v>177</v>
      </c>
      <c r="H360" t="s">
        <v>3126</v>
      </c>
      <c r="I360" t="s">
        <v>287</v>
      </c>
      <c r="J360" t="s">
        <v>172</v>
      </c>
      <c r="K360" t="s">
        <v>195</v>
      </c>
      <c r="L360" t="s">
        <v>2646</v>
      </c>
      <c r="M360" t="s">
        <v>3667</v>
      </c>
      <c r="N360" t="s">
        <v>3115</v>
      </c>
      <c r="O360" t="s">
        <v>3668</v>
      </c>
      <c r="P360" t="s">
        <v>3123</v>
      </c>
      <c r="Q360" t="s">
        <v>3133</v>
      </c>
    </row>
    <row r="361" spans="1:17">
      <c r="A361" t="s">
        <v>805</v>
      </c>
      <c r="B361" t="s">
        <v>3665</v>
      </c>
      <c r="C361" t="s">
        <v>3666</v>
      </c>
      <c r="D361" t="s">
        <v>3158</v>
      </c>
      <c r="E361" t="s">
        <v>167</v>
      </c>
      <c r="F361" t="s">
        <v>313</v>
      </c>
      <c r="G361" t="s">
        <v>177</v>
      </c>
      <c r="H361" t="s">
        <v>3126</v>
      </c>
      <c r="I361" t="s">
        <v>287</v>
      </c>
      <c r="J361" t="s">
        <v>172</v>
      </c>
      <c r="K361" t="s">
        <v>195</v>
      </c>
      <c r="L361" t="s">
        <v>3106</v>
      </c>
      <c r="M361" t="s">
        <v>3669</v>
      </c>
      <c r="N361" t="s">
        <v>3115</v>
      </c>
      <c r="O361" t="s">
        <v>805</v>
      </c>
      <c r="P361" t="s">
        <v>805</v>
      </c>
      <c r="Q361" t="s">
        <v>805</v>
      </c>
    </row>
    <row r="362" spans="1:17">
      <c r="A362" t="s">
        <v>405</v>
      </c>
      <c r="B362" t="s">
        <v>3670</v>
      </c>
      <c r="C362" t="s">
        <v>3671</v>
      </c>
      <c r="D362" t="s">
        <v>3101</v>
      </c>
      <c r="E362" t="s">
        <v>167</v>
      </c>
      <c r="F362" t="s">
        <v>168</v>
      </c>
      <c r="G362" t="s">
        <v>177</v>
      </c>
      <c r="H362" t="s">
        <v>210</v>
      </c>
      <c r="I362" t="s">
        <v>211</v>
      </c>
      <c r="J362" t="s">
        <v>199</v>
      </c>
      <c r="K362" t="s">
        <v>212</v>
      </c>
      <c r="L362" t="s">
        <v>2646</v>
      </c>
      <c r="M362" t="s">
        <v>3672</v>
      </c>
      <c r="N362" t="s">
        <v>3115</v>
      </c>
      <c r="O362" t="s">
        <v>3672</v>
      </c>
      <c r="P362" t="s">
        <v>2646</v>
      </c>
      <c r="Q362" t="s">
        <v>3133</v>
      </c>
    </row>
    <row r="363" spans="1:17">
      <c r="A363" t="s">
        <v>754</v>
      </c>
      <c r="B363" t="s">
        <v>3670</v>
      </c>
      <c r="C363" t="s">
        <v>755</v>
      </c>
      <c r="D363" t="s">
        <v>3101</v>
      </c>
      <c r="E363" t="s">
        <v>167</v>
      </c>
      <c r="F363" t="s">
        <v>168</v>
      </c>
      <c r="G363" t="s">
        <v>177</v>
      </c>
      <c r="H363" t="s">
        <v>198</v>
      </c>
      <c r="I363" t="s">
        <v>198</v>
      </c>
      <c r="J363" t="s">
        <v>199</v>
      </c>
      <c r="K363" t="s">
        <v>200</v>
      </c>
      <c r="L363" t="s">
        <v>3341</v>
      </c>
      <c r="M363" t="s">
        <v>3106</v>
      </c>
      <c r="N363" t="s">
        <v>3104</v>
      </c>
      <c r="O363" t="s">
        <v>3298</v>
      </c>
      <c r="P363" t="s">
        <v>3298</v>
      </c>
      <c r="Q363" t="s">
        <v>3133</v>
      </c>
    </row>
    <row r="364" spans="1:17">
      <c r="A364" t="s">
        <v>727</v>
      </c>
      <c r="B364" t="s">
        <v>1133</v>
      </c>
      <c r="C364" t="s">
        <v>728</v>
      </c>
      <c r="D364" t="s">
        <v>3101</v>
      </c>
      <c r="E364" t="s">
        <v>167</v>
      </c>
      <c r="F364" t="s">
        <v>168</v>
      </c>
      <c r="G364" t="s">
        <v>177</v>
      </c>
      <c r="H364" t="s">
        <v>198</v>
      </c>
      <c r="I364" t="s">
        <v>198</v>
      </c>
      <c r="J364" t="s">
        <v>199</v>
      </c>
      <c r="K364" t="s">
        <v>200</v>
      </c>
      <c r="L364" t="s">
        <v>3673</v>
      </c>
      <c r="M364" t="s">
        <v>3409</v>
      </c>
      <c r="N364" t="s">
        <v>3115</v>
      </c>
      <c r="O364" t="s">
        <v>3674</v>
      </c>
      <c r="P364" t="s">
        <v>3674</v>
      </c>
      <c r="Q364" t="s">
        <v>3133</v>
      </c>
    </row>
    <row r="365" spans="1:17">
      <c r="A365" t="s">
        <v>336</v>
      </c>
      <c r="B365" t="s">
        <v>1362</v>
      </c>
      <c r="C365" t="s">
        <v>337</v>
      </c>
      <c r="D365" t="s">
        <v>3158</v>
      </c>
      <c r="E365" t="s">
        <v>167</v>
      </c>
      <c r="F365" t="s">
        <v>168</v>
      </c>
      <c r="G365" t="s">
        <v>169</v>
      </c>
      <c r="H365" t="s">
        <v>3102</v>
      </c>
      <c r="I365" t="s">
        <v>171</v>
      </c>
      <c r="J365" t="s">
        <v>172</v>
      </c>
      <c r="K365" t="s">
        <v>216</v>
      </c>
      <c r="L365" t="s">
        <v>3128</v>
      </c>
      <c r="M365" t="s">
        <v>3277</v>
      </c>
      <c r="N365" t="s">
        <v>3104</v>
      </c>
      <c r="O365" t="s">
        <v>3675</v>
      </c>
      <c r="P365" t="s">
        <v>3527</v>
      </c>
      <c r="Q365" t="s">
        <v>3149</v>
      </c>
    </row>
    <row r="366" spans="1:17">
      <c r="A366" t="s">
        <v>336</v>
      </c>
      <c r="B366" t="s">
        <v>1362</v>
      </c>
      <c r="C366" t="s">
        <v>337</v>
      </c>
      <c r="D366" t="s">
        <v>3158</v>
      </c>
      <c r="E366" t="s">
        <v>167</v>
      </c>
      <c r="F366" t="s">
        <v>168</v>
      </c>
      <c r="G366" t="s">
        <v>169</v>
      </c>
      <c r="H366" t="s">
        <v>3102</v>
      </c>
      <c r="I366" t="s">
        <v>171</v>
      </c>
      <c r="J366" t="s">
        <v>172</v>
      </c>
      <c r="K366" t="s">
        <v>216</v>
      </c>
      <c r="L366" t="s">
        <v>3111</v>
      </c>
      <c r="M366" t="s">
        <v>3312</v>
      </c>
      <c r="N366" t="s">
        <v>3104</v>
      </c>
      <c r="O366" t="s">
        <v>805</v>
      </c>
      <c r="P366" t="s">
        <v>805</v>
      </c>
      <c r="Q366" t="s">
        <v>805</v>
      </c>
    </row>
    <row r="367" spans="1:17">
      <c r="A367" t="s">
        <v>614</v>
      </c>
      <c r="B367" t="s">
        <v>3676</v>
      </c>
      <c r="C367" t="s">
        <v>615</v>
      </c>
      <c r="D367" t="s">
        <v>3158</v>
      </c>
      <c r="E367" t="s">
        <v>167</v>
      </c>
      <c r="F367" t="s">
        <v>168</v>
      </c>
      <c r="G367" t="s">
        <v>177</v>
      </c>
      <c r="H367" t="s">
        <v>3126</v>
      </c>
      <c r="I367" t="s">
        <v>287</v>
      </c>
      <c r="J367" t="s">
        <v>172</v>
      </c>
      <c r="K367" t="s">
        <v>195</v>
      </c>
      <c r="L367" t="s">
        <v>2646</v>
      </c>
      <c r="M367" t="s">
        <v>3175</v>
      </c>
      <c r="N367" t="s">
        <v>3115</v>
      </c>
      <c r="O367" t="s">
        <v>3175</v>
      </c>
      <c r="P367" t="s">
        <v>3175</v>
      </c>
      <c r="Q367" t="s">
        <v>3118</v>
      </c>
    </row>
    <row r="368" spans="1:17">
      <c r="A368" t="s">
        <v>2315</v>
      </c>
      <c r="B368" t="s">
        <v>3677</v>
      </c>
      <c r="C368" t="s">
        <v>3678</v>
      </c>
      <c r="D368" t="s">
        <v>3158</v>
      </c>
      <c r="E368" t="s">
        <v>167</v>
      </c>
      <c r="F368" t="s">
        <v>168</v>
      </c>
      <c r="G368" t="s">
        <v>197</v>
      </c>
      <c r="H368" t="s">
        <v>219</v>
      </c>
      <c r="I368" t="s">
        <v>219</v>
      </c>
      <c r="J368" t="s">
        <v>199</v>
      </c>
      <c r="K368" t="s">
        <v>3244</v>
      </c>
      <c r="L368" t="s">
        <v>3618</v>
      </c>
      <c r="M368">
        <v>2</v>
      </c>
      <c r="N368" t="s">
        <v>3104</v>
      </c>
      <c r="O368">
        <v>128</v>
      </c>
      <c r="P368">
        <v>116</v>
      </c>
      <c r="Q368">
        <v>696</v>
      </c>
    </row>
    <row r="369" spans="1:17">
      <c r="A369" t="s">
        <v>612</v>
      </c>
      <c r="B369" t="s">
        <v>3679</v>
      </c>
      <c r="C369" t="s">
        <v>613</v>
      </c>
      <c r="D369" t="s">
        <v>3125</v>
      </c>
      <c r="E369" t="s">
        <v>167</v>
      </c>
      <c r="F369" t="s">
        <v>168</v>
      </c>
      <c r="G369" t="s">
        <v>177</v>
      </c>
      <c r="H369" t="s">
        <v>219</v>
      </c>
      <c r="I369" t="s">
        <v>219</v>
      </c>
      <c r="J369" t="s">
        <v>199</v>
      </c>
      <c r="K369" t="s">
        <v>3141</v>
      </c>
      <c r="L369" t="s">
        <v>3408</v>
      </c>
      <c r="M369" t="s">
        <v>2646</v>
      </c>
      <c r="N369" t="s">
        <v>3115</v>
      </c>
      <c r="O369" t="s">
        <v>3146</v>
      </c>
      <c r="P369" t="s">
        <v>3146</v>
      </c>
      <c r="Q369" t="s">
        <v>3118</v>
      </c>
    </row>
    <row r="370" spans="1:17">
      <c r="A370" t="s">
        <v>775</v>
      </c>
      <c r="B370" t="s">
        <v>1333</v>
      </c>
      <c r="C370" t="s">
        <v>776</v>
      </c>
      <c r="D370" t="s">
        <v>3158</v>
      </c>
      <c r="E370" t="s">
        <v>167</v>
      </c>
      <c r="F370" t="s">
        <v>168</v>
      </c>
      <c r="G370" t="s">
        <v>169</v>
      </c>
      <c r="H370" t="s">
        <v>3102</v>
      </c>
      <c r="I370" t="s">
        <v>171</v>
      </c>
      <c r="J370" t="s">
        <v>172</v>
      </c>
      <c r="K370" t="s">
        <v>216</v>
      </c>
      <c r="L370" t="s">
        <v>2646</v>
      </c>
      <c r="M370" t="s">
        <v>3680</v>
      </c>
      <c r="N370" t="s">
        <v>3104</v>
      </c>
      <c r="O370" t="s">
        <v>3680</v>
      </c>
      <c r="P370" t="s">
        <v>3529</v>
      </c>
      <c r="Q370" t="s">
        <v>3681</v>
      </c>
    </row>
    <row r="371" spans="1:17">
      <c r="A371" t="s">
        <v>2996</v>
      </c>
      <c r="B371" t="s">
        <v>3682</v>
      </c>
      <c r="C371" t="s">
        <v>3683</v>
      </c>
      <c r="D371" t="s">
        <v>3214</v>
      </c>
      <c r="E371" t="s">
        <v>167</v>
      </c>
      <c r="F371" t="s">
        <v>168</v>
      </c>
      <c r="G371" t="s">
        <v>177</v>
      </c>
      <c r="H371" t="s">
        <v>3102</v>
      </c>
      <c r="I371" t="s">
        <v>188</v>
      </c>
      <c r="J371" t="s">
        <v>172</v>
      </c>
      <c r="K371" t="s">
        <v>185</v>
      </c>
      <c r="L371" t="s">
        <v>3351</v>
      </c>
      <c r="M371" t="s">
        <v>3684</v>
      </c>
      <c r="N371" t="s">
        <v>3104</v>
      </c>
      <c r="O371" t="s">
        <v>3680</v>
      </c>
      <c r="P371" t="s">
        <v>3680</v>
      </c>
      <c r="Q371" t="s">
        <v>3554</v>
      </c>
    </row>
    <row r="372" spans="1:17">
      <c r="A372" t="s">
        <v>2992</v>
      </c>
      <c r="B372" t="s">
        <v>3682</v>
      </c>
      <c r="C372" t="s">
        <v>3685</v>
      </c>
      <c r="D372" t="s">
        <v>3214</v>
      </c>
      <c r="E372" t="s">
        <v>167</v>
      </c>
      <c r="F372" t="s">
        <v>168</v>
      </c>
      <c r="G372" t="s">
        <v>177</v>
      </c>
      <c r="H372" t="s">
        <v>3102</v>
      </c>
      <c r="I372" t="s">
        <v>188</v>
      </c>
      <c r="J372" t="s">
        <v>172</v>
      </c>
      <c r="K372" t="s">
        <v>185</v>
      </c>
      <c r="L372" t="s">
        <v>3181</v>
      </c>
      <c r="M372" t="s">
        <v>3684</v>
      </c>
      <c r="N372" t="s">
        <v>3104</v>
      </c>
      <c r="O372" t="s">
        <v>3686</v>
      </c>
      <c r="P372" t="s">
        <v>3687</v>
      </c>
      <c r="Q372" t="s">
        <v>3140</v>
      </c>
    </row>
    <row r="373" spans="1:17">
      <c r="A373" t="s">
        <v>2775</v>
      </c>
      <c r="B373" t="s">
        <v>3688</v>
      </c>
      <c r="C373" t="s">
        <v>2774</v>
      </c>
      <c r="D373" t="s">
        <v>3101</v>
      </c>
      <c r="E373" t="s">
        <v>167</v>
      </c>
      <c r="F373" t="s">
        <v>168</v>
      </c>
      <c r="G373" t="s">
        <v>197</v>
      </c>
      <c r="H373" t="s">
        <v>198</v>
      </c>
      <c r="I373" t="s">
        <v>198</v>
      </c>
      <c r="J373" t="s">
        <v>199</v>
      </c>
      <c r="K373" t="s">
        <v>200</v>
      </c>
      <c r="L373" t="s">
        <v>3322</v>
      </c>
      <c r="M373">
        <v>3.6</v>
      </c>
      <c r="N373" t="s">
        <v>3104</v>
      </c>
      <c r="O373">
        <v>54</v>
      </c>
      <c r="P373">
        <v>54</v>
      </c>
      <c r="Q373">
        <v>162</v>
      </c>
    </row>
    <row r="374" spans="1:17">
      <c r="A374" t="s">
        <v>741</v>
      </c>
      <c r="B374" t="s">
        <v>3689</v>
      </c>
      <c r="C374" t="s">
        <v>2675</v>
      </c>
      <c r="D374" t="s">
        <v>3125</v>
      </c>
      <c r="E374" t="s">
        <v>167</v>
      </c>
      <c r="F374" t="s">
        <v>168</v>
      </c>
      <c r="G374" t="s">
        <v>177</v>
      </c>
      <c r="H374" t="s">
        <v>3102</v>
      </c>
      <c r="I374" t="s">
        <v>257</v>
      </c>
      <c r="J374" t="s">
        <v>172</v>
      </c>
      <c r="K374" t="s">
        <v>254</v>
      </c>
      <c r="L374" t="s">
        <v>3128</v>
      </c>
      <c r="M374" t="s">
        <v>3111</v>
      </c>
      <c r="N374" t="s">
        <v>3115</v>
      </c>
      <c r="O374" t="s">
        <v>3117</v>
      </c>
      <c r="P374" t="s">
        <v>3117</v>
      </c>
      <c r="Q374" t="s">
        <v>3118</v>
      </c>
    </row>
    <row r="375" spans="1:17">
      <c r="A375" t="s">
        <v>739</v>
      </c>
      <c r="B375" t="s">
        <v>3689</v>
      </c>
      <c r="C375" t="s">
        <v>3690</v>
      </c>
      <c r="D375" t="s">
        <v>3125</v>
      </c>
      <c r="E375" t="s">
        <v>167</v>
      </c>
      <c r="F375" t="s">
        <v>168</v>
      </c>
      <c r="G375" t="s">
        <v>177</v>
      </c>
      <c r="H375" t="s">
        <v>3102</v>
      </c>
      <c r="I375" t="s">
        <v>257</v>
      </c>
      <c r="J375" t="s">
        <v>172</v>
      </c>
      <c r="K375" t="s">
        <v>254</v>
      </c>
      <c r="L375" t="s">
        <v>3181</v>
      </c>
      <c r="M375" t="s">
        <v>2646</v>
      </c>
      <c r="N375" t="s">
        <v>3115</v>
      </c>
      <c r="O375" t="s">
        <v>3110</v>
      </c>
      <c r="P375" t="s">
        <v>3110</v>
      </c>
      <c r="Q375" t="s">
        <v>3118</v>
      </c>
    </row>
    <row r="376" spans="1:17">
      <c r="A376" t="s">
        <v>739</v>
      </c>
      <c r="B376" t="s">
        <v>3689</v>
      </c>
      <c r="C376" t="s">
        <v>3690</v>
      </c>
      <c r="D376" t="s">
        <v>3125</v>
      </c>
      <c r="E376" t="s">
        <v>167</v>
      </c>
      <c r="F376" t="s">
        <v>168</v>
      </c>
      <c r="G376" t="s">
        <v>177</v>
      </c>
      <c r="H376" t="s">
        <v>3102</v>
      </c>
      <c r="I376" t="s">
        <v>257</v>
      </c>
      <c r="J376" t="s">
        <v>172</v>
      </c>
      <c r="K376" t="s">
        <v>254</v>
      </c>
      <c r="L376" t="s">
        <v>3691</v>
      </c>
      <c r="M376" t="s">
        <v>3111</v>
      </c>
      <c r="N376" t="s">
        <v>3115</v>
      </c>
      <c r="O376" t="s">
        <v>805</v>
      </c>
      <c r="P376" t="s">
        <v>805</v>
      </c>
      <c r="Q376" t="s">
        <v>805</v>
      </c>
    </row>
    <row r="377" spans="1:17">
      <c r="A377" t="s">
        <v>645</v>
      </c>
      <c r="B377" t="s">
        <v>3692</v>
      </c>
      <c r="C377" t="s">
        <v>646</v>
      </c>
      <c r="D377" t="s">
        <v>3158</v>
      </c>
      <c r="E377" t="s">
        <v>167</v>
      </c>
      <c r="F377" t="s">
        <v>168</v>
      </c>
      <c r="G377" t="s">
        <v>177</v>
      </c>
      <c r="H377" t="s">
        <v>3102</v>
      </c>
      <c r="I377" t="s">
        <v>188</v>
      </c>
      <c r="J377" t="s">
        <v>172</v>
      </c>
      <c r="K377" t="s">
        <v>179</v>
      </c>
      <c r="L377" t="s">
        <v>2646</v>
      </c>
      <c r="M377" t="s">
        <v>2646</v>
      </c>
      <c r="N377" t="s">
        <v>3115</v>
      </c>
      <c r="O377" t="s">
        <v>2646</v>
      </c>
      <c r="P377" t="s">
        <v>2646</v>
      </c>
      <c r="Q377" t="s">
        <v>3133</v>
      </c>
    </row>
    <row r="378" spans="1:17">
      <c r="A378" t="s">
        <v>631</v>
      </c>
      <c r="B378" t="s">
        <v>854</v>
      </c>
      <c r="C378" t="s">
        <v>3693</v>
      </c>
      <c r="D378" t="s">
        <v>3214</v>
      </c>
      <c r="E378" t="s">
        <v>167</v>
      </c>
      <c r="F378" t="s">
        <v>168</v>
      </c>
      <c r="G378" t="s">
        <v>197</v>
      </c>
      <c r="H378" t="s">
        <v>198</v>
      </c>
      <c r="I378" t="s">
        <v>198</v>
      </c>
      <c r="J378" t="s">
        <v>199</v>
      </c>
      <c r="K378" t="s">
        <v>200</v>
      </c>
      <c r="L378" t="s">
        <v>3694</v>
      </c>
      <c r="M378" t="s">
        <v>3172</v>
      </c>
      <c r="N378" t="s">
        <v>3115</v>
      </c>
      <c r="O378" t="s">
        <v>3695</v>
      </c>
      <c r="P378" t="s">
        <v>3695</v>
      </c>
      <c r="Q378" t="s">
        <v>3146</v>
      </c>
    </row>
    <row r="379" spans="1:17">
      <c r="A379" t="s">
        <v>629</v>
      </c>
      <c r="B379" t="s">
        <v>858</v>
      </c>
      <c r="C379" t="s">
        <v>630</v>
      </c>
      <c r="D379" t="s">
        <v>3214</v>
      </c>
      <c r="E379" t="s">
        <v>167</v>
      </c>
      <c r="F379" t="s">
        <v>168</v>
      </c>
      <c r="G379" t="s">
        <v>197</v>
      </c>
      <c r="H379" t="s">
        <v>198</v>
      </c>
      <c r="I379" t="s">
        <v>198</v>
      </c>
      <c r="J379" t="s">
        <v>199</v>
      </c>
      <c r="K379" t="s">
        <v>200</v>
      </c>
      <c r="L379" t="s">
        <v>3696</v>
      </c>
      <c r="M379" t="s">
        <v>3111</v>
      </c>
      <c r="N379" t="s">
        <v>3115</v>
      </c>
      <c r="O379" t="s">
        <v>3697</v>
      </c>
      <c r="P379" t="s">
        <v>3697</v>
      </c>
      <c r="Q379" t="s">
        <v>3207</v>
      </c>
    </row>
    <row r="380" spans="1:17">
      <c r="A380" t="s">
        <v>627</v>
      </c>
      <c r="B380" t="s">
        <v>858</v>
      </c>
      <c r="C380" t="s">
        <v>628</v>
      </c>
      <c r="D380" t="s">
        <v>3214</v>
      </c>
      <c r="E380" t="s">
        <v>167</v>
      </c>
      <c r="F380" t="s">
        <v>168</v>
      </c>
      <c r="G380" t="s">
        <v>197</v>
      </c>
      <c r="H380" t="s">
        <v>198</v>
      </c>
      <c r="I380" t="s">
        <v>198</v>
      </c>
      <c r="J380" t="s">
        <v>199</v>
      </c>
      <c r="K380" t="s">
        <v>200</v>
      </c>
      <c r="L380" t="s">
        <v>3698</v>
      </c>
      <c r="M380" t="s">
        <v>3111</v>
      </c>
      <c r="N380" t="s">
        <v>3115</v>
      </c>
      <c r="O380" t="s">
        <v>3527</v>
      </c>
      <c r="P380" t="s">
        <v>3527</v>
      </c>
      <c r="Q380" t="s">
        <v>3207</v>
      </c>
    </row>
    <row r="381" spans="1:17">
      <c r="A381" t="s">
        <v>190</v>
      </c>
      <c r="B381" t="s">
        <v>1031</v>
      </c>
      <c r="C381" t="s">
        <v>187</v>
      </c>
      <c r="D381" t="s">
        <v>3214</v>
      </c>
      <c r="E381" t="s">
        <v>167</v>
      </c>
      <c r="F381" t="s">
        <v>168</v>
      </c>
      <c r="G381" t="s">
        <v>169</v>
      </c>
      <c r="H381" t="s">
        <v>3102</v>
      </c>
      <c r="I381" t="s">
        <v>188</v>
      </c>
      <c r="J381" t="s">
        <v>172</v>
      </c>
      <c r="K381" t="s">
        <v>179</v>
      </c>
      <c r="L381" t="s">
        <v>3495</v>
      </c>
      <c r="M381" t="s">
        <v>3699</v>
      </c>
      <c r="N381" t="s">
        <v>3104</v>
      </c>
      <c r="O381" t="s">
        <v>3207</v>
      </c>
      <c r="P381" t="s">
        <v>3207</v>
      </c>
      <c r="Q381" t="s">
        <v>3423</v>
      </c>
    </row>
    <row r="382" spans="1:17">
      <c r="A382" t="s">
        <v>241</v>
      </c>
      <c r="B382" t="s">
        <v>1031</v>
      </c>
      <c r="C382" t="s">
        <v>242</v>
      </c>
      <c r="D382" t="s">
        <v>3125</v>
      </c>
      <c r="E382" t="s">
        <v>167</v>
      </c>
      <c r="F382" t="s">
        <v>168</v>
      </c>
      <c r="G382" t="s">
        <v>169</v>
      </c>
      <c r="H382" t="s">
        <v>210</v>
      </c>
      <c r="I382" t="s">
        <v>211</v>
      </c>
      <c r="J382" t="s">
        <v>199</v>
      </c>
      <c r="K382" t="s">
        <v>212</v>
      </c>
      <c r="L382" t="s">
        <v>2646</v>
      </c>
      <c r="M382" t="s">
        <v>3478</v>
      </c>
      <c r="N382" t="s">
        <v>3104</v>
      </c>
      <c r="O382" t="s">
        <v>3478</v>
      </c>
      <c r="P382" t="s">
        <v>3493</v>
      </c>
      <c r="Q382" t="s">
        <v>3110</v>
      </c>
    </row>
    <row r="383" spans="1:17">
      <c r="A383" t="s">
        <v>306</v>
      </c>
      <c r="B383" t="s">
        <v>1031</v>
      </c>
      <c r="C383" t="s">
        <v>307</v>
      </c>
      <c r="D383" t="s">
        <v>3125</v>
      </c>
      <c r="E383" t="s">
        <v>167</v>
      </c>
      <c r="F383" t="s">
        <v>168</v>
      </c>
      <c r="G383" t="s">
        <v>169</v>
      </c>
      <c r="H383" t="s">
        <v>3102</v>
      </c>
      <c r="I383" t="s">
        <v>171</v>
      </c>
      <c r="J383" t="s">
        <v>172</v>
      </c>
      <c r="K383" t="s">
        <v>185</v>
      </c>
      <c r="L383" t="s">
        <v>2646</v>
      </c>
      <c r="M383" t="s">
        <v>3700</v>
      </c>
      <c r="N383" t="s">
        <v>3104</v>
      </c>
      <c r="O383" t="s">
        <v>3700</v>
      </c>
      <c r="P383" t="s">
        <v>3700</v>
      </c>
      <c r="Q383" t="s">
        <v>3191</v>
      </c>
    </row>
    <row r="384" spans="1:17">
      <c r="A384" t="s">
        <v>308</v>
      </c>
      <c r="B384" t="s">
        <v>1031</v>
      </c>
      <c r="C384" t="s">
        <v>307</v>
      </c>
      <c r="D384" t="s">
        <v>3125</v>
      </c>
      <c r="E384" t="s">
        <v>167</v>
      </c>
      <c r="F384" t="s">
        <v>168</v>
      </c>
      <c r="G384" t="s">
        <v>169</v>
      </c>
      <c r="H384" t="s">
        <v>3102</v>
      </c>
      <c r="I384" t="s">
        <v>171</v>
      </c>
      <c r="J384" t="s">
        <v>172</v>
      </c>
      <c r="K384" t="s">
        <v>185</v>
      </c>
      <c r="L384" t="s">
        <v>3106</v>
      </c>
      <c r="M384" t="s">
        <v>3700</v>
      </c>
      <c r="N384" t="s">
        <v>3104</v>
      </c>
      <c r="O384" t="s">
        <v>3700</v>
      </c>
      <c r="P384" t="s">
        <v>3700</v>
      </c>
      <c r="Q384" t="s">
        <v>3191</v>
      </c>
    </row>
    <row r="385" spans="1:17">
      <c r="A385" t="s">
        <v>309</v>
      </c>
      <c r="B385" t="s">
        <v>1031</v>
      </c>
      <c r="C385" t="s">
        <v>307</v>
      </c>
      <c r="D385" t="s">
        <v>3125</v>
      </c>
      <c r="E385" t="s">
        <v>167</v>
      </c>
      <c r="F385" t="s">
        <v>168</v>
      </c>
      <c r="G385" t="s">
        <v>169</v>
      </c>
      <c r="H385" t="s">
        <v>3102</v>
      </c>
      <c r="I385" t="s">
        <v>171</v>
      </c>
      <c r="J385" t="s">
        <v>172</v>
      </c>
      <c r="K385" t="s">
        <v>185</v>
      </c>
      <c r="L385" t="s">
        <v>3111</v>
      </c>
      <c r="M385" t="s">
        <v>3700</v>
      </c>
      <c r="N385" t="s">
        <v>3104</v>
      </c>
      <c r="O385" t="s">
        <v>3700</v>
      </c>
      <c r="P385" t="s">
        <v>3700</v>
      </c>
      <c r="Q385" t="s">
        <v>3191</v>
      </c>
    </row>
    <row r="386" spans="1:17">
      <c r="A386" t="s">
        <v>310</v>
      </c>
      <c r="B386" t="s">
        <v>1031</v>
      </c>
      <c r="C386" t="s">
        <v>307</v>
      </c>
      <c r="D386" t="s">
        <v>3125</v>
      </c>
      <c r="E386" t="s">
        <v>167</v>
      </c>
      <c r="F386" t="s">
        <v>168</v>
      </c>
      <c r="G386" t="s">
        <v>169</v>
      </c>
      <c r="H386" t="s">
        <v>3102</v>
      </c>
      <c r="I386" t="s">
        <v>171</v>
      </c>
      <c r="J386" t="s">
        <v>172</v>
      </c>
      <c r="K386" t="s">
        <v>185</v>
      </c>
      <c r="L386" t="s">
        <v>3105</v>
      </c>
      <c r="M386" t="s">
        <v>3700</v>
      </c>
      <c r="N386" t="s">
        <v>3104</v>
      </c>
      <c r="O386" t="s">
        <v>3700</v>
      </c>
      <c r="P386" t="s">
        <v>3700</v>
      </c>
      <c r="Q386" t="s">
        <v>3191</v>
      </c>
    </row>
    <row r="387" spans="1:17">
      <c r="A387" t="s">
        <v>805</v>
      </c>
      <c r="B387" t="s">
        <v>1031</v>
      </c>
      <c r="C387" t="s">
        <v>3701</v>
      </c>
      <c r="D387" t="s">
        <v>3101</v>
      </c>
      <c r="E387" t="s">
        <v>167</v>
      </c>
      <c r="F387" t="s">
        <v>313</v>
      </c>
      <c r="G387" t="s">
        <v>177</v>
      </c>
      <c r="H387" t="s">
        <v>3133</v>
      </c>
      <c r="I387" t="s">
        <v>3133</v>
      </c>
      <c r="J387" t="s">
        <v>3133</v>
      </c>
      <c r="K387" t="s">
        <v>3133</v>
      </c>
      <c r="L387" t="s">
        <v>2646</v>
      </c>
      <c r="M387" t="s">
        <v>3478</v>
      </c>
      <c r="N387" t="s">
        <v>3115</v>
      </c>
      <c r="O387" t="s">
        <v>3478</v>
      </c>
      <c r="P387" t="s">
        <v>3478</v>
      </c>
      <c r="Q387" t="s">
        <v>3133</v>
      </c>
    </row>
    <row r="388" spans="1:17">
      <c r="A388" t="s">
        <v>393</v>
      </c>
      <c r="B388" t="s">
        <v>1031</v>
      </c>
      <c r="C388" t="s">
        <v>394</v>
      </c>
      <c r="D388" t="s">
        <v>3125</v>
      </c>
      <c r="E388" t="s">
        <v>167</v>
      </c>
      <c r="F388" t="s">
        <v>168</v>
      </c>
      <c r="G388" t="s">
        <v>169</v>
      </c>
      <c r="H388" t="s">
        <v>210</v>
      </c>
      <c r="I388" t="s">
        <v>211</v>
      </c>
      <c r="J388" t="s">
        <v>199</v>
      </c>
      <c r="K388" t="s">
        <v>212</v>
      </c>
      <c r="L388" t="s">
        <v>3128</v>
      </c>
      <c r="M388" t="s">
        <v>3175</v>
      </c>
      <c r="N388" t="s">
        <v>3104</v>
      </c>
      <c r="O388" t="s">
        <v>3140</v>
      </c>
      <c r="P388" t="s">
        <v>3493</v>
      </c>
      <c r="Q388" t="s">
        <v>3146</v>
      </c>
    </row>
    <row r="389" spans="1:17">
      <c r="A389" t="s">
        <v>438</v>
      </c>
      <c r="B389" t="s">
        <v>1031</v>
      </c>
      <c r="C389" t="s">
        <v>3702</v>
      </c>
      <c r="D389" t="s">
        <v>3125</v>
      </c>
      <c r="E389" t="s">
        <v>167</v>
      </c>
      <c r="F389" t="s">
        <v>168</v>
      </c>
      <c r="G389" t="s">
        <v>177</v>
      </c>
      <c r="H389" t="s">
        <v>210</v>
      </c>
      <c r="I389" t="s">
        <v>211</v>
      </c>
      <c r="J389" t="s">
        <v>199</v>
      </c>
      <c r="K389" t="s">
        <v>212</v>
      </c>
      <c r="L389" t="s">
        <v>2646</v>
      </c>
      <c r="M389" t="s">
        <v>3338</v>
      </c>
      <c r="N389" t="s">
        <v>3115</v>
      </c>
      <c r="O389" t="s">
        <v>3338</v>
      </c>
      <c r="P389" t="s">
        <v>2646</v>
      </c>
      <c r="Q389" t="s">
        <v>3133</v>
      </c>
    </row>
    <row r="390" spans="1:17">
      <c r="A390" t="s">
        <v>440</v>
      </c>
      <c r="B390" t="s">
        <v>1031</v>
      </c>
      <c r="C390" t="s">
        <v>441</v>
      </c>
      <c r="D390" t="s">
        <v>3125</v>
      </c>
      <c r="E390" t="s">
        <v>167</v>
      </c>
      <c r="F390" t="s">
        <v>168</v>
      </c>
      <c r="G390" t="s">
        <v>177</v>
      </c>
      <c r="H390" t="s">
        <v>210</v>
      </c>
      <c r="I390" t="s">
        <v>211</v>
      </c>
      <c r="J390" t="s">
        <v>199</v>
      </c>
      <c r="K390" t="s">
        <v>212</v>
      </c>
      <c r="L390" t="s">
        <v>2646</v>
      </c>
      <c r="M390" t="s">
        <v>3423</v>
      </c>
      <c r="N390" t="s">
        <v>3115</v>
      </c>
      <c r="O390" t="s">
        <v>3423</v>
      </c>
      <c r="P390" t="s">
        <v>3423</v>
      </c>
      <c r="Q390" t="s">
        <v>3133</v>
      </c>
    </row>
    <row r="391" spans="1:17">
      <c r="A391" t="s">
        <v>477</v>
      </c>
      <c r="B391" t="s">
        <v>1031</v>
      </c>
      <c r="C391" t="s">
        <v>459</v>
      </c>
      <c r="D391" t="s">
        <v>3101</v>
      </c>
      <c r="E391" t="s">
        <v>167</v>
      </c>
      <c r="F391" t="s">
        <v>168</v>
      </c>
      <c r="G391" t="s">
        <v>169</v>
      </c>
      <c r="H391" t="s">
        <v>3102</v>
      </c>
      <c r="I391" t="s">
        <v>171</v>
      </c>
      <c r="J391" t="s">
        <v>172</v>
      </c>
      <c r="K391" t="s">
        <v>185</v>
      </c>
      <c r="L391" t="s">
        <v>2646</v>
      </c>
      <c r="M391" t="s">
        <v>3703</v>
      </c>
      <c r="N391" t="s">
        <v>3104</v>
      </c>
      <c r="O391" t="s">
        <v>3703</v>
      </c>
      <c r="P391" t="s">
        <v>3659</v>
      </c>
      <c r="Q391" t="s">
        <v>3471</v>
      </c>
    </row>
    <row r="392" spans="1:17">
      <c r="A392" t="s">
        <v>478</v>
      </c>
      <c r="B392" t="s">
        <v>1031</v>
      </c>
      <c r="C392" t="s">
        <v>459</v>
      </c>
      <c r="D392" t="s">
        <v>3101</v>
      </c>
      <c r="E392" t="s">
        <v>167</v>
      </c>
      <c r="F392" t="s">
        <v>168</v>
      </c>
      <c r="G392" t="s">
        <v>169</v>
      </c>
      <c r="H392" t="s">
        <v>3102</v>
      </c>
      <c r="I392" t="s">
        <v>171</v>
      </c>
      <c r="J392" t="s">
        <v>172</v>
      </c>
      <c r="K392" t="s">
        <v>185</v>
      </c>
      <c r="L392" t="s">
        <v>3106</v>
      </c>
      <c r="M392" t="s">
        <v>3703</v>
      </c>
      <c r="N392" t="s">
        <v>3104</v>
      </c>
      <c r="O392" t="s">
        <v>3703</v>
      </c>
      <c r="P392" t="s">
        <v>3659</v>
      </c>
      <c r="Q392" t="s">
        <v>3471</v>
      </c>
    </row>
    <row r="393" spans="1:17">
      <c r="A393" t="s">
        <v>481</v>
      </c>
      <c r="B393" t="s">
        <v>1031</v>
      </c>
      <c r="C393" t="s">
        <v>482</v>
      </c>
      <c r="D393" t="s">
        <v>3214</v>
      </c>
      <c r="E393" t="s">
        <v>167</v>
      </c>
      <c r="F393" t="s">
        <v>168</v>
      </c>
      <c r="G393" t="s">
        <v>169</v>
      </c>
      <c r="H393" t="s">
        <v>3102</v>
      </c>
      <c r="I393" t="s">
        <v>188</v>
      </c>
      <c r="J393" t="s">
        <v>172</v>
      </c>
      <c r="K393" t="s">
        <v>179</v>
      </c>
      <c r="L393" t="s">
        <v>3495</v>
      </c>
      <c r="M393" t="s">
        <v>3704</v>
      </c>
      <c r="N393" t="s">
        <v>3104</v>
      </c>
      <c r="O393" t="s">
        <v>3146</v>
      </c>
      <c r="P393" t="s">
        <v>3398</v>
      </c>
      <c r="Q393" t="s">
        <v>3110</v>
      </c>
    </row>
    <row r="394" spans="1:17">
      <c r="A394" t="s">
        <v>541</v>
      </c>
      <c r="B394" t="s">
        <v>1031</v>
      </c>
      <c r="C394" t="s">
        <v>3705</v>
      </c>
      <c r="D394" t="s">
        <v>3101</v>
      </c>
      <c r="E394" t="s">
        <v>167</v>
      </c>
      <c r="F394" t="s">
        <v>168</v>
      </c>
      <c r="G394" t="s">
        <v>169</v>
      </c>
      <c r="H394" t="s">
        <v>210</v>
      </c>
      <c r="I394" t="s">
        <v>211</v>
      </c>
      <c r="J394" t="s">
        <v>199</v>
      </c>
      <c r="K394" t="s">
        <v>212</v>
      </c>
      <c r="L394" t="s">
        <v>3597</v>
      </c>
      <c r="M394" t="s">
        <v>3217</v>
      </c>
      <c r="N394" t="s">
        <v>3104</v>
      </c>
      <c r="O394" t="s">
        <v>3706</v>
      </c>
      <c r="P394" t="s">
        <v>3707</v>
      </c>
      <c r="Q394" t="s">
        <v>3237</v>
      </c>
    </row>
    <row r="395" spans="1:17">
      <c r="A395" t="s">
        <v>541</v>
      </c>
      <c r="B395" t="s">
        <v>1031</v>
      </c>
      <c r="C395" t="s">
        <v>3705</v>
      </c>
      <c r="D395" t="s">
        <v>3101</v>
      </c>
      <c r="E395" t="s">
        <v>167</v>
      </c>
      <c r="F395" t="s">
        <v>168</v>
      </c>
      <c r="G395" t="s">
        <v>169</v>
      </c>
      <c r="H395" t="s">
        <v>210</v>
      </c>
      <c r="I395" t="s">
        <v>211</v>
      </c>
      <c r="J395" t="s">
        <v>199</v>
      </c>
      <c r="K395" t="s">
        <v>212</v>
      </c>
      <c r="L395" t="s">
        <v>3708</v>
      </c>
      <c r="M395" t="s">
        <v>3709</v>
      </c>
      <c r="N395" t="s">
        <v>3104</v>
      </c>
      <c r="O395" t="s">
        <v>805</v>
      </c>
      <c r="P395" t="s">
        <v>805</v>
      </c>
      <c r="Q395" t="s">
        <v>805</v>
      </c>
    </row>
    <row r="396" spans="1:17">
      <c r="A396" t="s">
        <v>583</v>
      </c>
      <c r="B396" t="s">
        <v>1031</v>
      </c>
      <c r="C396" t="s">
        <v>3710</v>
      </c>
      <c r="D396" t="s">
        <v>3214</v>
      </c>
      <c r="E396" t="s">
        <v>167</v>
      </c>
      <c r="F396" t="s">
        <v>168</v>
      </c>
      <c r="G396" t="s">
        <v>169</v>
      </c>
      <c r="H396" t="s">
        <v>3102</v>
      </c>
      <c r="I396" t="s">
        <v>188</v>
      </c>
      <c r="J396" t="s">
        <v>172</v>
      </c>
      <c r="K396" t="s">
        <v>179</v>
      </c>
      <c r="L396" t="s">
        <v>3711</v>
      </c>
      <c r="M396" t="s">
        <v>3712</v>
      </c>
      <c r="N396" t="s">
        <v>3104</v>
      </c>
      <c r="O396" t="s">
        <v>3713</v>
      </c>
      <c r="P396" t="s">
        <v>3343</v>
      </c>
      <c r="Q396" t="s">
        <v>3192</v>
      </c>
    </row>
    <row r="397" spans="1:17">
      <c r="A397" t="s">
        <v>696</v>
      </c>
      <c r="B397" t="s">
        <v>1031</v>
      </c>
      <c r="C397" t="s">
        <v>633</v>
      </c>
      <c r="D397" t="s">
        <v>3125</v>
      </c>
      <c r="E397" t="s">
        <v>167</v>
      </c>
      <c r="F397" t="s">
        <v>168</v>
      </c>
      <c r="G397" t="s">
        <v>169</v>
      </c>
      <c r="H397" t="s">
        <v>210</v>
      </c>
      <c r="I397" t="s">
        <v>211</v>
      </c>
      <c r="J397" t="s">
        <v>199</v>
      </c>
      <c r="K397" t="s">
        <v>212</v>
      </c>
      <c r="L397" t="s">
        <v>3341</v>
      </c>
      <c r="M397" t="s">
        <v>3319</v>
      </c>
      <c r="N397" t="s">
        <v>3104</v>
      </c>
      <c r="O397" t="s">
        <v>3714</v>
      </c>
      <c r="P397" t="s">
        <v>3715</v>
      </c>
      <c r="Q397" t="s">
        <v>3242</v>
      </c>
    </row>
    <row r="398" spans="1:17">
      <c r="A398" t="s">
        <v>2518</v>
      </c>
      <c r="B398" t="s">
        <v>1031</v>
      </c>
      <c r="C398" t="s">
        <v>3716</v>
      </c>
      <c r="D398" t="s">
        <v>3125</v>
      </c>
      <c r="E398" t="s">
        <v>3236</v>
      </c>
      <c r="F398" t="s">
        <v>168</v>
      </c>
      <c r="G398" t="s">
        <v>169</v>
      </c>
      <c r="H398" t="s">
        <v>3133</v>
      </c>
      <c r="I398" t="s">
        <v>3133</v>
      </c>
      <c r="J398" t="s">
        <v>3133</v>
      </c>
      <c r="K398" t="s">
        <v>3133</v>
      </c>
      <c r="L398" t="s">
        <v>3717</v>
      </c>
      <c r="M398" t="s">
        <v>3228</v>
      </c>
      <c r="N398" t="s">
        <v>3104</v>
      </c>
      <c r="O398" t="s">
        <v>3242</v>
      </c>
      <c r="P398" t="s">
        <v>3242</v>
      </c>
      <c r="Q398" t="s">
        <v>3227</v>
      </c>
    </row>
    <row r="399" spans="1:17">
      <c r="A399" t="s">
        <v>703</v>
      </c>
      <c r="B399" t="s">
        <v>1031</v>
      </c>
      <c r="C399" t="s">
        <v>3718</v>
      </c>
      <c r="D399" t="s">
        <v>3125</v>
      </c>
      <c r="E399" t="s">
        <v>167</v>
      </c>
      <c r="F399" t="s">
        <v>168</v>
      </c>
      <c r="G399" t="s">
        <v>169</v>
      </c>
      <c r="H399" t="s">
        <v>210</v>
      </c>
      <c r="I399" t="s">
        <v>211</v>
      </c>
      <c r="J399" t="s">
        <v>199</v>
      </c>
      <c r="K399" t="s">
        <v>212</v>
      </c>
      <c r="L399" t="s">
        <v>3181</v>
      </c>
      <c r="M399" t="s">
        <v>3187</v>
      </c>
      <c r="N399" t="s">
        <v>3104</v>
      </c>
      <c r="O399" t="s">
        <v>3719</v>
      </c>
      <c r="P399" t="s">
        <v>3720</v>
      </c>
      <c r="Q399" t="s">
        <v>3721</v>
      </c>
    </row>
    <row r="400" spans="1:17">
      <c r="A400" t="s">
        <v>703</v>
      </c>
      <c r="B400" t="s">
        <v>1031</v>
      </c>
      <c r="C400" t="s">
        <v>3718</v>
      </c>
      <c r="D400" t="s">
        <v>3125</v>
      </c>
      <c r="E400" t="s">
        <v>167</v>
      </c>
      <c r="F400" t="s">
        <v>168</v>
      </c>
      <c r="G400" t="s">
        <v>169</v>
      </c>
      <c r="H400" t="s">
        <v>210</v>
      </c>
      <c r="I400" t="s">
        <v>211</v>
      </c>
      <c r="J400" t="s">
        <v>199</v>
      </c>
      <c r="K400" t="s">
        <v>212</v>
      </c>
      <c r="L400" t="s">
        <v>3722</v>
      </c>
      <c r="M400" t="s">
        <v>3723</v>
      </c>
      <c r="N400" t="s">
        <v>3104</v>
      </c>
      <c r="O400" t="s">
        <v>805</v>
      </c>
      <c r="P400" t="s">
        <v>805</v>
      </c>
      <c r="Q400" t="s">
        <v>805</v>
      </c>
    </row>
    <row r="401" spans="1:17">
      <c r="A401" t="s">
        <v>715</v>
      </c>
      <c r="B401" t="s">
        <v>1031</v>
      </c>
      <c r="C401" t="s">
        <v>714</v>
      </c>
      <c r="D401" t="s">
        <v>3101</v>
      </c>
      <c r="E401" t="s">
        <v>167</v>
      </c>
      <c r="F401" t="s">
        <v>168</v>
      </c>
      <c r="G401" t="s">
        <v>169</v>
      </c>
      <c r="H401" t="s">
        <v>3102</v>
      </c>
      <c r="I401" t="s">
        <v>171</v>
      </c>
      <c r="J401" t="s">
        <v>172</v>
      </c>
      <c r="K401" t="s">
        <v>185</v>
      </c>
      <c r="L401" t="s">
        <v>3341</v>
      </c>
      <c r="M401" t="s">
        <v>3207</v>
      </c>
      <c r="N401" t="s">
        <v>3104</v>
      </c>
      <c r="O401" t="s">
        <v>3207</v>
      </c>
      <c r="P401" t="s">
        <v>3140</v>
      </c>
      <c r="Q401" t="s">
        <v>2390</v>
      </c>
    </row>
    <row r="402" spans="1:17">
      <c r="A402" t="s">
        <v>716</v>
      </c>
      <c r="B402" t="s">
        <v>1031</v>
      </c>
      <c r="C402" t="s">
        <v>714</v>
      </c>
      <c r="D402" t="s">
        <v>3101</v>
      </c>
      <c r="E402" t="s">
        <v>167</v>
      </c>
      <c r="F402" t="s">
        <v>168</v>
      </c>
      <c r="G402" t="s">
        <v>169</v>
      </c>
      <c r="H402" t="s">
        <v>3102</v>
      </c>
      <c r="I402" t="s">
        <v>171</v>
      </c>
      <c r="J402" t="s">
        <v>172</v>
      </c>
      <c r="K402" t="s">
        <v>185</v>
      </c>
      <c r="L402" t="s">
        <v>3724</v>
      </c>
      <c r="M402" t="s">
        <v>3207</v>
      </c>
      <c r="N402" t="s">
        <v>3104</v>
      </c>
      <c r="O402" t="s">
        <v>3207</v>
      </c>
      <c r="P402" t="s">
        <v>3140</v>
      </c>
      <c r="Q402" t="s">
        <v>2390</v>
      </c>
    </row>
    <row r="403" spans="1:17">
      <c r="A403" t="s">
        <v>717</v>
      </c>
      <c r="B403" t="s">
        <v>1031</v>
      </c>
      <c r="C403" t="s">
        <v>714</v>
      </c>
      <c r="D403" t="s">
        <v>3101</v>
      </c>
      <c r="E403" t="s">
        <v>167</v>
      </c>
      <c r="F403" t="s">
        <v>168</v>
      </c>
      <c r="G403" t="s">
        <v>169</v>
      </c>
      <c r="H403" t="s">
        <v>3102</v>
      </c>
      <c r="I403" t="s">
        <v>171</v>
      </c>
      <c r="J403" t="s">
        <v>172</v>
      </c>
      <c r="K403" t="s">
        <v>185</v>
      </c>
      <c r="L403" t="s">
        <v>3540</v>
      </c>
      <c r="M403" t="s">
        <v>3207</v>
      </c>
      <c r="N403" t="s">
        <v>3104</v>
      </c>
      <c r="O403" t="s">
        <v>3207</v>
      </c>
      <c r="P403" t="s">
        <v>3140</v>
      </c>
      <c r="Q403" t="s">
        <v>2390</v>
      </c>
    </row>
    <row r="404" spans="1:17">
      <c r="A404" t="s">
        <v>718</v>
      </c>
      <c r="B404" t="s">
        <v>1031</v>
      </c>
      <c r="C404" t="s">
        <v>714</v>
      </c>
      <c r="D404" t="s">
        <v>3101</v>
      </c>
      <c r="E404" t="s">
        <v>167</v>
      </c>
      <c r="F404" t="s">
        <v>168</v>
      </c>
      <c r="G404" t="s">
        <v>169</v>
      </c>
      <c r="H404" t="s">
        <v>3102</v>
      </c>
      <c r="I404" t="s">
        <v>171</v>
      </c>
      <c r="J404" t="s">
        <v>172</v>
      </c>
      <c r="K404" t="s">
        <v>185</v>
      </c>
      <c r="L404" t="s">
        <v>3717</v>
      </c>
      <c r="M404" t="s">
        <v>3207</v>
      </c>
      <c r="N404" t="s">
        <v>3104</v>
      </c>
      <c r="O404" t="s">
        <v>3207</v>
      </c>
      <c r="P404" t="s">
        <v>3140</v>
      </c>
      <c r="Q404" t="s">
        <v>2390</v>
      </c>
    </row>
    <row r="405" spans="1:17">
      <c r="A405" t="s">
        <v>719</v>
      </c>
      <c r="B405" t="s">
        <v>1031</v>
      </c>
      <c r="C405" t="s">
        <v>714</v>
      </c>
      <c r="D405" t="s">
        <v>3101</v>
      </c>
      <c r="E405" t="s">
        <v>167</v>
      </c>
      <c r="F405" t="s">
        <v>168</v>
      </c>
      <c r="G405" t="s">
        <v>169</v>
      </c>
      <c r="H405" t="s">
        <v>3102</v>
      </c>
      <c r="I405" t="s">
        <v>171</v>
      </c>
      <c r="J405" t="s">
        <v>172</v>
      </c>
      <c r="K405" t="s">
        <v>185</v>
      </c>
      <c r="L405" t="s">
        <v>3725</v>
      </c>
      <c r="M405" t="s">
        <v>3207</v>
      </c>
      <c r="N405" t="s">
        <v>3104</v>
      </c>
      <c r="O405" t="s">
        <v>3207</v>
      </c>
      <c r="P405" t="s">
        <v>3140</v>
      </c>
      <c r="Q405" t="s">
        <v>2390</v>
      </c>
    </row>
    <row r="406" spans="1:17">
      <c r="A406" t="s">
        <v>720</v>
      </c>
      <c r="B406" t="s">
        <v>1031</v>
      </c>
      <c r="C406" t="s">
        <v>714</v>
      </c>
      <c r="D406" t="s">
        <v>3101</v>
      </c>
      <c r="E406" t="s">
        <v>167</v>
      </c>
      <c r="F406" t="s">
        <v>168</v>
      </c>
      <c r="G406" t="s">
        <v>169</v>
      </c>
      <c r="H406" t="s">
        <v>3102</v>
      </c>
      <c r="I406" t="s">
        <v>171</v>
      </c>
      <c r="J406" t="s">
        <v>172</v>
      </c>
      <c r="K406" t="s">
        <v>185</v>
      </c>
      <c r="L406" t="s">
        <v>3726</v>
      </c>
      <c r="M406" t="s">
        <v>3207</v>
      </c>
      <c r="N406" t="s">
        <v>3104</v>
      </c>
      <c r="O406" t="s">
        <v>3207</v>
      </c>
      <c r="P406" t="s">
        <v>3140</v>
      </c>
      <c r="Q406" t="s">
        <v>2390</v>
      </c>
    </row>
    <row r="407" spans="1:17">
      <c r="A407" t="s">
        <v>249</v>
      </c>
      <c r="B407" t="s">
        <v>3727</v>
      </c>
      <c r="C407" t="s">
        <v>250</v>
      </c>
      <c r="D407" t="s">
        <v>3214</v>
      </c>
      <c r="E407" t="s">
        <v>167</v>
      </c>
      <c r="F407" t="s">
        <v>168</v>
      </c>
      <c r="G407" t="s">
        <v>177</v>
      </c>
      <c r="H407" t="s">
        <v>3126</v>
      </c>
      <c r="I407" t="s">
        <v>3337</v>
      </c>
      <c r="J407" t="s">
        <v>199</v>
      </c>
      <c r="K407" t="s">
        <v>3318</v>
      </c>
      <c r="L407" t="s">
        <v>3728</v>
      </c>
      <c r="M407" t="s">
        <v>3729</v>
      </c>
      <c r="N407" t="s">
        <v>3115</v>
      </c>
      <c r="O407" t="s">
        <v>3730</v>
      </c>
      <c r="P407" t="s">
        <v>3110</v>
      </c>
      <c r="Q407" t="s">
        <v>3118</v>
      </c>
    </row>
    <row r="408" spans="1:17">
      <c r="A408" t="s">
        <v>249</v>
      </c>
      <c r="B408" t="s">
        <v>3727</v>
      </c>
      <c r="C408" t="s">
        <v>250</v>
      </c>
      <c r="D408" t="s">
        <v>3214</v>
      </c>
      <c r="E408" t="s">
        <v>167</v>
      </c>
      <c r="F408" t="s">
        <v>168</v>
      </c>
      <c r="G408" t="s">
        <v>177</v>
      </c>
      <c r="H408" t="s">
        <v>3126</v>
      </c>
      <c r="I408" t="s">
        <v>3337</v>
      </c>
      <c r="J408" t="s">
        <v>199</v>
      </c>
      <c r="K408" t="s">
        <v>3318</v>
      </c>
      <c r="L408" t="s">
        <v>3113</v>
      </c>
      <c r="M408" t="s">
        <v>3731</v>
      </c>
      <c r="N408" t="s">
        <v>3115</v>
      </c>
      <c r="O408" t="s">
        <v>805</v>
      </c>
      <c r="P408" t="s">
        <v>805</v>
      </c>
      <c r="Q408" t="s">
        <v>805</v>
      </c>
    </row>
    <row r="409" spans="1:17">
      <c r="A409" t="s">
        <v>2570</v>
      </c>
      <c r="B409" t="s">
        <v>1297</v>
      </c>
      <c r="C409" t="s">
        <v>3732</v>
      </c>
      <c r="D409" t="s">
        <v>3125</v>
      </c>
      <c r="E409" t="s">
        <v>167</v>
      </c>
      <c r="F409" t="s">
        <v>168</v>
      </c>
      <c r="G409" t="s">
        <v>177</v>
      </c>
      <c r="H409" t="s">
        <v>3102</v>
      </c>
      <c r="I409" t="s">
        <v>3348</v>
      </c>
      <c r="J409" t="s">
        <v>172</v>
      </c>
      <c r="K409" t="s">
        <v>254</v>
      </c>
      <c r="L409" t="s">
        <v>3733</v>
      </c>
      <c r="M409" t="s">
        <v>3386</v>
      </c>
      <c r="N409" t="s">
        <v>3115</v>
      </c>
      <c r="O409" t="s">
        <v>3734</v>
      </c>
      <c r="P409" t="s">
        <v>3735</v>
      </c>
      <c r="Q409" t="s">
        <v>3118</v>
      </c>
    </row>
    <row r="410" spans="1:17">
      <c r="A410" t="s">
        <v>221</v>
      </c>
      <c r="B410" t="s">
        <v>1297</v>
      </c>
      <c r="C410" t="s">
        <v>222</v>
      </c>
      <c r="D410" t="s">
        <v>3158</v>
      </c>
      <c r="E410" t="s">
        <v>167</v>
      </c>
      <c r="F410" t="s">
        <v>168</v>
      </c>
      <c r="G410" t="s">
        <v>169</v>
      </c>
      <c r="H410" t="s">
        <v>210</v>
      </c>
      <c r="I410" t="s">
        <v>211</v>
      </c>
      <c r="J410" t="s">
        <v>199</v>
      </c>
      <c r="K410" t="s">
        <v>223</v>
      </c>
      <c r="L410" t="s">
        <v>2646</v>
      </c>
      <c r="M410" t="s">
        <v>3175</v>
      </c>
      <c r="N410" t="s">
        <v>3104</v>
      </c>
      <c r="O410" t="s">
        <v>3175</v>
      </c>
      <c r="P410" t="s">
        <v>2248</v>
      </c>
      <c r="Q410" t="s">
        <v>3105</v>
      </c>
    </row>
    <row r="411" spans="1:17">
      <c r="A411" t="s">
        <v>224</v>
      </c>
      <c r="B411" t="s">
        <v>1297</v>
      </c>
      <c r="C411" t="s">
        <v>222</v>
      </c>
      <c r="D411" t="s">
        <v>3158</v>
      </c>
      <c r="E411" t="s">
        <v>167</v>
      </c>
      <c r="F411" t="s">
        <v>168</v>
      </c>
      <c r="G411" t="s">
        <v>169</v>
      </c>
      <c r="H411" t="s">
        <v>210</v>
      </c>
      <c r="I411" t="s">
        <v>211</v>
      </c>
      <c r="J411" t="s">
        <v>199</v>
      </c>
      <c r="K411" t="s">
        <v>223</v>
      </c>
      <c r="L411" t="s">
        <v>3106</v>
      </c>
      <c r="M411" t="s">
        <v>3175</v>
      </c>
      <c r="N411" t="s">
        <v>3104</v>
      </c>
      <c r="O411" t="s">
        <v>3175</v>
      </c>
      <c r="P411" t="s">
        <v>2248</v>
      </c>
      <c r="Q411" t="s">
        <v>3105</v>
      </c>
    </row>
    <row r="412" spans="1:17">
      <c r="A412" t="s">
        <v>423</v>
      </c>
      <c r="B412" t="s">
        <v>1297</v>
      </c>
      <c r="C412" t="s">
        <v>424</v>
      </c>
      <c r="D412" t="s">
        <v>3158</v>
      </c>
      <c r="E412" t="s">
        <v>167</v>
      </c>
      <c r="F412" t="s">
        <v>168</v>
      </c>
      <c r="G412" t="s">
        <v>177</v>
      </c>
      <c r="H412" t="s">
        <v>3126</v>
      </c>
      <c r="I412" t="s">
        <v>287</v>
      </c>
      <c r="J412" t="s">
        <v>172</v>
      </c>
      <c r="K412" t="s">
        <v>195</v>
      </c>
      <c r="L412" t="s">
        <v>2646</v>
      </c>
      <c r="M412" t="s">
        <v>3736</v>
      </c>
      <c r="N412" t="s">
        <v>3115</v>
      </c>
      <c r="O412" t="s">
        <v>3737</v>
      </c>
      <c r="P412" t="s">
        <v>3342</v>
      </c>
      <c r="Q412" t="s">
        <v>3118</v>
      </c>
    </row>
    <row r="413" spans="1:17">
      <c r="A413" t="s">
        <v>423</v>
      </c>
      <c r="B413" t="s">
        <v>1297</v>
      </c>
      <c r="C413" t="s">
        <v>424</v>
      </c>
      <c r="D413" t="s">
        <v>3158</v>
      </c>
      <c r="E413" t="s">
        <v>167</v>
      </c>
      <c r="F413" t="s">
        <v>168</v>
      </c>
      <c r="G413" t="s">
        <v>177</v>
      </c>
      <c r="H413" t="s">
        <v>3126</v>
      </c>
      <c r="I413" t="s">
        <v>287</v>
      </c>
      <c r="J413" t="s">
        <v>172</v>
      </c>
      <c r="K413" t="s">
        <v>195</v>
      </c>
      <c r="L413" t="s">
        <v>3106</v>
      </c>
      <c r="M413" t="s">
        <v>3122</v>
      </c>
      <c r="N413" t="s">
        <v>3115</v>
      </c>
      <c r="O413" t="s">
        <v>805</v>
      </c>
      <c r="P413" t="s">
        <v>805</v>
      </c>
      <c r="Q413" t="s">
        <v>805</v>
      </c>
    </row>
    <row r="414" spans="1:17">
      <c r="A414" t="s">
        <v>423</v>
      </c>
      <c r="B414" t="s">
        <v>1297</v>
      </c>
      <c r="C414" t="s">
        <v>424</v>
      </c>
      <c r="D414" t="s">
        <v>3158</v>
      </c>
      <c r="E414" t="s">
        <v>167</v>
      </c>
      <c r="F414" t="s">
        <v>168</v>
      </c>
      <c r="G414" t="s">
        <v>177</v>
      </c>
      <c r="H414" t="s">
        <v>3126</v>
      </c>
      <c r="I414" t="s">
        <v>287</v>
      </c>
      <c r="J414" t="s">
        <v>172</v>
      </c>
      <c r="K414" t="s">
        <v>195</v>
      </c>
      <c r="L414" t="s">
        <v>3111</v>
      </c>
      <c r="M414" t="s">
        <v>3483</v>
      </c>
      <c r="N414" t="s">
        <v>3115</v>
      </c>
      <c r="O414" t="s">
        <v>805</v>
      </c>
      <c r="P414" t="s">
        <v>805</v>
      </c>
      <c r="Q414" t="s">
        <v>805</v>
      </c>
    </row>
    <row r="415" spans="1:17">
      <c r="A415" t="s">
        <v>442</v>
      </c>
      <c r="B415" t="s">
        <v>1297</v>
      </c>
      <c r="C415" t="s">
        <v>443</v>
      </c>
      <c r="D415" t="s">
        <v>3158</v>
      </c>
      <c r="E415" t="s">
        <v>167</v>
      </c>
      <c r="F415" t="s">
        <v>168</v>
      </c>
      <c r="G415" t="s">
        <v>169</v>
      </c>
      <c r="H415" t="s">
        <v>210</v>
      </c>
      <c r="I415" t="s">
        <v>211</v>
      </c>
      <c r="J415" t="s">
        <v>199</v>
      </c>
      <c r="K415" t="s">
        <v>223</v>
      </c>
      <c r="L415" t="s">
        <v>2646</v>
      </c>
      <c r="M415" t="s">
        <v>3398</v>
      </c>
      <c r="N415" t="s">
        <v>3104</v>
      </c>
      <c r="O415" t="s">
        <v>3398</v>
      </c>
      <c r="P415" t="s">
        <v>2457</v>
      </c>
      <c r="Q415" t="s">
        <v>3259</v>
      </c>
    </row>
    <row r="416" spans="1:17">
      <c r="A416" t="s">
        <v>444</v>
      </c>
      <c r="B416" t="s">
        <v>1297</v>
      </c>
      <c r="C416" t="s">
        <v>443</v>
      </c>
      <c r="D416" t="s">
        <v>3158</v>
      </c>
      <c r="E416" t="s">
        <v>167</v>
      </c>
      <c r="F416" t="s">
        <v>168</v>
      </c>
      <c r="G416" t="s">
        <v>169</v>
      </c>
      <c r="H416" t="s">
        <v>210</v>
      </c>
      <c r="I416" t="s">
        <v>211</v>
      </c>
      <c r="J416" t="s">
        <v>199</v>
      </c>
      <c r="K416" t="s">
        <v>223</v>
      </c>
      <c r="L416" t="s">
        <v>3106</v>
      </c>
      <c r="M416" t="s">
        <v>3398</v>
      </c>
      <c r="N416" t="s">
        <v>3104</v>
      </c>
      <c r="O416" t="s">
        <v>3398</v>
      </c>
      <c r="P416" t="s">
        <v>2457</v>
      </c>
      <c r="Q416" t="s">
        <v>3259</v>
      </c>
    </row>
    <row r="417" spans="1:17">
      <c r="A417" t="s">
        <v>445</v>
      </c>
      <c r="B417" t="s">
        <v>1297</v>
      </c>
      <c r="C417" t="s">
        <v>443</v>
      </c>
      <c r="D417" t="s">
        <v>3158</v>
      </c>
      <c r="E417" t="s">
        <v>167</v>
      </c>
      <c r="F417" t="s">
        <v>168</v>
      </c>
      <c r="G417" t="s">
        <v>169</v>
      </c>
      <c r="H417" t="s">
        <v>210</v>
      </c>
      <c r="I417" t="s">
        <v>211</v>
      </c>
      <c r="J417" t="s">
        <v>199</v>
      </c>
      <c r="K417" t="s">
        <v>223</v>
      </c>
      <c r="L417" t="s">
        <v>3111</v>
      </c>
      <c r="M417" t="s">
        <v>3398</v>
      </c>
      <c r="N417" t="s">
        <v>3104</v>
      </c>
      <c r="O417" t="s">
        <v>3398</v>
      </c>
      <c r="P417" t="s">
        <v>2457</v>
      </c>
      <c r="Q417" t="s">
        <v>3259</v>
      </c>
    </row>
    <row r="418" spans="1:17">
      <c r="A418" t="s">
        <v>446</v>
      </c>
      <c r="B418" t="s">
        <v>1297</v>
      </c>
      <c r="C418" t="s">
        <v>443</v>
      </c>
      <c r="D418" t="s">
        <v>3158</v>
      </c>
      <c r="E418" t="s">
        <v>167</v>
      </c>
      <c r="F418" t="s">
        <v>168</v>
      </c>
      <c r="G418" t="s">
        <v>169</v>
      </c>
      <c r="H418" t="s">
        <v>210</v>
      </c>
      <c r="I418" t="s">
        <v>211</v>
      </c>
      <c r="J418" t="s">
        <v>199</v>
      </c>
      <c r="K418" t="s">
        <v>223</v>
      </c>
      <c r="L418" t="s">
        <v>3105</v>
      </c>
      <c r="M418" t="s">
        <v>3398</v>
      </c>
      <c r="N418" t="s">
        <v>3104</v>
      </c>
      <c r="O418" t="s">
        <v>3398</v>
      </c>
      <c r="P418" t="s">
        <v>2457</v>
      </c>
      <c r="Q418" t="s">
        <v>3259</v>
      </c>
    </row>
    <row r="419" spans="1:17">
      <c r="A419" t="s">
        <v>447</v>
      </c>
      <c r="B419" t="s">
        <v>1297</v>
      </c>
      <c r="C419" t="s">
        <v>443</v>
      </c>
      <c r="D419" t="s">
        <v>3158</v>
      </c>
      <c r="E419" t="s">
        <v>167</v>
      </c>
      <c r="F419" t="s">
        <v>168</v>
      </c>
      <c r="G419" t="s">
        <v>177</v>
      </c>
      <c r="H419" t="s">
        <v>210</v>
      </c>
      <c r="I419" t="s">
        <v>211</v>
      </c>
      <c r="J419" t="s">
        <v>199</v>
      </c>
      <c r="K419" t="s">
        <v>223</v>
      </c>
      <c r="L419" t="s">
        <v>3259</v>
      </c>
      <c r="M419" t="s">
        <v>3261</v>
      </c>
      <c r="N419" t="s">
        <v>3115</v>
      </c>
      <c r="O419" t="s">
        <v>3261</v>
      </c>
      <c r="P419" t="s">
        <v>3261</v>
      </c>
      <c r="Q419" t="s">
        <v>3133</v>
      </c>
    </row>
    <row r="420" spans="1:17">
      <c r="A420" t="s">
        <v>495</v>
      </c>
      <c r="B420" t="s">
        <v>1297</v>
      </c>
      <c r="C420" t="s">
        <v>496</v>
      </c>
      <c r="D420" t="s">
        <v>3158</v>
      </c>
      <c r="E420" t="s">
        <v>167</v>
      </c>
      <c r="F420" t="s">
        <v>168</v>
      </c>
      <c r="G420" t="s">
        <v>169</v>
      </c>
      <c r="H420" t="s">
        <v>3102</v>
      </c>
      <c r="I420" t="s">
        <v>188</v>
      </c>
      <c r="J420" t="s">
        <v>172</v>
      </c>
      <c r="K420" t="s">
        <v>185</v>
      </c>
      <c r="L420" t="s">
        <v>2646</v>
      </c>
      <c r="M420" t="s">
        <v>3175</v>
      </c>
      <c r="N420" t="s">
        <v>3104</v>
      </c>
      <c r="O420" t="s">
        <v>3175</v>
      </c>
      <c r="P420" t="s">
        <v>3191</v>
      </c>
      <c r="Q420" t="s">
        <v>3738</v>
      </c>
    </row>
    <row r="421" spans="1:17">
      <c r="A421" t="s">
        <v>636</v>
      </c>
      <c r="B421" t="s">
        <v>1297</v>
      </c>
      <c r="C421" t="s">
        <v>637</v>
      </c>
      <c r="D421" t="s">
        <v>3158</v>
      </c>
      <c r="E421" t="s">
        <v>167</v>
      </c>
      <c r="F421" t="s">
        <v>168</v>
      </c>
      <c r="G421" t="s">
        <v>169</v>
      </c>
      <c r="H421" t="s">
        <v>3102</v>
      </c>
      <c r="I421" t="s">
        <v>280</v>
      </c>
      <c r="J421" t="s">
        <v>172</v>
      </c>
      <c r="K421" t="s">
        <v>195</v>
      </c>
      <c r="L421" t="s">
        <v>2646</v>
      </c>
      <c r="M421" t="s">
        <v>3739</v>
      </c>
      <c r="N421" t="s">
        <v>3104</v>
      </c>
      <c r="O421" t="s">
        <v>3739</v>
      </c>
      <c r="P421" t="s">
        <v>3308</v>
      </c>
      <c r="Q421" t="s">
        <v>3309</v>
      </c>
    </row>
    <row r="422" spans="1:17">
      <c r="A422" t="s">
        <v>638</v>
      </c>
      <c r="B422" t="s">
        <v>1297</v>
      </c>
      <c r="C422" t="s">
        <v>637</v>
      </c>
      <c r="D422" t="s">
        <v>3158</v>
      </c>
      <c r="E422" t="s">
        <v>167</v>
      </c>
      <c r="F422" t="s">
        <v>168</v>
      </c>
      <c r="G422" t="s">
        <v>169</v>
      </c>
      <c r="H422" t="s">
        <v>3102</v>
      </c>
      <c r="I422" t="s">
        <v>280</v>
      </c>
      <c r="J422" t="s">
        <v>172</v>
      </c>
      <c r="K422" t="s">
        <v>195</v>
      </c>
      <c r="L422" t="s">
        <v>3106</v>
      </c>
      <c r="M422" t="s">
        <v>3739</v>
      </c>
      <c r="N422" t="s">
        <v>3104</v>
      </c>
      <c r="O422" t="s">
        <v>3739</v>
      </c>
      <c r="P422" t="s">
        <v>3308</v>
      </c>
      <c r="Q422" t="s">
        <v>3309</v>
      </c>
    </row>
    <row r="423" spans="1:17">
      <c r="A423" t="s">
        <v>639</v>
      </c>
      <c r="B423" t="s">
        <v>1297</v>
      </c>
      <c r="C423" t="s">
        <v>637</v>
      </c>
      <c r="D423" t="s">
        <v>3158</v>
      </c>
      <c r="E423" t="s">
        <v>167</v>
      </c>
      <c r="F423" t="s">
        <v>168</v>
      </c>
      <c r="G423" t="s">
        <v>169</v>
      </c>
      <c r="H423" t="s">
        <v>3102</v>
      </c>
      <c r="I423" t="s">
        <v>280</v>
      </c>
      <c r="J423" t="s">
        <v>172</v>
      </c>
      <c r="K423" t="s">
        <v>195</v>
      </c>
      <c r="L423" t="s">
        <v>3111</v>
      </c>
      <c r="M423" t="s">
        <v>3739</v>
      </c>
      <c r="N423" t="s">
        <v>3104</v>
      </c>
      <c r="O423" t="s">
        <v>3739</v>
      </c>
      <c r="P423" t="s">
        <v>3308</v>
      </c>
      <c r="Q423" t="s">
        <v>3309</v>
      </c>
    </row>
    <row r="424" spans="1:17">
      <c r="A424" t="s">
        <v>640</v>
      </c>
      <c r="B424" t="s">
        <v>1297</v>
      </c>
      <c r="C424" t="s">
        <v>637</v>
      </c>
      <c r="D424" t="s">
        <v>3158</v>
      </c>
      <c r="E424" t="s">
        <v>167</v>
      </c>
      <c r="F424" t="s">
        <v>168</v>
      </c>
      <c r="G424" t="s">
        <v>169</v>
      </c>
      <c r="H424" t="s">
        <v>3102</v>
      </c>
      <c r="I424" t="s">
        <v>280</v>
      </c>
      <c r="J424" t="s">
        <v>172</v>
      </c>
      <c r="K424" t="s">
        <v>195</v>
      </c>
      <c r="L424" t="s">
        <v>3105</v>
      </c>
      <c r="M424" t="s">
        <v>3739</v>
      </c>
      <c r="N424" t="s">
        <v>3104</v>
      </c>
      <c r="O424" t="s">
        <v>3739</v>
      </c>
      <c r="P424" t="s">
        <v>3308</v>
      </c>
      <c r="Q424" t="s">
        <v>3309</v>
      </c>
    </row>
    <row r="425" spans="1:17">
      <c r="A425" t="s">
        <v>652</v>
      </c>
      <c r="B425" t="s">
        <v>1297</v>
      </c>
      <c r="C425" t="s">
        <v>3740</v>
      </c>
      <c r="D425" t="s">
        <v>3158</v>
      </c>
      <c r="E425" t="s">
        <v>167</v>
      </c>
      <c r="F425" t="s">
        <v>168</v>
      </c>
      <c r="G425" t="s">
        <v>169</v>
      </c>
      <c r="H425" t="s">
        <v>3102</v>
      </c>
      <c r="I425" t="s">
        <v>171</v>
      </c>
      <c r="J425" t="s">
        <v>172</v>
      </c>
      <c r="K425" t="s">
        <v>216</v>
      </c>
      <c r="L425" t="s">
        <v>2646</v>
      </c>
      <c r="M425" t="s">
        <v>3308</v>
      </c>
      <c r="N425" t="s">
        <v>3104</v>
      </c>
      <c r="O425" t="s">
        <v>3308</v>
      </c>
      <c r="P425" t="s">
        <v>3308</v>
      </c>
      <c r="Q425" t="s">
        <v>3309</v>
      </c>
    </row>
    <row r="426" spans="1:17">
      <c r="A426" t="s">
        <v>679</v>
      </c>
      <c r="B426" t="s">
        <v>1297</v>
      </c>
      <c r="C426" t="s">
        <v>680</v>
      </c>
      <c r="D426" t="s">
        <v>3158</v>
      </c>
      <c r="E426" t="s">
        <v>167</v>
      </c>
      <c r="F426" t="s">
        <v>168</v>
      </c>
      <c r="G426" t="s">
        <v>169</v>
      </c>
      <c r="H426" t="s">
        <v>3102</v>
      </c>
      <c r="I426" t="s">
        <v>280</v>
      </c>
      <c r="J426" t="s">
        <v>172</v>
      </c>
      <c r="K426" t="s">
        <v>334</v>
      </c>
      <c r="L426" t="s">
        <v>2646</v>
      </c>
      <c r="M426" t="s">
        <v>3741</v>
      </c>
      <c r="N426" t="s">
        <v>3104</v>
      </c>
      <c r="O426" t="s">
        <v>3741</v>
      </c>
      <c r="P426" t="s">
        <v>3264</v>
      </c>
      <c r="Q426" t="s">
        <v>3742</v>
      </c>
    </row>
    <row r="427" spans="1:17">
      <c r="A427" t="s">
        <v>658</v>
      </c>
      <c r="B427" t="s">
        <v>1297</v>
      </c>
      <c r="C427" t="s">
        <v>659</v>
      </c>
      <c r="D427" t="s">
        <v>3158</v>
      </c>
      <c r="E427" t="s">
        <v>167</v>
      </c>
      <c r="F427" t="s">
        <v>168</v>
      </c>
      <c r="G427" t="s">
        <v>169</v>
      </c>
      <c r="H427" t="s">
        <v>3102</v>
      </c>
      <c r="I427" t="s">
        <v>280</v>
      </c>
      <c r="J427" t="s">
        <v>172</v>
      </c>
      <c r="K427" t="s">
        <v>195</v>
      </c>
      <c r="L427" t="s">
        <v>2646</v>
      </c>
      <c r="M427" t="s">
        <v>3307</v>
      </c>
      <c r="N427" t="s">
        <v>3104</v>
      </c>
      <c r="O427" t="s">
        <v>3307</v>
      </c>
      <c r="P427" t="s">
        <v>3308</v>
      </c>
      <c r="Q427" t="s">
        <v>3309</v>
      </c>
    </row>
    <row r="428" spans="1:17">
      <c r="A428" t="s">
        <v>660</v>
      </c>
      <c r="B428" t="s">
        <v>1297</v>
      </c>
      <c r="C428" t="s">
        <v>659</v>
      </c>
      <c r="D428" t="s">
        <v>3158</v>
      </c>
      <c r="E428" t="s">
        <v>167</v>
      </c>
      <c r="F428" t="s">
        <v>168</v>
      </c>
      <c r="G428" t="s">
        <v>169</v>
      </c>
      <c r="H428" t="s">
        <v>3102</v>
      </c>
      <c r="I428" t="s">
        <v>280</v>
      </c>
      <c r="J428" t="s">
        <v>172</v>
      </c>
      <c r="K428" t="s">
        <v>195</v>
      </c>
      <c r="L428" t="s">
        <v>3106</v>
      </c>
      <c r="M428" t="s">
        <v>3307</v>
      </c>
      <c r="N428" t="s">
        <v>3104</v>
      </c>
      <c r="O428" t="s">
        <v>3307</v>
      </c>
      <c r="P428" t="s">
        <v>3308</v>
      </c>
      <c r="Q428" t="s">
        <v>3309</v>
      </c>
    </row>
    <row r="429" spans="1:17">
      <c r="A429" t="s">
        <v>661</v>
      </c>
      <c r="B429" t="s">
        <v>1297</v>
      </c>
      <c r="C429" t="s">
        <v>659</v>
      </c>
      <c r="D429" t="s">
        <v>3158</v>
      </c>
      <c r="E429" t="s">
        <v>167</v>
      </c>
      <c r="F429" t="s">
        <v>168</v>
      </c>
      <c r="G429" t="s">
        <v>169</v>
      </c>
      <c r="H429" t="s">
        <v>3102</v>
      </c>
      <c r="I429" t="s">
        <v>280</v>
      </c>
      <c r="J429" t="s">
        <v>172</v>
      </c>
      <c r="K429" t="s">
        <v>195</v>
      </c>
      <c r="L429" t="s">
        <v>3111</v>
      </c>
      <c r="M429" t="s">
        <v>3307</v>
      </c>
      <c r="N429" t="s">
        <v>3104</v>
      </c>
      <c r="O429" t="s">
        <v>3307</v>
      </c>
      <c r="P429" t="s">
        <v>3308</v>
      </c>
      <c r="Q429" t="s">
        <v>3309</v>
      </c>
    </row>
    <row r="430" spans="1:17">
      <c r="A430" t="s">
        <v>662</v>
      </c>
      <c r="B430" t="s">
        <v>1297</v>
      </c>
      <c r="C430" t="s">
        <v>659</v>
      </c>
      <c r="D430" t="s">
        <v>3158</v>
      </c>
      <c r="E430" t="s">
        <v>167</v>
      </c>
      <c r="F430" t="s">
        <v>168</v>
      </c>
      <c r="G430" t="s">
        <v>169</v>
      </c>
      <c r="H430" t="s">
        <v>3102</v>
      </c>
      <c r="I430" t="s">
        <v>280</v>
      </c>
      <c r="J430" t="s">
        <v>172</v>
      </c>
      <c r="K430" t="s">
        <v>195</v>
      </c>
      <c r="L430" t="s">
        <v>3105</v>
      </c>
      <c r="M430" t="s">
        <v>3307</v>
      </c>
      <c r="N430" t="s">
        <v>3104</v>
      </c>
      <c r="O430" t="s">
        <v>3307</v>
      </c>
      <c r="P430" t="s">
        <v>3308</v>
      </c>
      <c r="Q430" t="s">
        <v>3309</v>
      </c>
    </row>
    <row r="431" spans="1:17">
      <c r="A431" t="s">
        <v>2665</v>
      </c>
      <c r="B431" t="s">
        <v>1297</v>
      </c>
      <c r="C431" t="s">
        <v>2664</v>
      </c>
      <c r="D431" t="s">
        <v>3125</v>
      </c>
      <c r="E431" t="s">
        <v>167</v>
      </c>
      <c r="F431" t="s">
        <v>168</v>
      </c>
      <c r="G431" t="s">
        <v>177</v>
      </c>
      <c r="H431" t="s">
        <v>3102</v>
      </c>
      <c r="I431" t="s">
        <v>3348</v>
      </c>
      <c r="J431" t="s">
        <v>172</v>
      </c>
      <c r="K431" t="s">
        <v>254</v>
      </c>
      <c r="L431" t="s">
        <v>3245</v>
      </c>
      <c r="M431" t="s">
        <v>3386</v>
      </c>
      <c r="N431" t="s">
        <v>3115</v>
      </c>
      <c r="O431" t="s">
        <v>3743</v>
      </c>
      <c r="P431" t="s">
        <v>3640</v>
      </c>
      <c r="Q431" t="s">
        <v>3118</v>
      </c>
    </row>
    <row r="432" spans="1:17">
      <c r="A432" t="s">
        <v>2438</v>
      </c>
      <c r="B432" t="s">
        <v>1297</v>
      </c>
      <c r="C432" t="s">
        <v>2437</v>
      </c>
      <c r="D432" t="s">
        <v>3158</v>
      </c>
      <c r="E432" t="s">
        <v>167</v>
      </c>
      <c r="F432" t="s">
        <v>168</v>
      </c>
      <c r="G432" t="s">
        <v>177</v>
      </c>
      <c r="H432" t="s">
        <v>210</v>
      </c>
      <c r="I432" t="s">
        <v>211</v>
      </c>
      <c r="J432" t="s">
        <v>199</v>
      </c>
      <c r="K432" t="s">
        <v>223</v>
      </c>
      <c r="L432" t="s">
        <v>2646</v>
      </c>
      <c r="M432" t="s">
        <v>3744</v>
      </c>
      <c r="N432" t="s">
        <v>3115</v>
      </c>
      <c r="O432" t="s">
        <v>3744</v>
      </c>
      <c r="P432" t="s">
        <v>3259</v>
      </c>
      <c r="Q432" t="s">
        <v>3133</v>
      </c>
    </row>
    <row r="433" spans="1:17">
      <c r="A433" t="s">
        <v>641</v>
      </c>
      <c r="B433" t="s">
        <v>918</v>
      </c>
      <c r="C433" t="s">
        <v>642</v>
      </c>
      <c r="D433" t="s">
        <v>3214</v>
      </c>
      <c r="E433" t="s">
        <v>167</v>
      </c>
      <c r="F433" t="s">
        <v>168</v>
      </c>
      <c r="G433" t="s">
        <v>177</v>
      </c>
      <c r="H433" t="s">
        <v>198</v>
      </c>
      <c r="I433" t="s">
        <v>198</v>
      </c>
      <c r="J433" t="s">
        <v>199</v>
      </c>
      <c r="K433" t="s">
        <v>200</v>
      </c>
      <c r="L433" t="s">
        <v>3283</v>
      </c>
      <c r="M433" t="s">
        <v>3409</v>
      </c>
      <c r="N433" t="s">
        <v>3115</v>
      </c>
      <c r="O433" t="s">
        <v>3745</v>
      </c>
      <c r="P433" t="s">
        <v>3108</v>
      </c>
      <c r="Q433" t="s">
        <v>3133</v>
      </c>
    </row>
    <row r="434" spans="1:17">
      <c r="A434" t="s">
        <v>2330</v>
      </c>
      <c r="B434" t="s">
        <v>3746</v>
      </c>
      <c r="C434" t="s">
        <v>2329</v>
      </c>
      <c r="D434" t="s">
        <v>3158</v>
      </c>
      <c r="E434" t="s">
        <v>167</v>
      </c>
      <c r="F434" t="s">
        <v>3747</v>
      </c>
      <c r="G434" t="s">
        <v>197</v>
      </c>
      <c r="H434" t="s">
        <v>219</v>
      </c>
      <c r="I434" t="s">
        <v>219</v>
      </c>
      <c r="J434" t="s">
        <v>199</v>
      </c>
      <c r="K434" t="s">
        <v>3141</v>
      </c>
      <c r="L434" t="s">
        <v>3748</v>
      </c>
      <c r="M434">
        <v>1.64</v>
      </c>
      <c r="N434" t="s">
        <v>3104</v>
      </c>
      <c r="O434">
        <v>118</v>
      </c>
      <c r="P434">
        <v>101</v>
      </c>
      <c r="Q434">
        <v>1492</v>
      </c>
    </row>
    <row r="435" spans="1:17">
      <c r="A435" t="s">
        <v>2330</v>
      </c>
      <c r="B435" t="s">
        <v>3746</v>
      </c>
      <c r="C435" t="s">
        <v>2329</v>
      </c>
      <c r="D435" t="s">
        <v>3158</v>
      </c>
      <c r="E435" t="s">
        <v>167</v>
      </c>
      <c r="F435" t="s">
        <v>3747</v>
      </c>
      <c r="G435" t="s">
        <v>197</v>
      </c>
      <c r="H435" t="s">
        <v>219</v>
      </c>
      <c r="I435" t="s">
        <v>219</v>
      </c>
      <c r="J435" t="s">
        <v>199</v>
      </c>
      <c r="K435" t="s">
        <v>3141</v>
      </c>
      <c r="L435" t="s">
        <v>3749</v>
      </c>
      <c r="M435">
        <v>1.5</v>
      </c>
      <c r="N435" t="s">
        <v>3104</v>
      </c>
      <c r="O435">
        <v>6</v>
      </c>
      <c r="P435">
        <v>5</v>
      </c>
      <c r="Q435">
        <v>1492</v>
      </c>
    </row>
    <row r="436" spans="1:17">
      <c r="A436" t="s">
        <v>2428</v>
      </c>
      <c r="B436" t="s">
        <v>3750</v>
      </c>
      <c r="C436" t="s">
        <v>2427</v>
      </c>
      <c r="D436" t="s">
        <v>3158</v>
      </c>
      <c r="E436" t="s">
        <v>167</v>
      </c>
      <c r="F436" t="s">
        <v>3747</v>
      </c>
      <c r="G436" t="s">
        <v>197</v>
      </c>
      <c r="H436" t="s">
        <v>219</v>
      </c>
      <c r="I436" t="s">
        <v>219</v>
      </c>
      <c r="J436" t="s">
        <v>199</v>
      </c>
      <c r="K436" t="s">
        <v>3141</v>
      </c>
      <c r="L436" t="s">
        <v>3751</v>
      </c>
      <c r="M436">
        <v>1.74</v>
      </c>
      <c r="N436" t="s">
        <v>3115</v>
      </c>
      <c r="O436">
        <v>85.26</v>
      </c>
      <c r="P436">
        <v>75</v>
      </c>
      <c r="Q436">
        <v>255</v>
      </c>
    </row>
    <row r="437" spans="1:17">
      <c r="A437" t="s">
        <v>347</v>
      </c>
      <c r="B437" t="s">
        <v>828</v>
      </c>
      <c r="C437" t="s">
        <v>348</v>
      </c>
      <c r="D437" t="s">
        <v>3214</v>
      </c>
      <c r="E437" t="s">
        <v>167</v>
      </c>
      <c r="F437" t="s">
        <v>168</v>
      </c>
      <c r="G437" t="s">
        <v>169</v>
      </c>
      <c r="H437" t="s">
        <v>3102</v>
      </c>
      <c r="I437" t="s">
        <v>171</v>
      </c>
      <c r="J437" t="s">
        <v>172</v>
      </c>
      <c r="K437" t="s">
        <v>185</v>
      </c>
      <c r="L437" t="s">
        <v>2646</v>
      </c>
      <c r="M437" t="s">
        <v>3752</v>
      </c>
      <c r="N437" t="s">
        <v>3104</v>
      </c>
      <c r="O437" t="s">
        <v>3752</v>
      </c>
      <c r="P437" t="s">
        <v>3312</v>
      </c>
      <c r="Q437" t="s">
        <v>3298</v>
      </c>
    </row>
    <row r="438" spans="1:17">
      <c r="A438" t="s">
        <v>349</v>
      </c>
      <c r="B438" t="s">
        <v>828</v>
      </c>
      <c r="C438" t="s">
        <v>348</v>
      </c>
      <c r="D438" t="s">
        <v>3214</v>
      </c>
      <c r="E438" t="s">
        <v>167</v>
      </c>
      <c r="F438" t="s">
        <v>168</v>
      </c>
      <c r="G438" t="s">
        <v>169</v>
      </c>
      <c r="H438" t="s">
        <v>3102</v>
      </c>
      <c r="I438" t="s">
        <v>171</v>
      </c>
      <c r="J438" t="s">
        <v>172</v>
      </c>
      <c r="K438" t="s">
        <v>185</v>
      </c>
      <c r="L438" t="s">
        <v>3106</v>
      </c>
      <c r="M438" t="s">
        <v>3752</v>
      </c>
      <c r="N438" t="s">
        <v>3104</v>
      </c>
      <c r="O438" t="s">
        <v>3752</v>
      </c>
      <c r="P438" t="s">
        <v>3312</v>
      </c>
      <c r="Q438" t="s">
        <v>3298</v>
      </c>
    </row>
    <row r="439" spans="1:17">
      <c r="A439" t="s">
        <v>350</v>
      </c>
      <c r="B439" t="s">
        <v>828</v>
      </c>
      <c r="C439" t="s">
        <v>348</v>
      </c>
      <c r="D439" t="s">
        <v>3214</v>
      </c>
      <c r="E439" t="s">
        <v>167</v>
      </c>
      <c r="F439" t="s">
        <v>168</v>
      </c>
      <c r="G439" t="s">
        <v>169</v>
      </c>
      <c r="H439" t="s">
        <v>3102</v>
      </c>
      <c r="I439" t="s">
        <v>171</v>
      </c>
      <c r="J439" t="s">
        <v>172</v>
      </c>
      <c r="K439" t="s">
        <v>185</v>
      </c>
      <c r="L439" t="s">
        <v>3111</v>
      </c>
      <c r="M439" t="s">
        <v>3752</v>
      </c>
      <c r="N439" t="s">
        <v>3104</v>
      </c>
      <c r="O439" t="s">
        <v>3752</v>
      </c>
      <c r="P439" t="s">
        <v>3312</v>
      </c>
      <c r="Q439" t="s">
        <v>3298</v>
      </c>
    </row>
    <row r="440" spans="1:17">
      <c r="A440" t="s">
        <v>511</v>
      </c>
      <c r="B440" t="s">
        <v>828</v>
      </c>
      <c r="C440" t="s">
        <v>512</v>
      </c>
      <c r="D440" t="s">
        <v>3214</v>
      </c>
      <c r="E440" t="s">
        <v>167</v>
      </c>
      <c r="F440" t="s">
        <v>168</v>
      </c>
      <c r="G440" t="s">
        <v>169</v>
      </c>
      <c r="H440" t="s">
        <v>3102</v>
      </c>
      <c r="I440" t="s">
        <v>171</v>
      </c>
      <c r="J440" t="s">
        <v>172</v>
      </c>
      <c r="K440" t="s">
        <v>185</v>
      </c>
      <c r="L440" t="s">
        <v>2646</v>
      </c>
      <c r="M440" t="s">
        <v>3163</v>
      </c>
      <c r="N440" t="s">
        <v>3104</v>
      </c>
      <c r="O440" t="s">
        <v>3163</v>
      </c>
      <c r="P440" t="s">
        <v>3753</v>
      </c>
      <c r="Q440" t="s">
        <v>3259</v>
      </c>
    </row>
    <row r="441" spans="1:17">
      <c r="A441" t="s">
        <v>574</v>
      </c>
      <c r="B441" t="s">
        <v>828</v>
      </c>
      <c r="C441" t="s">
        <v>575</v>
      </c>
      <c r="D441" t="s">
        <v>3214</v>
      </c>
      <c r="E441" t="s">
        <v>167</v>
      </c>
      <c r="F441" t="s">
        <v>168</v>
      </c>
      <c r="G441" t="s">
        <v>169</v>
      </c>
      <c r="H441" t="s">
        <v>3102</v>
      </c>
      <c r="I441" t="s">
        <v>188</v>
      </c>
      <c r="J441" t="s">
        <v>172</v>
      </c>
      <c r="K441" t="s">
        <v>185</v>
      </c>
      <c r="L441" t="s">
        <v>3128</v>
      </c>
      <c r="M441" t="s">
        <v>3159</v>
      </c>
      <c r="N441" t="s">
        <v>3104</v>
      </c>
      <c r="O441" t="s">
        <v>3207</v>
      </c>
      <c r="P441" t="s">
        <v>3735</v>
      </c>
      <c r="Q441" t="s">
        <v>3117</v>
      </c>
    </row>
    <row r="442" spans="1:17">
      <c r="A442" t="s">
        <v>576</v>
      </c>
      <c r="B442" t="s">
        <v>828</v>
      </c>
      <c r="C442" t="s">
        <v>575</v>
      </c>
      <c r="D442" t="s">
        <v>3214</v>
      </c>
      <c r="E442" t="s">
        <v>167</v>
      </c>
      <c r="F442" t="s">
        <v>168</v>
      </c>
      <c r="G442" t="s">
        <v>169</v>
      </c>
      <c r="H442" t="s">
        <v>3102</v>
      </c>
      <c r="I442" t="s">
        <v>188</v>
      </c>
      <c r="J442" t="s">
        <v>172</v>
      </c>
      <c r="K442" t="s">
        <v>185</v>
      </c>
      <c r="L442" t="s">
        <v>3754</v>
      </c>
      <c r="M442" t="s">
        <v>3755</v>
      </c>
      <c r="N442" t="s">
        <v>3104</v>
      </c>
      <c r="O442" t="s">
        <v>3755</v>
      </c>
      <c r="P442" t="s">
        <v>3151</v>
      </c>
      <c r="Q442" t="s">
        <v>3259</v>
      </c>
    </row>
    <row r="443" spans="1:17">
      <c r="A443" t="s">
        <v>634</v>
      </c>
      <c r="B443" t="s">
        <v>828</v>
      </c>
      <c r="C443" t="s">
        <v>635</v>
      </c>
      <c r="D443" t="s">
        <v>3214</v>
      </c>
      <c r="E443" t="s">
        <v>167</v>
      </c>
      <c r="F443" t="s">
        <v>168</v>
      </c>
      <c r="G443" t="s">
        <v>169</v>
      </c>
      <c r="H443" t="s">
        <v>3102</v>
      </c>
      <c r="I443" t="s">
        <v>188</v>
      </c>
      <c r="J443" t="s">
        <v>172</v>
      </c>
      <c r="K443" t="s">
        <v>185</v>
      </c>
      <c r="L443" t="s">
        <v>3113</v>
      </c>
      <c r="M443" t="s">
        <v>3398</v>
      </c>
      <c r="N443" t="s">
        <v>3104</v>
      </c>
      <c r="O443" t="s">
        <v>3174</v>
      </c>
      <c r="P443" t="s">
        <v>3756</v>
      </c>
      <c r="Q443" t="s">
        <v>3111</v>
      </c>
    </row>
    <row r="444" spans="1:17">
      <c r="A444" t="s">
        <v>805</v>
      </c>
      <c r="B444" t="s">
        <v>828</v>
      </c>
      <c r="C444" t="s">
        <v>635</v>
      </c>
      <c r="D444" t="s">
        <v>3214</v>
      </c>
      <c r="E444" t="s">
        <v>167</v>
      </c>
      <c r="F444" t="s">
        <v>313</v>
      </c>
      <c r="G444" t="s">
        <v>177</v>
      </c>
      <c r="H444" t="s">
        <v>3133</v>
      </c>
      <c r="I444" t="s">
        <v>3133</v>
      </c>
      <c r="J444" t="s">
        <v>3133</v>
      </c>
      <c r="K444" t="s">
        <v>3133</v>
      </c>
      <c r="L444" t="s">
        <v>2646</v>
      </c>
      <c r="M444" t="s">
        <v>3398</v>
      </c>
      <c r="N444" t="s">
        <v>3115</v>
      </c>
      <c r="O444" t="s">
        <v>3398</v>
      </c>
      <c r="P444" t="s">
        <v>3398</v>
      </c>
      <c r="Q444" t="s">
        <v>3133</v>
      </c>
    </row>
    <row r="445" spans="1:17">
      <c r="A445" t="s">
        <v>656</v>
      </c>
      <c r="B445" t="s">
        <v>1223</v>
      </c>
      <c r="C445" t="s">
        <v>657</v>
      </c>
      <c r="D445" t="s">
        <v>3125</v>
      </c>
      <c r="E445" t="s">
        <v>167</v>
      </c>
      <c r="F445" t="s">
        <v>168</v>
      </c>
      <c r="G445" t="s">
        <v>197</v>
      </c>
      <c r="H445" t="s">
        <v>198</v>
      </c>
      <c r="I445" t="s">
        <v>198</v>
      </c>
      <c r="J445" t="s">
        <v>199</v>
      </c>
      <c r="K445" t="s">
        <v>200</v>
      </c>
      <c r="L445" t="s">
        <v>3402</v>
      </c>
      <c r="M445" t="s">
        <v>3757</v>
      </c>
      <c r="N445" t="s">
        <v>3115</v>
      </c>
      <c r="O445" t="s">
        <v>3758</v>
      </c>
      <c r="P445" t="s">
        <v>3241</v>
      </c>
      <c r="Q445" t="s">
        <v>3529</v>
      </c>
    </row>
    <row r="446" spans="1:17">
      <c r="A446" t="s">
        <v>656</v>
      </c>
      <c r="B446" t="s">
        <v>1223</v>
      </c>
      <c r="C446" t="s">
        <v>657</v>
      </c>
      <c r="D446" t="s">
        <v>3125</v>
      </c>
      <c r="E446" t="s">
        <v>167</v>
      </c>
      <c r="F446" t="s">
        <v>168</v>
      </c>
      <c r="G446" t="s">
        <v>197</v>
      </c>
      <c r="H446" t="s">
        <v>198</v>
      </c>
      <c r="I446" t="s">
        <v>198</v>
      </c>
      <c r="J446" t="s">
        <v>199</v>
      </c>
      <c r="K446" t="s">
        <v>200</v>
      </c>
      <c r="L446" t="s">
        <v>3759</v>
      </c>
      <c r="M446" t="s">
        <v>3106</v>
      </c>
      <c r="N446" t="s">
        <v>3115</v>
      </c>
      <c r="O446" t="s">
        <v>805</v>
      </c>
      <c r="P446" t="s">
        <v>805</v>
      </c>
      <c r="Q446" t="s">
        <v>805</v>
      </c>
    </row>
    <row r="447" spans="1:17">
      <c r="A447" t="s">
        <v>656</v>
      </c>
      <c r="B447" t="s">
        <v>1223</v>
      </c>
      <c r="C447" t="s">
        <v>657</v>
      </c>
      <c r="D447" t="s">
        <v>3125</v>
      </c>
      <c r="E447" t="s">
        <v>167</v>
      </c>
      <c r="F447" t="s">
        <v>168</v>
      </c>
      <c r="G447" t="s">
        <v>197</v>
      </c>
      <c r="H447" t="s">
        <v>198</v>
      </c>
      <c r="I447" t="s">
        <v>198</v>
      </c>
      <c r="J447" t="s">
        <v>199</v>
      </c>
      <c r="K447" t="s">
        <v>200</v>
      </c>
      <c r="L447" t="s">
        <v>3760</v>
      </c>
      <c r="M447" t="s">
        <v>3111</v>
      </c>
      <c r="N447" t="s">
        <v>3115</v>
      </c>
      <c r="O447" t="s">
        <v>805</v>
      </c>
      <c r="P447" t="s">
        <v>805</v>
      </c>
      <c r="Q447" t="s">
        <v>805</v>
      </c>
    </row>
    <row r="448" spans="1:17">
      <c r="A448" t="s">
        <v>805</v>
      </c>
      <c r="B448" t="s">
        <v>3761</v>
      </c>
      <c r="C448" t="s">
        <v>510</v>
      </c>
      <c r="D448" t="s">
        <v>3107</v>
      </c>
      <c r="E448" t="s">
        <v>167</v>
      </c>
      <c r="F448" t="s">
        <v>313</v>
      </c>
      <c r="G448" t="s">
        <v>177</v>
      </c>
      <c r="H448" t="s">
        <v>210</v>
      </c>
      <c r="I448" t="s">
        <v>211</v>
      </c>
      <c r="J448" t="s">
        <v>199</v>
      </c>
      <c r="K448" t="s">
        <v>212</v>
      </c>
      <c r="L448" t="s">
        <v>2646</v>
      </c>
      <c r="M448" t="s">
        <v>3762</v>
      </c>
      <c r="N448" t="s">
        <v>3115</v>
      </c>
      <c r="O448" t="s">
        <v>3762</v>
      </c>
      <c r="P448" t="s">
        <v>3261</v>
      </c>
      <c r="Q448" t="s">
        <v>3118</v>
      </c>
    </row>
    <row r="449" spans="1:17">
      <c r="A449" t="s">
        <v>2368</v>
      </c>
      <c r="B449" t="s">
        <v>3763</v>
      </c>
      <c r="C449" t="s">
        <v>3764</v>
      </c>
      <c r="D449" t="s">
        <v>3158</v>
      </c>
      <c r="E449" t="s">
        <v>167</v>
      </c>
      <c r="F449" t="s">
        <v>168</v>
      </c>
      <c r="G449" t="s">
        <v>197</v>
      </c>
      <c r="H449" t="s">
        <v>219</v>
      </c>
      <c r="I449" t="s">
        <v>219</v>
      </c>
      <c r="J449" t="s">
        <v>199</v>
      </c>
      <c r="K449" t="s">
        <v>3244</v>
      </c>
      <c r="L449" t="s">
        <v>3171</v>
      </c>
      <c r="M449">
        <v>2.75</v>
      </c>
      <c r="N449" t="s">
        <v>3115</v>
      </c>
      <c r="O449">
        <v>88</v>
      </c>
      <c r="P449">
        <v>72</v>
      </c>
      <c r="Q449">
        <v>165</v>
      </c>
    </row>
    <row r="450" spans="1:17">
      <c r="A450" t="s">
        <v>2770</v>
      </c>
      <c r="B450" t="s">
        <v>3763</v>
      </c>
      <c r="C450" t="s">
        <v>2769</v>
      </c>
      <c r="D450" t="s">
        <v>3101</v>
      </c>
      <c r="E450" t="s">
        <v>167</v>
      </c>
      <c r="F450" t="s">
        <v>168</v>
      </c>
      <c r="G450" t="s">
        <v>197</v>
      </c>
      <c r="H450" t="s">
        <v>198</v>
      </c>
      <c r="I450" t="s">
        <v>198</v>
      </c>
      <c r="J450" t="s">
        <v>199</v>
      </c>
      <c r="K450" t="s">
        <v>200</v>
      </c>
      <c r="L450" t="s">
        <v>3765</v>
      </c>
      <c r="M450">
        <v>3.7</v>
      </c>
      <c r="N450" t="s">
        <v>3104</v>
      </c>
      <c r="O450">
        <v>231.8</v>
      </c>
      <c r="P450">
        <v>225.7</v>
      </c>
      <c r="Q450">
        <v>45</v>
      </c>
    </row>
    <row r="451" spans="1:17">
      <c r="A451" t="s">
        <v>2538</v>
      </c>
      <c r="B451" t="s">
        <v>3766</v>
      </c>
      <c r="C451" t="s">
        <v>2537</v>
      </c>
      <c r="D451" t="s">
        <v>3125</v>
      </c>
      <c r="E451" t="s">
        <v>167</v>
      </c>
      <c r="F451" t="s">
        <v>168</v>
      </c>
      <c r="G451" t="s">
        <v>197</v>
      </c>
      <c r="H451" t="s">
        <v>198</v>
      </c>
      <c r="I451" t="s">
        <v>198</v>
      </c>
      <c r="J451" t="s">
        <v>199</v>
      </c>
      <c r="K451" t="s">
        <v>200</v>
      </c>
      <c r="L451" t="s">
        <v>3767</v>
      </c>
      <c r="M451" t="s">
        <v>3768</v>
      </c>
      <c r="N451" t="s">
        <v>3104</v>
      </c>
      <c r="O451" t="s">
        <v>3769</v>
      </c>
      <c r="P451" t="s">
        <v>3769</v>
      </c>
      <c r="Q451" t="s">
        <v>3770</v>
      </c>
    </row>
    <row r="452" spans="1:17">
      <c r="A452" t="s">
        <v>681</v>
      </c>
      <c r="B452" t="s">
        <v>1119</v>
      </c>
      <c r="C452" t="s">
        <v>83</v>
      </c>
      <c r="D452" t="s">
        <v>3101</v>
      </c>
      <c r="E452" t="s">
        <v>167</v>
      </c>
      <c r="F452" t="s">
        <v>168</v>
      </c>
      <c r="G452" t="s">
        <v>177</v>
      </c>
      <c r="H452" t="s">
        <v>198</v>
      </c>
      <c r="I452" t="s">
        <v>198</v>
      </c>
      <c r="J452" t="s">
        <v>199</v>
      </c>
      <c r="K452" t="s">
        <v>200</v>
      </c>
      <c r="L452" t="s">
        <v>3336</v>
      </c>
      <c r="M452" t="s">
        <v>3556</v>
      </c>
      <c r="N452" t="s">
        <v>3104</v>
      </c>
      <c r="O452" t="s">
        <v>3398</v>
      </c>
      <c r="P452" t="s">
        <v>3398</v>
      </c>
      <c r="Q452" t="s">
        <v>3133</v>
      </c>
    </row>
    <row r="453" spans="1:17">
      <c r="A453" t="s">
        <v>2961</v>
      </c>
      <c r="B453" t="s">
        <v>3771</v>
      </c>
      <c r="C453" t="s">
        <v>3772</v>
      </c>
      <c r="D453" t="s">
        <v>3214</v>
      </c>
      <c r="E453" t="s">
        <v>167</v>
      </c>
      <c r="F453" t="s">
        <v>168</v>
      </c>
      <c r="G453" t="s">
        <v>197</v>
      </c>
      <c r="H453" t="s">
        <v>219</v>
      </c>
      <c r="I453" t="s">
        <v>219</v>
      </c>
      <c r="J453" t="s">
        <v>199</v>
      </c>
      <c r="K453" t="s">
        <v>268</v>
      </c>
      <c r="L453" t="s">
        <v>3733</v>
      </c>
      <c r="M453" t="s">
        <v>3773</v>
      </c>
      <c r="N453" t="s">
        <v>3104</v>
      </c>
      <c r="O453">
        <v>108</v>
      </c>
      <c r="P453">
        <v>95</v>
      </c>
      <c r="Q453">
        <v>19</v>
      </c>
    </row>
    <row r="454" spans="1:17">
      <c r="A454" t="s">
        <v>677</v>
      </c>
      <c r="B454" t="s">
        <v>3774</v>
      </c>
      <c r="C454" t="s">
        <v>678</v>
      </c>
      <c r="D454" t="s">
        <v>3158</v>
      </c>
      <c r="E454" t="s">
        <v>167</v>
      </c>
      <c r="F454" t="s">
        <v>168</v>
      </c>
      <c r="G454" t="s">
        <v>177</v>
      </c>
      <c r="H454" t="s">
        <v>3126</v>
      </c>
      <c r="I454" t="s">
        <v>3127</v>
      </c>
      <c r="J454" t="s">
        <v>172</v>
      </c>
      <c r="K454" t="s">
        <v>179</v>
      </c>
      <c r="L454" t="s">
        <v>3128</v>
      </c>
      <c r="M454" t="s">
        <v>2646</v>
      </c>
      <c r="N454" t="s">
        <v>3115</v>
      </c>
      <c r="O454" t="s">
        <v>3106</v>
      </c>
      <c r="P454" t="s">
        <v>3106</v>
      </c>
      <c r="Q454" t="s">
        <v>3133</v>
      </c>
    </row>
    <row r="455" spans="1:17">
      <c r="A455" t="s">
        <v>625</v>
      </c>
      <c r="B455" t="s">
        <v>3775</v>
      </c>
      <c r="C455" t="s">
        <v>626</v>
      </c>
      <c r="D455" t="s">
        <v>3125</v>
      </c>
      <c r="E455" t="s">
        <v>167</v>
      </c>
      <c r="F455" t="s">
        <v>168</v>
      </c>
      <c r="G455" t="s">
        <v>169</v>
      </c>
      <c r="H455" t="s">
        <v>3102</v>
      </c>
      <c r="I455" t="s">
        <v>171</v>
      </c>
      <c r="J455" t="s">
        <v>172</v>
      </c>
      <c r="K455" t="s">
        <v>216</v>
      </c>
      <c r="L455" t="s">
        <v>3113</v>
      </c>
      <c r="M455" t="s">
        <v>3776</v>
      </c>
      <c r="N455" t="s">
        <v>3104</v>
      </c>
      <c r="O455" t="s">
        <v>3777</v>
      </c>
      <c r="P455" t="s">
        <v>3183</v>
      </c>
      <c r="Q455" t="s">
        <v>3515</v>
      </c>
    </row>
    <row r="456" spans="1:17">
      <c r="A456" t="s">
        <v>625</v>
      </c>
      <c r="B456" t="s">
        <v>3775</v>
      </c>
      <c r="C456" t="s">
        <v>626</v>
      </c>
      <c r="D456" t="s">
        <v>3125</v>
      </c>
      <c r="E456" t="s">
        <v>167</v>
      </c>
      <c r="F456" t="s">
        <v>168</v>
      </c>
      <c r="G456" t="s">
        <v>169</v>
      </c>
      <c r="H456" t="s">
        <v>3102</v>
      </c>
      <c r="I456" t="s">
        <v>171</v>
      </c>
      <c r="J456" t="s">
        <v>172</v>
      </c>
      <c r="K456" t="s">
        <v>216</v>
      </c>
      <c r="L456" t="s">
        <v>3105</v>
      </c>
      <c r="M456" t="s">
        <v>3641</v>
      </c>
      <c r="N456" t="s">
        <v>3104</v>
      </c>
      <c r="O456" t="s">
        <v>805</v>
      </c>
      <c r="P456" t="s">
        <v>805</v>
      </c>
      <c r="Q456" t="s">
        <v>805</v>
      </c>
    </row>
    <row r="457" spans="1:17">
      <c r="A457" t="s">
        <v>725</v>
      </c>
      <c r="B457" t="s">
        <v>870</v>
      </c>
      <c r="C457" t="s">
        <v>726</v>
      </c>
      <c r="D457" t="s">
        <v>3214</v>
      </c>
      <c r="E457" t="s">
        <v>167</v>
      </c>
      <c r="F457" t="s">
        <v>168</v>
      </c>
      <c r="G457" t="s">
        <v>197</v>
      </c>
      <c r="H457" t="s">
        <v>198</v>
      </c>
      <c r="I457" t="s">
        <v>198</v>
      </c>
      <c r="J457" t="s">
        <v>199</v>
      </c>
      <c r="K457" t="s">
        <v>200</v>
      </c>
      <c r="L457" t="s">
        <v>3292</v>
      </c>
      <c r="M457" t="s">
        <v>3111</v>
      </c>
      <c r="N457" t="s">
        <v>3115</v>
      </c>
      <c r="O457" t="s">
        <v>3778</v>
      </c>
      <c r="P457" t="s">
        <v>3779</v>
      </c>
      <c r="Q457" t="s">
        <v>3471</v>
      </c>
    </row>
    <row r="458" spans="1:17">
      <c r="A458" t="s">
        <v>725</v>
      </c>
      <c r="B458" t="s">
        <v>870</v>
      </c>
      <c r="C458" t="s">
        <v>726</v>
      </c>
      <c r="D458" t="s">
        <v>3214</v>
      </c>
      <c r="E458" t="s">
        <v>167</v>
      </c>
      <c r="F458" t="s">
        <v>168</v>
      </c>
      <c r="G458" t="s">
        <v>197</v>
      </c>
      <c r="H458" t="s">
        <v>198</v>
      </c>
      <c r="I458" t="s">
        <v>198</v>
      </c>
      <c r="J458" t="s">
        <v>199</v>
      </c>
      <c r="K458" t="s">
        <v>200</v>
      </c>
      <c r="L458" t="s">
        <v>3780</v>
      </c>
      <c r="M458" t="s">
        <v>3781</v>
      </c>
      <c r="N458" t="s">
        <v>3115</v>
      </c>
      <c r="O458" t="s">
        <v>805</v>
      </c>
      <c r="P458" t="s">
        <v>805</v>
      </c>
      <c r="Q458" t="s">
        <v>805</v>
      </c>
    </row>
    <row r="459" spans="1:17">
      <c r="A459" t="s">
        <v>2796</v>
      </c>
      <c r="B459" t="s">
        <v>3782</v>
      </c>
      <c r="C459" t="s">
        <v>3783</v>
      </c>
      <c r="D459" t="s">
        <v>3101</v>
      </c>
      <c r="E459" t="s">
        <v>167</v>
      </c>
      <c r="F459" t="s">
        <v>168</v>
      </c>
      <c r="G459" t="s">
        <v>197</v>
      </c>
      <c r="H459" t="s">
        <v>219</v>
      </c>
      <c r="I459" t="s">
        <v>219</v>
      </c>
      <c r="J459" t="s">
        <v>199</v>
      </c>
      <c r="K459" t="s">
        <v>220</v>
      </c>
      <c r="L459" t="s">
        <v>3651</v>
      </c>
      <c r="M459">
        <v>2.2559999999999998</v>
      </c>
      <c r="N459" t="s">
        <v>3104</v>
      </c>
      <c r="O459">
        <v>97.5</v>
      </c>
      <c r="P459">
        <v>88</v>
      </c>
      <c r="Q459">
        <v>90</v>
      </c>
    </row>
    <row r="460" spans="1:17">
      <c r="A460" t="s">
        <v>2564</v>
      </c>
      <c r="B460" t="s">
        <v>3784</v>
      </c>
      <c r="C460" t="s">
        <v>2563</v>
      </c>
      <c r="D460" t="s">
        <v>3125</v>
      </c>
      <c r="E460" t="s">
        <v>167</v>
      </c>
      <c r="F460" t="s">
        <v>168</v>
      </c>
      <c r="G460" t="s">
        <v>177</v>
      </c>
      <c r="H460" t="s">
        <v>219</v>
      </c>
      <c r="I460" t="s">
        <v>219</v>
      </c>
      <c r="J460" t="s">
        <v>199</v>
      </c>
      <c r="K460" t="s">
        <v>268</v>
      </c>
      <c r="L460" t="s">
        <v>3164</v>
      </c>
      <c r="M460">
        <v>2.75</v>
      </c>
      <c r="N460" t="s">
        <v>3104</v>
      </c>
      <c r="O460">
        <v>22</v>
      </c>
      <c r="P460">
        <v>20</v>
      </c>
      <c r="Q460">
        <v>50</v>
      </c>
    </row>
    <row r="461" spans="1:17">
      <c r="A461" t="s">
        <v>2560</v>
      </c>
      <c r="B461" t="s">
        <v>3784</v>
      </c>
      <c r="C461" t="s">
        <v>2559</v>
      </c>
      <c r="D461" t="s">
        <v>3125</v>
      </c>
      <c r="E461" t="s">
        <v>167</v>
      </c>
      <c r="F461" t="s">
        <v>168</v>
      </c>
      <c r="G461" t="s">
        <v>197</v>
      </c>
      <c r="H461" t="s">
        <v>198</v>
      </c>
      <c r="I461" t="s">
        <v>198</v>
      </c>
      <c r="J461" t="s">
        <v>199</v>
      </c>
      <c r="K461" t="s">
        <v>200</v>
      </c>
      <c r="L461" t="s">
        <v>3785</v>
      </c>
      <c r="M461">
        <v>2.5</v>
      </c>
      <c r="N461" t="s">
        <v>3104</v>
      </c>
      <c r="O461" t="s">
        <v>3786</v>
      </c>
      <c r="P461" t="s">
        <v>3659</v>
      </c>
      <c r="Q461" t="s">
        <v>3207</v>
      </c>
    </row>
    <row r="462" spans="1:17">
      <c r="A462" t="s">
        <v>2341</v>
      </c>
      <c r="B462" t="s">
        <v>3787</v>
      </c>
      <c r="C462" t="s">
        <v>2340</v>
      </c>
      <c r="D462" t="s">
        <v>3158</v>
      </c>
      <c r="E462" t="s">
        <v>167</v>
      </c>
      <c r="F462" t="s">
        <v>168</v>
      </c>
      <c r="G462" t="s">
        <v>197</v>
      </c>
      <c r="H462" t="s">
        <v>219</v>
      </c>
      <c r="I462" t="s">
        <v>219</v>
      </c>
      <c r="J462" t="s">
        <v>199</v>
      </c>
      <c r="K462" t="s">
        <v>220</v>
      </c>
      <c r="L462" t="s">
        <v>3283</v>
      </c>
      <c r="M462">
        <v>2.5</v>
      </c>
      <c r="N462" t="s">
        <v>3104</v>
      </c>
      <c r="O462">
        <v>57.5</v>
      </c>
      <c r="P462">
        <v>56</v>
      </c>
      <c r="Q462">
        <v>20</v>
      </c>
    </row>
    <row r="463" spans="1:17">
      <c r="A463" t="s">
        <v>2980</v>
      </c>
      <c r="B463" t="s">
        <v>3788</v>
      </c>
      <c r="C463" t="s">
        <v>2979</v>
      </c>
      <c r="D463" t="s">
        <v>3214</v>
      </c>
      <c r="E463" t="s">
        <v>167</v>
      </c>
      <c r="F463" t="s">
        <v>168</v>
      </c>
      <c r="G463" t="s">
        <v>197</v>
      </c>
      <c r="H463" t="s">
        <v>198</v>
      </c>
      <c r="I463" t="s">
        <v>198</v>
      </c>
      <c r="J463" t="s">
        <v>199</v>
      </c>
      <c r="K463" t="s">
        <v>200</v>
      </c>
      <c r="L463" t="s">
        <v>3789</v>
      </c>
      <c r="M463" t="s">
        <v>3790</v>
      </c>
      <c r="N463" t="s">
        <v>3104</v>
      </c>
      <c r="O463">
        <v>91.92</v>
      </c>
      <c r="P463">
        <v>119</v>
      </c>
      <c r="Q463">
        <v>50</v>
      </c>
    </row>
    <row r="464" spans="1:17">
      <c r="A464" t="s">
        <v>2980</v>
      </c>
      <c r="B464" t="s">
        <v>3788</v>
      </c>
      <c r="C464" t="s">
        <v>2979</v>
      </c>
      <c r="D464" t="s">
        <v>3214</v>
      </c>
      <c r="E464" t="s">
        <v>167</v>
      </c>
      <c r="F464" t="s">
        <v>168</v>
      </c>
      <c r="G464" t="s">
        <v>197</v>
      </c>
      <c r="H464" t="s">
        <v>198</v>
      </c>
      <c r="I464" t="s">
        <v>198</v>
      </c>
      <c r="J464" t="s">
        <v>199</v>
      </c>
      <c r="K464" t="s">
        <v>200</v>
      </c>
      <c r="L464" t="s">
        <v>3791</v>
      </c>
      <c r="M464" t="s">
        <v>3211</v>
      </c>
      <c r="N464" t="s">
        <v>3104</v>
      </c>
      <c r="O464">
        <v>27.44</v>
      </c>
      <c r="P464">
        <v>119</v>
      </c>
      <c r="Q464">
        <v>50</v>
      </c>
    </row>
    <row r="465" spans="1:17">
      <c r="A465" t="s">
        <v>805</v>
      </c>
      <c r="B465" t="s">
        <v>1316</v>
      </c>
      <c r="C465" t="s">
        <v>3792</v>
      </c>
      <c r="D465" t="s">
        <v>3158</v>
      </c>
      <c r="E465" t="s">
        <v>167</v>
      </c>
      <c r="F465" t="s">
        <v>313</v>
      </c>
      <c r="G465" t="s">
        <v>177</v>
      </c>
      <c r="H465" t="s">
        <v>3126</v>
      </c>
      <c r="I465" t="s">
        <v>287</v>
      </c>
      <c r="J465" t="s">
        <v>172</v>
      </c>
      <c r="K465" t="s">
        <v>334</v>
      </c>
      <c r="L465" t="s">
        <v>3111</v>
      </c>
      <c r="M465" t="s">
        <v>3259</v>
      </c>
      <c r="N465" t="s">
        <v>3115</v>
      </c>
      <c r="O465" t="s">
        <v>3518</v>
      </c>
      <c r="P465" t="s">
        <v>3518</v>
      </c>
      <c r="Q465" t="s">
        <v>3118</v>
      </c>
    </row>
    <row r="466" spans="1:17">
      <c r="A466" t="s">
        <v>805</v>
      </c>
      <c r="B466" t="s">
        <v>1316</v>
      </c>
      <c r="C466" t="s">
        <v>3792</v>
      </c>
      <c r="D466" t="s">
        <v>3158</v>
      </c>
      <c r="E466" t="s">
        <v>167</v>
      </c>
      <c r="F466" t="s">
        <v>313</v>
      </c>
      <c r="G466" t="s">
        <v>177</v>
      </c>
      <c r="H466" t="s">
        <v>3126</v>
      </c>
      <c r="I466" t="s">
        <v>287</v>
      </c>
      <c r="J466" t="s">
        <v>172</v>
      </c>
      <c r="K466" t="s">
        <v>334</v>
      </c>
      <c r="L466" t="s">
        <v>3105</v>
      </c>
      <c r="M466" t="s">
        <v>3147</v>
      </c>
      <c r="N466" t="s">
        <v>3115</v>
      </c>
      <c r="O466" t="s">
        <v>805</v>
      </c>
      <c r="P466" t="s">
        <v>805</v>
      </c>
      <c r="Q466" t="s">
        <v>805</v>
      </c>
    </row>
    <row r="467" spans="1:17">
      <c r="A467" t="s">
        <v>735</v>
      </c>
      <c r="B467" t="s">
        <v>3793</v>
      </c>
      <c r="C467" t="s">
        <v>736</v>
      </c>
      <c r="D467" t="s">
        <v>3158</v>
      </c>
      <c r="E467" t="s">
        <v>167</v>
      </c>
      <c r="F467" t="s">
        <v>168</v>
      </c>
      <c r="G467" t="s">
        <v>177</v>
      </c>
      <c r="H467" t="s">
        <v>198</v>
      </c>
      <c r="I467" t="s">
        <v>198</v>
      </c>
      <c r="J467" t="s">
        <v>199</v>
      </c>
      <c r="K467" t="s">
        <v>200</v>
      </c>
      <c r="L467" t="s">
        <v>3408</v>
      </c>
      <c r="M467" t="s">
        <v>3794</v>
      </c>
      <c r="N467" t="s">
        <v>3104</v>
      </c>
      <c r="O467" t="s">
        <v>3298</v>
      </c>
      <c r="P467" t="s">
        <v>3298</v>
      </c>
      <c r="Q467" t="s">
        <v>3133</v>
      </c>
    </row>
    <row r="468" spans="1:17">
      <c r="A468" t="s">
        <v>756</v>
      </c>
      <c r="B468" t="s">
        <v>1238</v>
      </c>
      <c r="C468" t="s">
        <v>757</v>
      </c>
      <c r="D468" t="s">
        <v>3125</v>
      </c>
      <c r="E468" t="s">
        <v>167</v>
      </c>
      <c r="F468" t="s">
        <v>168</v>
      </c>
      <c r="G468" t="s">
        <v>197</v>
      </c>
      <c r="H468" t="s">
        <v>198</v>
      </c>
      <c r="I468" t="s">
        <v>198</v>
      </c>
      <c r="J468" t="s">
        <v>199</v>
      </c>
      <c r="K468" t="s">
        <v>200</v>
      </c>
      <c r="M468" t="s">
        <v>3172</v>
      </c>
      <c r="N468" t="s">
        <v>3115</v>
      </c>
      <c r="O468" t="s">
        <v>3795</v>
      </c>
      <c r="P468" t="s">
        <v>3594</v>
      </c>
      <c r="Q468" t="s">
        <v>3132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1"/>
  </sheetPr>
  <dimension ref="A1:Q47"/>
  <sheetViews>
    <sheetView topLeftCell="B1" workbookViewId="0">
      <selection activeCell="B2" sqref="B2:B46"/>
    </sheetView>
  </sheetViews>
  <sheetFormatPr baseColWidth="10" defaultRowHeight="15" x14ac:dyDescent="0"/>
  <cols>
    <col min="1" max="1" width="27.6640625" bestFit="1" customWidth="1"/>
    <col min="2" max="2" width="19" customWidth="1"/>
    <col min="5" max="5" width="17.6640625" bestFit="1" customWidth="1"/>
    <col min="6" max="6" width="25.5" bestFit="1" customWidth="1"/>
    <col min="7" max="7" width="18.33203125" bestFit="1" customWidth="1"/>
    <col min="8" max="8" width="13.83203125" bestFit="1" customWidth="1"/>
    <col min="9" max="9" width="15.6640625" bestFit="1" customWidth="1"/>
    <col min="10" max="10" width="17" bestFit="1" customWidth="1"/>
    <col min="11" max="11" width="20" bestFit="1" customWidth="1"/>
    <col min="12" max="12" width="18.6640625" bestFit="1" customWidth="1"/>
    <col min="13" max="13" width="17" bestFit="1" customWidth="1"/>
    <col min="14" max="14" width="9.5" bestFit="1" customWidth="1"/>
    <col min="15" max="15" width="12.83203125" bestFit="1" customWidth="1"/>
    <col min="16" max="16" width="8.6640625" bestFit="1" customWidth="1"/>
  </cols>
  <sheetData>
    <row r="1" spans="1:17">
      <c r="A1" t="s">
        <v>4400</v>
      </c>
      <c r="B1" t="s">
        <v>153</v>
      </c>
      <c r="C1" t="s">
        <v>4522</v>
      </c>
      <c r="D1" t="s">
        <v>4523</v>
      </c>
      <c r="E1" t="s">
        <v>4399</v>
      </c>
      <c r="F1" t="s">
        <v>4401</v>
      </c>
      <c r="G1" t="s">
        <v>4402</v>
      </c>
      <c r="H1" t="s">
        <v>4403</v>
      </c>
      <c r="I1" t="s">
        <v>4404</v>
      </c>
      <c r="J1" t="s">
        <v>4405</v>
      </c>
      <c r="K1" t="s">
        <v>4406</v>
      </c>
      <c r="L1" t="s">
        <v>4407</v>
      </c>
      <c r="M1" t="s">
        <v>4408</v>
      </c>
      <c r="N1" t="s">
        <v>4409</v>
      </c>
      <c r="O1" t="s">
        <v>4410</v>
      </c>
      <c r="P1" t="s">
        <v>4521</v>
      </c>
      <c r="Q1" t="s">
        <v>4587</v>
      </c>
    </row>
    <row r="2" spans="1:17">
      <c r="A2" t="s">
        <v>4412</v>
      </c>
      <c r="B2" t="s">
        <v>4541</v>
      </c>
      <c r="C2" t="str">
        <f>E2</f>
        <v>ALBGRAS</v>
      </c>
      <c r="D2" t="s">
        <v>4524</v>
      </c>
      <c r="E2" t="s">
        <v>4411</v>
      </c>
      <c r="F2" t="s">
        <v>4413</v>
      </c>
      <c r="G2" t="s">
        <v>198</v>
      </c>
      <c r="H2" t="s">
        <v>198</v>
      </c>
      <c r="J2" t="s">
        <v>4414</v>
      </c>
      <c r="K2">
        <v>2001</v>
      </c>
      <c r="L2" s="6">
        <v>43385</v>
      </c>
      <c r="M2">
        <v>7.7569999999999997</v>
      </c>
      <c r="O2">
        <v>86.4</v>
      </c>
      <c r="P2" s="7">
        <v>21.6</v>
      </c>
      <c r="Q2" t="s">
        <v>4572</v>
      </c>
    </row>
    <row r="3" spans="1:17">
      <c r="A3" t="s">
        <v>4416</v>
      </c>
      <c r="B3" t="s">
        <v>4525</v>
      </c>
      <c r="C3" t="s">
        <v>4526</v>
      </c>
      <c r="D3" t="s">
        <v>4527</v>
      </c>
      <c r="E3" t="s">
        <v>4415</v>
      </c>
      <c r="F3" t="s">
        <v>4417</v>
      </c>
      <c r="G3" t="s">
        <v>170</v>
      </c>
      <c r="H3" t="s">
        <v>170</v>
      </c>
      <c r="J3" t="s">
        <v>4414</v>
      </c>
      <c r="K3">
        <v>2005</v>
      </c>
      <c r="L3" s="6">
        <v>37803</v>
      </c>
      <c r="M3">
        <v>135</v>
      </c>
      <c r="N3">
        <v>9.4</v>
      </c>
      <c r="O3">
        <v>9.4</v>
      </c>
      <c r="P3" s="7">
        <v>143</v>
      </c>
      <c r="Q3" t="s">
        <v>4573</v>
      </c>
    </row>
    <row r="4" spans="1:17">
      <c r="A4" t="s">
        <v>4418</v>
      </c>
      <c r="B4" t="s">
        <v>4525</v>
      </c>
      <c r="C4" t="s">
        <v>4526</v>
      </c>
      <c r="D4" t="s">
        <v>4527</v>
      </c>
      <c r="E4" t="s">
        <v>4415</v>
      </c>
      <c r="F4" t="s">
        <v>4419</v>
      </c>
      <c r="G4" t="s">
        <v>170</v>
      </c>
      <c r="H4" t="s">
        <v>170</v>
      </c>
      <c r="J4" t="s">
        <v>4414</v>
      </c>
      <c r="K4">
        <v>2006</v>
      </c>
      <c r="L4" s="6">
        <v>37803</v>
      </c>
      <c r="M4">
        <v>135.5</v>
      </c>
      <c r="N4">
        <v>9.4</v>
      </c>
      <c r="O4">
        <v>9.4</v>
      </c>
      <c r="P4" s="7">
        <v>143</v>
      </c>
      <c r="Q4" t="s">
        <v>4573</v>
      </c>
    </row>
    <row r="5" spans="1:17">
      <c r="A5" t="s">
        <v>4420</v>
      </c>
      <c r="B5" t="s">
        <v>4528</v>
      </c>
      <c r="C5" t="s">
        <v>4529</v>
      </c>
      <c r="D5" t="s">
        <v>4530</v>
      </c>
      <c r="E5" t="s">
        <v>4415</v>
      </c>
      <c r="F5" t="s">
        <v>4421</v>
      </c>
      <c r="G5" t="s">
        <v>4422</v>
      </c>
      <c r="H5" t="s">
        <v>170</v>
      </c>
      <c r="I5" t="s">
        <v>4423</v>
      </c>
      <c r="J5" t="s">
        <v>4424</v>
      </c>
      <c r="K5">
        <v>2007</v>
      </c>
      <c r="L5" s="6">
        <v>39053</v>
      </c>
      <c r="M5">
        <v>195.15199999999999</v>
      </c>
      <c r="N5">
        <v>8</v>
      </c>
      <c r="O5">
        <v>8</v>
      </c>
      <c r="P5" s="7">
        <v>195.15199999999999</v>
      </c>
      <c r="Q5" t="s">
        <v>4573</v>
      </c>
    </row>
    <row r="6" spans="1:17">
      <c r="A6" t="s">
        <v>4425</v>
      </c>
      <c r="B6" t="s">
        <v>4528</v>
      </c>
      <c r="C6" t="s">
        <v>4529</v>
      </c>
      <c r="D6" t="s">
        <v>4530</v>
      </c>
      <c r="E6" t="s">
        <v>4415</v>
      </c>
      <c r="F6" t="s">
        <v>4426</v>
      </c>
      <c r="G6" t="s">
        <v>4422</v>
      </c>
      <c r="H6" t="s">
        <v>170</v>
      </c>
      <c r="I6" t="s">
        <v>4423</v>
      </c>
      <c r="J6" t="s">
        <v>4424</v>
      </c>
      <c r="K6">
        <v>2007</v>
      </c>
      <c r="L6" s="6">
        <v>39053</v>
      </c>
      <c r="M6">
        <v>196.84800000000001</v>
      </c>
      <c r="N6">
        <v>8</v>
      </c>
      <c r="O6">
        <v>8</v>
      </c>
      <c r="P6" s="7">
        <v>196.84800000000001</v>
      </c>
      <c r="Q6" t="s">
        <v>4573</v>
      </c>
    </row>
    <row r="7" spans="1:17">
      <c r="A7" t="s">
        <v>4427</v>
      </c>
      <c r="B7" t="s">
        <v>4428</v>
      </c>
      <c r="C7" t="s">
        <v>4427</v>
      </c>
      <c r="D7" t="s">
        <v>4531</v>
      </c>
      <c r="E7" t="s">
        <v>4415</v>
      </c>
      <c r="F7" t="s">
        <v>4428</v>
      </c>
      <c r="G7" t="s">
        <v>198</v>
      </c>
      <c r="H7" t="s">
        <v>198</v>
      </c>
      <c r="J7" t="s">
        <v>4414</v>
      </c>
      <c r="K7">
        <v>2005</v>
      </c>
      <c r="L7" s="6">
        <v>37803</v>
      </c>
      <c r="M7">
        <v>26.096</v>
      </c>
      <c r="O7">
        <v>89.1</v>
      </c>
      <c r="P7" s="7">
        <v>89.1</v>
      </c>
      <c r="Q7" t="s">
        <v>4573</v>
      </c>
    </row>
    <row r="8" spans="1:17">
      <c r="A8" t="s">
        <v>4429</v>
      </c>
      <c r="B8" t="s">
        <v>4430</v>
      </c>
      <c r="C8" t="s">
        <v>4429</v>
      </c>
      <c r="D8" t="s">
        <v>4533</v>
      </c>
      <c r="E8" t="s">
        <v>4415</v>
      </c>
      <c r="F8" t="s">
        <v>4430</v>
      </c>
      <c r="G8" t="s">
        <v>198</v>
      </c>
      <c r="H8" t="s">
        <v>198</v>
      </c>
      <c r="J8" t="s">
        <v>4414</v>
      </c>
      <c r="K8">
        <v>2019</v>
      </c>
      <c r="L8" s="6">
        <v>43476</v>
      </c>
      <c r="M8">
        <v>0</v>
      </c>
      <c r="O8">
        <v>19.8</v>
      </c>
      <c r="P8" s="7">
        <v>130</v>
      </c>
      <c r="Q8" t="s">
        <v>4573</v>
      </c>
    </row>
    <row r="9" spans="1:17">
      <c r="A9" t="s">
        <v>4433</v>
      </c>
      <c r="B9" t="s">
        <v>4534</v>
      </c>
      <c r="C9" t="s">
        <v>4535</v>
      </c>
      <c r="D9" t="s">
        <v>4536</v>
      </c>
      <c r="E9" t="s">
        <v>4432</v>
      </c>
      <c r="F9" t="s">
        <v>4434</v>
      </c>
      <c r="G9" t="s">
        <v>193</v>
      </c>
      <c r="H9" t="s">
        <v>193</v>
      </c>
      <c r="J9" t="s">
        <v>4414</v>
      </c>
      <c r="K9">
        <v>2008</v>
      </c>
      <c r="L9" s="6">
        <v>39278</v>
      </c>
      <c r="M9">
        <v>217</v>
      </c>
      <c r="N9">
        <v>2</v>
      </c>
      <c r="O9">
        <v>2</v>
      </c>
      <c r="P9" s="7">
        <v>217</v>
      </c>
      <c r="Q9" t="s">
        <v>4579</v>
      </c>
    </row>
    <row r="10" spans="1:17">
      <c r="A10" t="s">
        <v>4436</v>
      </c>
      <c r="B10" t="s">
        <v>4534</v>
      </c>
      <c r="C10" t="s">
        <v>4535</v>
      </c>
      <c r="D10" t="s">
        <v>4536</v>
      </c>
      <c r="E10" t="s">
        <v>4435</v>
      </c>
      <c r="F10" t="s">
        <v>4437</v>
      </c>
      <c r="G10" t="s">
        <v>193</v>
      </c>
      <c r="H10" t="s">
        <v>193</v>
      </c>
      <c r="J10" t="s">
        <v>4414</v>
      </c>
      <c r="K10">
        <v>2009</v>
      </c>
      <c r="L10" s="6">
        <v>39303</v>
      </c>
      <c r="M10">
        <v>217</v>
      </c>
      <c r="N10">
        <v>2</v>
      </c>
      <c r="O10">
        <v>2</v>
      </c>
      <c r="P10" s="7">
        <v>217</v>
      </c>
      <c r="Q10" t="s">
        <v>4578</v>
      </c>
    </row>
    <row r="11" spans="1:17">
      <c r="A11" t="s">
        <v>4438</v>
      </c>
      <c r="B11" t="s">
        <v>4538</v>
      </c>
      <c r="C11" t="s">
        <v>4438</v>
      </c>
      <c r="D11" t="s">
        <v>4537</v>
      </c>
      <c r="E11" t="s">
        <v>4431</v>
      </c>
      <c r="F11" t="s">
        <v>4439</v>
      </c>
      <c r="G11" t="s">
        <v>170</v>
      </c>
      <c r="H11" t="s">
        <v>170</v>
      </c>
      <c r="J11" t="s">
        <v>4414</v>
      </c>
      <c r="K11">
        <v>2003</v>
      </c>
      <c r="L11" s="6">
        <v>37803</v>
      </c>
      <c r="M11">
        <v>240</v>
      </c>
      <c r="N11">
        <v>12</v>
      </c>
      <c r="O11">
        <v>12</v>
      </c>
      <c r="P11" s="7">
        <v>249.7</v>
      </c>
      <c r="Q11" t="s">
        <v>4586</v>
      </c>
    </row>
    <row r="12" spans="1:17">
      <c r="A12" t="s">
        <v>4440</v>
      </c>
      <c r="B12" t="s">
        <v>4540</v>
      </c>
      <c r="C12" t="s">
        <v>4440</v>
      </c>
      <c r="D12" t="s">
        <v>4539</v>
      </c>
      <c r="E12" t="s">
        <v>4431</v>
      </c>
      <c r="F12" t="s">
        <v>4441</v>
      </c>
      <c r="G12" t="s">
        <v>193</v>
      </c>
      <c r="H12" t="s">
        <v>193</v>
      </c>
      <c r="J12" t="s">
        <v>4414</v>
      </c>
      <c r="K12">
        <v>1999</v>
      </c>
      <c r="L12" s="6">
        <v>37803</v>
      </c>
      <c r="M12">
        <v>317.2</v>
      </c>
      <c r="N12">
        <v>4</v>
      </c>
      <c r="O12">
        <v>4</v>
      </c>
      <c r="P12" s="7">
        <v>318.3</v>
      </c>
      <c r="Q12" t="s">
        <v>4586</v>
      </c>
    </row>
    <row r="13" spans="1:17">
      <c r="A13" t="s">
        <v>4443</v>
      </c>
      <c r="B13" t="s">
        <v>4444</v>
      </c>
      <c r="C13" t="s">
        <v>4443</v>
      </c>
      <c r="D13" t="s">
        <v>4532</v>
      </c>
      <c r="E13" t="s">
        <v>4442</v>
      </c>
      <c r="F13" t="s">
        <v>4444</v>
      </c>
      <c r="G13" t="s">
        <v>198</v>
      </c>
      <c r="H13" t="s">
        <v>198</v>
      </c>
      <c r="J13" t="s">
        <v>4414</v>
      </c>
      <c r="K13">
        <v>2006</v>
      </c>
      <c r="L13" s="6">
        <v>37803</v>
      </c>
      <c r="M13">
        <v>28.036999999999999</v>
      </c>
      <c r="O13">
        <v>2</v>
      </c>
      <c r="P13" s="7">
        <v>80</v>
      </c>
      <c r="Q13" t="s">
        <v>4575</v>
      </c>
    </row>
    <row r="14" spans="1:17">
      <c r="A14" t="s">
        <v>4445</v>
      </c>
      <c r="B14" t="s">
        <v>4541</v>
      </c>
      <c r="C14" t="str">
        <f>E14</f>
        <v>ALBGRAS</v>
      </c>
      <c r="D14" t="s">
        <v>4524</v>
      </c>
      <c r="E14" t="s">
        <v>4411</v>
      </c>
      <c r="F14" t="s">
        <v>4446</v>
      </c>
      <c r="G14" t="s">
        <v>198</v>
      </c>
      <c r="H14" t="s">
        <v>198</v>
      </c>
      <c r="J14" t="s">
        <v>4414</v>
      </c>
      <c r="K14">
        <v>2012</v>
      </c>
      <c r="L14" s="6">
        <v>43385</v>
      </c>
      <c r="M14">
        <v>5.0739999999999998</v>
      </c>
      <c r="O14">
        <v>10</v>
      </c>
      <c r="P14" s="7">
        <v>13.8</v>
      </c>
      <c r="Q14" t="s">
        <v>4572</v>
      </c>
    </row>
    <row r="15" spans="1:17">
      <c r="A15" t="s">
        <v>4448</v>
      </c>
      <c r="B15" t="s">
        <v>4449</v>
      </c>
      <c r="C15" t="s">
        <v>4448</v>
      </c>
      <c r="D15" t="s">
        <v>4542</v>
      </c>
      <c r="E15" t="s">
        <v>4447</v>
      </c>
      <c r="F15" t="s">
        <v>4449</v>
      </c>
      <c r="G15" t="s">
        <v>198</v>
      </c>
      <c r="H15" t="s">
        <v>198</v>
      </c>
      <c r="J15" t="s">
        <v>4414</v>
      </c>
      <c r="K15">
        <v>2011</v>
      </c>
      <c r="L15" s="6">
        <v>40674</v>
      </c>
      <c r="M15">
        <v>20.567</v>
      </c>
      <c r="O15">
        <v>33.299999999999997</v>
      </c>
      <c r="P15" s="7">
        <v>206</v>
      </c>
      <c r="Q15" t="s">
        <v>4449</v>
      </c>
    </row>
    <row r="16" spans="1:17">
      <c r="A16" t="s">
        <v>4451</v>
      </c>
      <c r="B16" t="s">
        <v>4544</v>
      </c>
      <c r="C16" t="s">
        <v>4545</v>
      </c>
      <c r="D16" t="s">
        <v>4543</v>
      </c>
      <c r="E16" t="s">
        <v>4431</v>
      </c>
      <c r="F16" t="s">
        <v>4452</v>
      </c>
      <c r="G16" t="s">
        <v>4422</v>
      </c>
      <c r="H16" t="s">
        <v>170</v>
      </c>
      <c r="I16" t="s">
        <v>4423</v>
      </c>
      <c r="J16" t="s">
        <v>4424</v>
      </c>
      <c r="K16">
        <v>2005</v>
      </c>
      <c r="L16" s="6">
        <v>37803</v>
      </c>
      <c r="M16">
        <v>155</v>
      </c>
      <c r="N16">
        <v>15</v>
      </c>
      <c r="O16">
        <v>15</v>
      </c>
      <c r="P16" s="7">
        <v>154.69999999999999</v>
      </c>
      <c r="Q16" t="s">
        <v>4586</v>
      </c>
    </row>
    <row r="17" spans="1:17">
      <c r="A17" t="s">
        <v>4453</v>
      </c>
      <c r="B17" t="s">
        <v>4544</v>
      </c>
      <c r="C17" t="s">
        <v>4545</v>
      </c>
      <c r="D17" t="s">
        <v>4543</v>
      </c>
      <c r="E17" t="s">
        <v>4431</v>
      </c>
      <c r="F17" t="s">
        <v>4454</v>
      </c>
      <c r="G17" t="s">
        <v>4422</v>
      </c>
      <c r="H17" t="s">
        <v>170</v>
      </c>
      <c r="I17" t="s">
        <v>4423</v>
      </c>
      <c r="J17" t="s">
        <v>4424</v>
      </c>
      <c r="K17">
        <v>2005</v>
      </c>
      <c r="L17" s="6">
        <v>37803</v>
      </c>
      <c r="M17">
        <v>155</v>
      </c>
      <c r="N17">
        <v>15</v>
      </c>
      <c r="O17">
        <v>15</v>
      </c>
      <c r="P17" s="7">
        <v>154.69999999999999</v>
      </c>
      <c r="Q17" t="s">
        <v>4586</v>
      </c>
    </row>
    <row r="18" spans="1:17">
      <c r="A18" t="s">
        <v>4455</v>
      </c>
      <c r="B18" t="s">
        <v>4547</v>
      </c>
      <c r="C18" t="s">
        <v>4550</v>
      </c>
      <c r="D18" t="s">
        <v>4546</v>
      </c>
      <c r="E18" t="s">
        <v>4431</v>
      </c>
      <c r="F18" t="s">
        <v>4456</v>
      </c>
      <c r="G18" t="s">
        <v>4422</v>
      </c>
      <c r="H18" t="s">
        <v>170</v>
      </c>
      <c r="I18" t="s">
        <v>4423</v>
      </c>
      <c r="J18" t="s">
        <v>4424</v>
      </c>
      <c r="K18">
        <v>1972</v>
      </c>
      <c r="L18" s="6">
        <v>37803</v>
      </c>
      <c r="M18">
        <v>0</v>
      </c>
      <c r="N18">
        <v>2.25</v>
      </c>
      <c r="O18">
        <v>2.25</v>
      </c>
      <c r="P18" s="7">
        <v>20.2</v>
      </c>
      <c r="Q18" t="s">
        <v>4586</v>
      </c>
    </row>
    <row r="19" spans="1:17">
      <c r="A19" t="s">
        <v>4457</v>
      </c>
      <c r="B19" t="s">
        <v>4547</v>
      </c>
      <c r="C19" t="s">
        <v>4550</v>
      </c>
      <c r="D19" t="s">
        <v>4546</v>
      </c>
      <c r="E19" t="s">
        <v>4431</v>
      </c>
      <c r="F19" t="s">
        <v>4458</v>
      </c>
      <c r="G19" t="s">
        <v>4422</v>
      </c>
      <c r="H19" t="s">
        <v>170</v>
      </c>
      <c r="I19" t="s">
        <v>4423</v>
      </c>
      <c r="J19" t="s">
        <v>4424</v>
      </c>
      <c r="K19">
        <v>2011</v>
      </c>
      <c r="L19" s="6">
        <v>41073</v>
      </c>
      <c r="M19">
        <v>98.5</v>
      </c>
      <c r="N19">
        <v>33</v>
      </c>
      <c r="O19">
        <v>30</v>
      </c>
      <c r="P19" s="7">
        <v>103.2</v>
      </c>
      <c r="Q19" t="s">
        <v>4586</v>
      </c>
    </row>
    <row r="20" spans="1:17">
      <c r="A20" t="s">
        <v>4459</v>
      </c>
      <c r="B20" t="s">
        <v>4547</v>
      </c>
      <c r="C20" t="s">
        <v>4550</v>
      </c>
      <c r="D20" t="s">
        <v>4546</v>
      </c>
      <c r="E20" t="s">
        <v>4431</v>
      </c>
      <c r="F20" t="s">
        <v>4460</v>
      </c>
      <c r="G20" t="s">
        <v>4422</v>
      </c>
      <c r="H20" t="s">
        <v>170</v>
      </c>
      <c r="I20" t="s">
        <v>4423</v>
      </c>
      <c r="J20" t="s">
        <v>4424</v>
      </c>
      <c r="K20">
        <v>2011</v>
      </c>
      <c r="L20" s="6">
        <v>41041</v>
      </c>
      <c r="M20">
        <v>99.2</v>
      </c>
      <c r="N20">
        <v>33</v>
      </c>
      <c r="O20">
        <v>30</v>
      </c>
      <c r="P20" s="7">
        <v>103.2</v>
      </c>
      <c r="Q20" t="s">
        <v>4586</v>
      </c>
    </row>
    <row r="21" spans="1:17">
      <c r="A21" t="s">
        <v>4461</v>
      </c>
      <c r="B21" t="s">
        <v>4553</v>
      </c>
      <c r="C21" t="s">
        <v>4554</v>
      </c>
      <c r="D21" t="s">
        <v>4552</v>
      </c>
      <c r="E21" t="s">
        <v>4431</v>
      </c>
      <c r="F21" t="s">
        <v>4462</v>
      </c>
      <c r="G21" t="s">
        <v>193</v>
      </c>
      <c r="H21" t="s">
        <v>193</v>
      </c>
      <c r="J21" t="s">
        <v>4414</v>
      </c>
      <c r="K21">
        <v>1981</v>
      </c>
      <c r="L21" s="6">
        <v>37803</v>
      </c>
      <c r="M21">
        <v>195</v>
      </c>
      <c r="N21">
        <v>4</v>
      </c>
      <c r="O21">
        <v>4</v>
      </c>
      <c r="P21" s="7">
        <v>195.8</v>
      </c>
      <c r="Q21" t="s">
        <v>4586</v>
      </c>
    </row>
    <row r="22" spans="1:17">
      <c r="A22" t="s">
        <v>4463</v>
      </c>
      <c r="B22" t="s">
        <v>4553</v>
      </c>
      <c r="C22" t="s">
        <v>4554</v>
      </c>
      <c r="D22" t="s">
        <v>4552</v>
      </c>
      <c r="E22" t="s">
        <v>4431</v>
      </c>
      <c r="F22" t="s">
        <v>4464</v>
      </c>
      <c r="G22" t="s">
        <v>193</v>
      </c>
      <c r="H22" t="s">
        <v>193</v>
      </c>
      <c r="J22" t="s">
        <v>4414</v>
      </c>
      <c r="K22">
        <v>1981</v>
      </c>
      <c r="L22" s="6">
        <v>37803</v>
      </c>
      <c r="M22">
        <v>193</v>
      </c>
      <c r="N22">
        <v>4</v>
      </c>
      <c r="O22">
        <v>4</v>
      </c>
      <c r="P22" s="7">
        <v>193.6</v>
      </c>
      <c r="Q22" t="s">
        <v>4586</v>
      </c>
    </row>
    <row r="23" spans="1:17">
      <c r="A23" t="s">
        <v>4465</v>
      </c>
      <c r="B23" t="s">
        <v>4553</v>
      </c>
      <c r="C23" t="s">
        <v>4554</v>
      </c>
      <c r="D23" t="s">
        <v>4552</v>
      </c>
      <c r="E23" t="s">
        <v>4431</v>
      </c>
      <c r="F23" t="s">
        <v>4466</v>
      </c>
      <c r="G23" t="s">
        <v>193</v>
      </c>
      <c r="H23" t="s">
        <v>193</v>
      </c>
      <c r="J23" t="s">
        <v>4414</v>
      </c>
      <c r="K23">
        <v>1986</v>
      </c>
      <c r="L23" s="6">
        <v>37803</v>
      </c>
      <c r="M23">
        <v>211</v>
      </c>
      <c r="N23">
        <v>4</v>
      </c>
      <c r="O23">
        <v>4</v>
      </c>
      <c r="P23" s="7">
        <v>212.6</v>
      </c>
      <c r="Q23" t="s">
        <v>4586</v>
      </c>
    </row>
    <row r="24" spans="1:17">
      <c r="A24" t="s">
        <v>4467</v>
      </c>
      <c r="B24" t="s">
        <v>4553</v>
      </c>
      <c r="C24" t="s">
        <v>4554</v>
      </c>
      <c r="D24" t="s">
        <v>4552</v>
      </c>
      <c r="E24" t="s">
        <v>4431</v>
      </c>
      <c r="F24" t="s">
        <v>4468</v>
      </c>
      <c r="G24" t="s">
        <v>193</v>
      </c>
      <c r="H24" t="s">
        <v>193</v>
      </c>
      <c r="J24" t="s">
        <v>4414</v>
      </c>
      <c r="K24">
        <v>1986</v>
      </c>
      <c r="L24" s="6">
        <v>37803</v>
      </c>
      <c r="M24">
        <v>211</v>
      </c>
      <c r="N24">
        <v>4</v>
      </c>
      <c r="O24">
        <v>4</v>
      </c>
      <c r="P24" s="7">
        <v>212.6</v>
      </c>
      <c r="Q24" t="s">
        <v>4586</v>
      </c>
    </row>
    <row r="25" spans="1:17">
      <c r="A25" t="s">
        <v>4469</v>
      </c>
      <c r="B25" t="s">
        <v>4556</v>
      </c>
      <c r="C25" t="s">
        <v>4557</v>
      </c>
      <c r="D25" t="s">
        <v>4555</v>
      </c>
      <c r="E25" t="s">
        <v>4431</v>
      </c>
      <c r="F25" t="s">
        <v>4470</v>
      </c>
      <c r="G25" t="s">
        <v>170</v>
      </c>
      <c r="H25" t="s">
        <v>170</v>
      </c>
      <c r="J25" t="s">
        <v>4471</v>
      </c>
      <c r="K25">
        <v>1991</v>
      </c>
      <c r="L25" s="6">
        <v>37803</v>
      </c>
      <c r="M25">
        <v>0</v>
      </c>
      <c r="N25">
        <v>8</v>
      </c>
      <c r="O25">
        <v>8</v>
      </c>
      <c r="P25" s="7">
        <v>39.5</v>
      </c>
      <c r="Q25" t="s">
        <v>4586</v>
      </c>
    </row>
    <row r="26" spans="1:17">
      <c r="A26" t="s">
        <v>4472</v>
      </c>
      <c r="B26" t="s">
        <v>4556</v>
      </c>
      <c r="C26" t="s">
        <v>4557</v>
      </c>
      <c r="D26" t="s">
        <v>4555</v>
      </c>
      <c r="E26" t="s">
        <v>4431</v>
      </c>
      <c r="F26" t="s">
        <v>4473</v>
      </c>
      <c r="G26" t="s">
        <v>170</v>
      </c>
      <c r="H26" t="s">
        <v>170</v>
      </c>
      <c r="J26" t="s">
        <v>4471</v>
      </c>
      <c r="K26">
        <v>1991</v>
      </c>
      <c r="L26" s="6">
        <v>37803</v>
      </c>
      <c r="M26">
        <v>0</v>
      </c>
      <c r="N26">
        <v>8</v>
      </c>
      <c r="O26">
        <v>8</v>
      </c>
      <c r="P26" s="7">
        <v>39.5</v>
      </c>
      <c r="Q26" t="s">
        <v>4586</v>
      </c>
    </row>
    <row r="27" spans="1:17">
      <c r="A27" t="s">
        <v>4474</v>
      </c>
      <c r="B27" t="s">
        <v>4556</v>
      </c>
      <c r="C27" t="s">
        <v>4557</v>
      </c>
      <c r="D27" t="s">
        <v>4555</v>
      </c>
      <c r="E27" t="s">
        <v>4431</v>
      </c>
      <c r="F27" t="s">
        <v>4475</v>
      </c>
      <c r="G27" t="s">
        <v>170</v>
      </c>
      <c r="H27" t="s">
        <v>170</v>
      </c>
      <c r="J27" t="s">
        <v>4424</v>
      </c>
      <c r="K27">
        <v>1991</v>
      </c>
      <c r="L27" s="6">
        <v>37803</v>
      </c>
      <c r="M27">
        <v>0</v>
      </c>
      <c r="N27">
        <v>8</v>
      </c>
      <c r="O27">
        <v>8</v>
      </c>
      <c r="P27" s="7">
        <v>38</v>
      </c>
      <c r="Q27" t="s">
        <v>4586</v>
      </c>
    </row>
    <row r="28" spans="1:17">
      <c r="A28" t="s">
        <v>4477</v>
      </c>
      <c r="B28" t="s">
        <v>4478</v>
      </c>
      <c r="C28" t="s">
        <v>4477</v>
      </c>
      <c r="D28" t="s">
        <v>4558</v>
      </c>
      <c r="E28" t="s">
        <v>4476</v>
      </c>
      <c r="F28" t="s">
        <v>4478</v>
      </c>
      <c r="G28" t="s">
        <v>198</v>
      </c>
      <c r="H28" t="s">
        <v>198</v>
      </c>
      <c r="J28" t="s">
        <v>4414</v>
      </c>
      <c r="K28">
        <v>2013</v>
      </c>
      <c r="L28" s="6">
        <v>41340</v>
      </c>
      <c r="M28">
        <v>10.631</v>
      </c>
      <c r="O28">
        <v>8</v>
      </c>
      <c r="P28" s="7">
        <v>55</v>
      </c>
      <c r="Q28" t="s">
        <v>4478</v>
      </c>
    </row>
    <row r="29" spans="1:17">
      <c r="A29" t="s">
        <v>4480</v>
      </c>
      <c r="B29" t="s">
        <v>4481</v>
      </c>
      <c r="C29" t="s">
        <v>4480</v>
      </c>
      <c r="D29" t="s">
        <v>4559</v>
      </c>
      <c r="E29" t="s">
        <v>4479</v>
      </c>
      <c r="F29" t="s">
        <v>4481</v>
      </c>
      <c r="G29" t="s">
        <v>4423</v>
      </c>
      <c r="H29" t="s">
        <v>4423</v>
      </c>
      <c r="J29" t="s">
        <v>4424</v>
      </c>
      <c r="K29">
        <v>2011</v>
      </c>
      <c r="L29" s="6">
        <v>41121</v>
      </c>
      <c r="M29">
        <v>82</v>
      </c>
      <c r="N29">
        <v>6</v>
      </c>
      <c r="O29">
        <v>6</v>
      </c>
      <c r="P29" s="7">
        <v>92.6</v>
      </c>
      <c r="Q29" t="s">
        <v>4580</v>
      </c>
    </row>
    <row r="30" spans="1:17">
      <c r="A30" t="s">
        <v>4483</v>
      </c>
      <c r="B30" t="s">
        <v>4549</v>
      </c>
      <c r="C30" t="s">
        <v>4551</v>
      </c>
      <c r="D30" t="s">
        <v>4548</v>
      </c>
      <c r="E30" t="s">
        <v>4482</v>
      </c>
      <c r="F30" t="s">
        <v>4484</v>
      </c>
      <c r="G30" t="s">
        <v>170</v>
      </c>
      <c r="H30" t="s">
        <v>170</v>
      </c>
      <c r="J30" t="s">
        <v>4414</v>
      </c>
      <c r="K30">
        <v>2008</v>
      </c>
      <c r="L30" s="6">
        <v>37803</v>
      </c>
      <c r="M30">
        <v>327.8</v>
      </c>
      <c r="N30">
        <v>6</v>
      </c>
      <c r="O30">
        <v>6</v>
      </c>
      <c r="P30" s="7">
        <v>335</v>
      </c>
      <c r="Q30" t="s">
        <v>4582</v>
      </c>
    </row>
    <row r="31" spans="1:17">
      <c r="A31" t="s">
        <v>4486</v>
      </c>
      <c r="B31" t="s">
        <v>4560</v>
      </c>
      <c r="C31" t="s">
        <v>4486</v>
      </c>
      <c r="D31" t="s">
        <v>4561</v>
      </c>
      <c r="E31" t="s">
        <v>4485</v>
      </c>
      <c r="F31" t="s">
        <v>4487</v>
      </c>
      <c r="G31" t="s">
        <v>170</v>
      </c>
      <c r="H31" t="s">
        <v>170</v>
      </c>
      <c r="I31" t="s">
        <v>4423</v>
      </c>
      <c r="J31" t="s">
        <v>4424</v>
      </c>
      <c r="K31">
        <v>2008</v>
      </c>
      <c r="L31" s="6">
        <v>40105</v>
      </c>
      <c r="M31">
        <v>330.6</v>
      </c>
      <c r="N31">
        <v>11</v>
      </c>
      <c r="O31">
        <v>11</v>
      </c>
      <c r="P31" s="7">
        <v>342</v>
      </c>
      <c r="Q31" t="s">
        <v>4583</v>
      </c>
    </row>
    <row r="32" spans="1:17">
      <c r="A32" t="s">
        <v>4489</v>
      </c>
      <c r="B32" t="s">
        <v>4547</v>
      </c>
      <c r="C32" t="s">
        <v>4550</v>
      </c>
      <c r="D32" t="s">
        <v>4546</v>
      </c>
      <c r="E32" t="s">
        <v>4488</v>
      </c>
      <c r="F32" t="s">
        <v>4456</v>
      </c>
      <c r="G32" t="s">
        <v>4422</v>
      </c>
      <c r="H32" t="s">
        <v>170</v>
      </c>
      <c r="I32" t="s">
        <v>4423</v>
      </c>
      <c r="J32" t="s">
        <v>4424</v>
      </c>
      <c r="K32">
        <v>2010</v>
      </c>
      <c r="L32" s="6">
        <v>40429</v>
      </c>
      <c r="M32">
        <v>109</v>
      </c>
      <c r="N32">
        <v>24</v>
      </c>
      <c r="O32">
        <v>24</v>
      </c>
      <c r="P32" s="7">
        <v>116</v>
      </c>
      <c r="Q32" t="s">
        <v>4585</v>
      </c>
    </row>
    <row r="33" spans="1:17">
      <c r="A33" t="s">
        <v>4490</v>
      </c>
      <c r="B33" t="s">
        <v>4563</v>
      </c>
      <c r="C33" t="s">
        <v>4564</v>
      </c>
      <c r="D33" t="s">
        <v>4562</v>
      </c>
      <c r="E33" t="s">
        <v>4431</v>
      </c>
      <c r="F33" t="s">
        <v>4491</v>
      </c>
      <c r="G33" t="s">
        <v>4422</v>
      </c>
      <c r="H33" t="s">
        <v>170</v>
      </c>
      <c r="I33" t="s">
        <v>4423</v>
      </c>
      <c r="J33" t="s">
        <v>4424</v>
      </c>
      <c r="K33">
        <v>1990</v>
      </c>
      <c r="L33" s="6">
        <v>37803</v>
      </c>
      <c r="M33">
        <v>31.071999999999999</v>
      </c>
      <c r="N33">
        <v>8</v>
      </c>
      <c r="O33">
        <v>8</v>
      </c>
      <c r="P33" s="7">
        <v>38.5</v>
      </c>
      <c r="Q33" t="s">
        <v>4586</v>
      </c>
    </row>
    <row r="34" spans="1:17">
      <c r="A34" t="s">
        <v>4492</v>
      </c>
      <c r="B34" t="s">
        <v>4563</v>
      </c>
      <c r="C34" t="s">
        <v>4564</v>
      </c>
      <c r="D34" t="s">
        <v>4562</v>
      </c>
      <c r="E34" t="s">
        <v>4431</v>
      </c>
      <c r="F34" t="s">
        <v>4493</v>
      </c>
      <c r="G34" t="s">
        <v>170</v>
      </c>
      <c r="H34" t="s">
        <v>170</v>
      </c>
      <c r="J34" t="s">
        <v>4471</v>
      </c>
      <c r="K34">
        <v>1996</v>
      </c>
      <c r="L34" s="6">
        <v>37803</v>
      </c>
      <c r="M34">
        <v>110</v>
      </c>
      <c r="N34">
        <v>10</v>
      </c>
      <c r="O34">
        <v>10</v>
      </c>
      <c r="P34" s="7">
        <v>118.2</v>
      </c>
      <c r="Q34" t="s">
        <v>4586</v>
      </c>
    </row>
    <row r="35" spans="1:17">
      <c r="A35" t="s">
        <v>4494</v>
      </c>
      <c r="B35" t="s">
        <v>4563</v>
      </c>
      <c r="C35" t="s">
        <v>4564</v>
      </c>
      <c r="D35" t="s">
        <v>4562</v>
      </c>
      <c r="E35" t="s">
        <v>4431</v>
      </c>
      <c r="F35" t="s">
        <v>4495</v>
      </c>
      <c r="G35" t="s">
        <v>170</v>
      </c>
      <c r="H35" t="s">
        <v>170</v>
      </c>
      <c r="J35" t="s">
        <v>4424</v>
      </c>
      <c r="K35">
        <v>1996</v>
      </c>
      <c r="L35" s="6">
        <v>37803</v>
      </c>
      <c r="M35">
        <v>124</v>
      </c>
      <c r="N35">
        <v>10</v>
      </c>
      <c r="O35">
        <v>10</v>
      </c>
      <c r="P35" s="7">
        <v>130</v>
      </c>
      <c r="Q35" t="s">
        <v>4586</v>
      </c>
    </row>
    <row r="36" spans="1:17">
      <c r="A36" t="s">
        <v>4496</v>
      </c>
      <c r="B36" t="s">
        <v>4563</v>
      </c>
      <c r="C36" t="s">
        <v>4564</v>
      </c>
      <c r="D36" t="s">
        <v>4562</v>
      </c>
      <c r="E36" t="s">
        <v>4431</v>
      </c>
      <c r="F36" t="s">
        <v>4497</v>
      </c>
      <c r="G36" t="s">
        <v>4422</v>
      </c>
      <c r="H36" t="s">
        <v>170</v>
      </c>
      <c r="I36" t="s">
        <v>4423</v>
      </c>
      <c r="J36" t="s">
        <v>4424</v>
      </c>
      <c r="K36">
        <v>1990</v>
      </c>
      <c r="L36" s="6">
        <v>37803</v>
      </c>
      <c r="M36">
        <v>30.3</v>
      </c>
      <c r="N36">
        <v>8</v>
      </c>
      <c r="O36">
        <v>8</v>
      </c>
      <c r="P36" s="7">
        <v>38.5</v>
      </c>
      <c r="Q36" t="s">
        <v>4586</v>
      </c>
    </row>
    <row r="37" spans="1:17">
      <c r="A37" t="s">
        <v>4498</v>
      </c>
      <c r="B37" t="s">
        <v>4563</v>
      </c>
      <c r="C37" t="s">
        <v>4564</v>
      </c>
      <c r="D37" t="s">
        <v>4562</v>
      </c>
      <c r="E37" t="s">
        <v>4431</v>
      </c>
      <c r="F37" t="s">
        <v>4499</v>
      </c>
      <c r="G37" t="s">
        <v>4422</v>
      </c>
      <c r="H37" t="s">
        <v>170</v>
      </c>
      <c r="I37" t="s">
        <v>4423</v>
      </c>
      <c r="J37" t="s">
        <v>4424</v>
      </c>
      <c r="K37">
        <v>1990</v>
      </c>
      <c r="L37" s="6">
        <v>37803</v>
      </c>
      <c r="M37">
        <v>37</v>
      </c>
      <c r="N37">
        <v>8</v>
      </c>
      <c r="O37">
        <v>8</v>
      </c>
      <c r="P37" s="7">
        <v>39.299999999999997</v>
      </c>
      <c r="Q37" t="s">
        <v>4586</v>
      </c>
    </row>
    <row r="38" spans="1:17">
      <c r="A38" t="s">
        <v>4500</v>
      </c>
      <c r="B38" t="s">
        <v>4563</v>
      </c>
      <c r="C38" t="s">
        <v>4564</v>
      </c>
      <c r="D38" t="s">
        <v>4562</v>
      </c>
      <c r="E38" t="s">
        <v>4431</v>
      </c>
      <c r="F38" t="s">
        <v>4501</v>
      </c>
      <c r="G38" t="s">
        <v>4422</v>
      </c>
      <c r="H38" t="s">
        <v>170</v>
      </c>
      <c r="I38" t="s">
        <v>4423</v>
      </c>
      <c r="J38" t="s">
        <v>4424</v>
      </c>
      <c r="K38">
        <v>1990</v>
      </c>
      <c r="L38" s="6">
        <v>37803</v>
      </c>
      <c r="M38">
        <v>37</v>
      </c>
      <c r="N38">
        <v>8</v>
      </c>
      <c r="O38">
        <v>8</v>
      </c>
      <c r="P38" s="7">
        <v>39.299999999999997</v>
      </c>
      <c r="Q38" t="s">
        <v>4586</v>
      </c>
    </row>
    <row r="39" spans="1:17">
      <c r="A39" t="s">
        <v>4502</v>
      </c>
      <c r="B39" t="s">
        <v>4563</v>
      </c>
      <c r="C39" t="s">
        <v>4564</v>
      </c>
      <c r="D39" t="s">
        <v>4562</v>
      </c>
      <c r="E39" t="s">
        <v>4431</v>
      </c>
      <c r="F39" t="s">
        <v>4503</v>
      </c>
      <c r="G39" t="s">
        <v>4422</v>
      </c>
      <c r="H39" t="s">
        <v>170</v>
      </c>
      <c r="I39" t="s">
        <v>4423</v>
      </c>
      <c r="J39" t="s">
        <v>4424</v>
      </c>
      <c r="K39">
        <v>1990</v>
      </c>
      <c r="L39" s="6">
        <v>37803</v>
      </c>
      <c r="M39">
        <v>37</v>
      </c>
      <c r="N39">
        <v>8</v>
      </c>
      <c r="O39">
        <v>8</v>
      </c>
      <c r="P39" s="7">
        <v>39.299999999999997</v>
      </c>
      <c r="Q39" t="s">
        <v>4586</v>
      </c>
    </row>
    <row r="40" spans="1:17">
      <c r="A40" t="s">
        <v>4504</v>
      </c>
      <c r="B40" t="s">
        <v>4563</v>
      </c>
      <c r="C40" t="s">
        <v>4564</v>
      </c>
      <c r="D40" t="s">
        <v>4562</v>
      </c>
      <c r="E40" t="s">
        <v>4431</v>
      </c>
      <c r="F40" t="s">
        <v>4505</v>
      </c>
      <c r="G40" t="s">
        <v>4422</v>
      </c>
      <c r="H40" t="s">
        <v>170</v>
      </c>
      <c r="I40" t="s">
        <v>4423</v>
      </c>
      <c r="J40" t="s">
        <v>4424</v>
      </c>
      <c r="K40">
        <v>1990</v>
      </c>
      <c r="L40" s="6">
        <v>37803</v>
      </c>
      <c r="M40">
        <v>37</v>
      </c>
      <c r="N40">
        <v>8</v>
      </c>
      <c r="O40">
        <v>8</v>
      </c>
      <c r="P40" s="7">
        <v>39.299999999999997</v>
      </c>
      <c r="Q40" t="s">
        <v>4586</v>
      </c>
    </row>
    <row r="41" spans="1:17">
      <c r="A41" t="s">
        <v>4506</v>
      </c>
      <c r="B41" t="s">
        <v>4563</v>
      </c>
      <c r="C41" t="s">
        <v>4564</v>
      </c>
      <c r="D41" t="s">
        <v>4562</v>
      </c>
      <c r="E41" t="s">
        <v>4431</v>
      </c>
      <c r="F41" t="s">
        <v>4507</v>
      </c>
      <c r="G41" t="s">
        <v>170</v>
      </c>
      <c r="H41" t="s">
        <v>170</v>
      </c>
      <c r="J41" t="s">
        <v>4471</v>
      </c>
      <c r="K41">
        <v>1996</v>
      </c>
      <c r="L41" s="6">
        <v>37803</v>
      </c>
      <c r="M41">
        <v>111</v>
      </c>
      <c r="N41">
        <v>10</v>
      </c>
      <c r="O41">
        <v>10</v>
      </c>
      <c r="P41" s="7">
        <v>118.2</v>
      </c>
      <c r="Q41" t="s">
        <v>4586</v>
      </c>
    </row>
    <row r="42" spans="1:17">
      <c r="A42" t="s">
        <v>4508</v>
      </c>
      <c r="B42" t="s">
        <v>4547</v>
      </c>
      <c r="C42" t="s">
        <v>4550</v>
      </c>
      <c r="D42" t="s">
        <v>4546</v>
      </c>
      <c r="E42" t="s">
        <v>4431</v>
      </c>
      <c r="F42" t="s">
        <v>4509</v>
      </c>
      <c r="G42" t="s">
        <v>170</v>
      </c>
      <c r="H42" t="s">
        <v>170</v>
      </c>
      <c r="J42" t="s">
        <v>4414</v>
      </c>
      <c r="K42">
        <v>1996</v>
      </c>
      <c r="L42" s="6">
        <v>37803</v>
      </c>
      <c r="M42">
        <v>80.400000000000006</v>
      </c>
      <c r="N42">
        <v>1</v>
      </c>
      <c r="O42">
        <v>1</v>
      </c>
      <c r="P42" s="7">
        <v>85.7</v>
      </c>
      <c r="Q42" t="s">
        <v>4586</v>
      </c>
    </row>
    <row r="43" spans="1:17">
      <c r="A43" t="s">
        <v>4511</v>
      </c>
      <c r="B43" t="s">
        <v>4565</v>
      </c>
      <c r="C43" t="s">
        <v>4510</v>
      </c>
      <c r="D43" t="s">
        <v>4566</v>
      </c>
      <c r="E43" t="s">
        <v>4510</v>
      </c>
      <c r="F43" t="s">
        <v>4512</v>
      </c>
      <c r="G43" t="s">
        <v>4422</v>
      </c>
      <c r="H43" t="s">
        <v>170</v>
      </c>
      <c r="I43" t="s">
        <v>4423</v>
      </c>
      <c r="J43" t="s">
        <v>4471</v>
      </c>
      <c r="K43">
        <v>1996</v>
      </c>
      <c r="L43" s="6">
        <v>37803</v>
      </c>
      <c r="M43">
        <v>59.4</v>
      </c>
      <c r="N43">
        <v>3</v>
      </c>
      <c r="O43">
        <v>3</v>
      </c>
      <c r="P43" s="7">
        <v>68</v>
      </c>
      <c r="Q43" t="s">
        <v>4576</v>
      </c>
    </row>
    <row r="44" spans="1:17">
      <c r="A44" t="s">
        <v>4515</v>
      </c>
      <c r="B44" t="s">
        <v>4570</v>
      </c>
      <c r="C44" t="s">
        <v>4514</v>
      </c>
      <c r="D44" t="s">
        <v>4571</v>
      </c>
      <c r="E44" t="s">
        <v>4514</v>
      </c>
      <c r="F44" t="s">
        <v>4516</v>
      </c>
      <c r="G44" t="s">
        <v>170</v>
      </c>
      <c r="H44" t="s">
        <v>170</v>
      </c>
      <c r="J44" t="s">
        <v>4424</v>
      </c>
      <c r="K44">
        <v>1996</v>
      </c>
      <c r="L44" s="6">
        <v>37803</v>
      </c>
      <c r="M44">
        <v>20</v>
      </c>
      <c r="N44">
        <v>3</v>
      </c>
      <c r="O44">
        <v>3</v>
      </c>
      <c r="P44" s="7">
        <v>23</v>
      </c>
      <c r="Q44" t="s">
        <v>4584</v>
      </c>
    </row>
    <row r="45" spans="1:17">
      <c r="A45" t="s">
        <v>4517</v>
      </c>
      <c r="B45" t="s">
        <v>4568</v>
      </c>
      <c r="C45" t="s">
        <v>4569</v>
      </c>
      <c r="D45" t="s">
        <v>4567</v>
      </c>
      <c r="E45" t="s">
        <v>4431</v>
      </c>
      <c r="F45" t="s">
        <v>4518</v>
      </c>
      <c r="G45" t="s">
        <v>4423</v>
      </c>
      <c r="H45" t="s">
        <v>170</v>
      </c>
      <c r="I45" t="s">
        <v>4423</v>
      </c>
      <c r="J45" t="s">
        <v>4424</v>
      </c>
      <c r="K45">
        <v>1984</v>
      </c>
      <c r="L45" s="6">
        <v>37803</v>
      </c>
      <c r="M45">
        <v>0</v>
      </c>
      <c r="N45">
        <v>2.25</v>
      </c>
      <c r="O45">
        <v>2.25</v>
      </c>
      <c r="P45" s="7">
        <v>41.2</v>
      </c>
      <c r="Q45" t="s">
        <v>4586</v>
      </c>
    </row>
    <row r="46" spans="1:17">
      <c r="A46" t="s">
        <v>4519</v>
      </c>
      <c r="B46" t="s">
        <v>4568</v>
      </c>
      <c r="C46" t="s">
        <v>4569</v>
      </c>
      <c r="D46" t="s">
        <v>4567</v>
      </c>
      <c r="E46" t="s">
        <v>4431</v>
      </c>
      <c r="F46" t="s">
        <v>4520</v>
      </c>
      <c r="G46" t="s">
        <v>4423</v>
      </c>
      <c r="H46" t="s">
        <v>170</v>
      </c>
      <c r="I46" t="s">
        <v>4423</v>
      </c>
      <c r="J46" t="s">
        <v>4424</v>
      </c>
      <c r="K46">
        <v>1990</v>
      </c>
      <c r="L46" s="6">
        <v>37803</v>
      </c>
      <c r="M46">
        <v>0</v>
      </c>
      <c r="N46">
        <v>2.25</v>
      </c>
      <c r="O46">
        <v>2.25</v>
      </c>
      <c r="P46" s="7">
        <v>23.3</v>
      </c>
      <c r="Q46" t="s">
        <v>4586</v>
      </c>
    </row>
    <row r="47" spans="1:17">
      <c r="A47">
        <v>1</v>
      </c>
      <c r="B47">
        <f>A47+1</f>
        <v>2</v>
      </c>
      <c r="C47">
        <f t="shared" ref="C47:P47" si="0">B47+1</f>
        <v>3</v>
      </c>
      <c r="D47">
        <f t="shared" si="0"/>
        <v>4</v>
      </c>
      <c r="E47">
        <f t="shared" si="0"/>
        <v>5</v>
      </c>
      <c r="F47">
        <f t="shared" si="0"/>
        <v>6</v>
      </c>
      <c r="G47">
        <f t="shared" si="0"/>
        <v>7</v>
      </c>
      <c r="H47">
        <f t="shared" si="0"/>
        <v>8</v>
      </c>
      <c r="I47">
        <f t="shared" si="0"/>
        <v>9</v>
      </c>
      <c r="J47">
        <f t="shared" si="0"/>
        <v>10</v>
      </c>
      <c r="K47">
        <f t="shared" si="0"/>
        <v>11</v>
      </c>
      <c r="L47">
        <f t="shared" si="0"/>
        <v>12</v>
      </c>
      <c r="M47">
        <f t="shared" si="0"/>
        <v>13</v>
      </c>
      <c r="N47">
        <f t="shared" si="0"/>
        <v>14</v>
      </c>
      <c r="O47">
        <f t="shared" si="0"/>
        <v>15</v>
      </c>
      <c r="P47">
        <f t="shared" si="0"/>
        <v>16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0"/>
  </sheetPr>
  <dimension ref="A1:AE399"/>
  <sheetViews>
    <sheetView tabSelected="1" zoomScale="90" zoomScaleNormal="90" zoomScalePageLayoutView="90" workbookViewId="0">
      <pane xSplit="1" ySplit="1" topLeftCell="K334" activePane="bottomRight" state="frozenSplit"/>
      <selection activeCell="Q4" sqref="Q4"/>
      <selection pane="topRight" activeCell="H1" sqref="H1"/>
      <selection pane="bottomLeft" activeCell="A4" sqref="A4"/>
      <selection pane="bottomRight" activeCell="AA401" sqref="AA401"/>
    </sheetView>
  </sheetViews>
  <sheetFormatPr baseColWidth="10" defaultRowHeight="15" x14ac:dyDescent="0"/>
  <cols>
    <col min="1" max="1" width="33.83203125" customWidth="1"/>
    <col min="2" max="2" width="12.5" bestFit="1" customWidth="1"/>
    <col min="3" max="3" width="70" bestFit="1" customWidth="1"/>
    <col min="4" max="4" width="12.5" bestFit="1" customWidth="1"/>
    <col min="5" max="5" width="13.5" bestFit="1" customWidth="1"/>
    <col min="6" max="6" width="18" bestFit="1" customWidth="1"/>
    <col min="7" max="7" width="27.83203125" bestFit="1" customWidth="1"/>
    <col min="8" max="8" width="16.6640625" bestFit="1" customWidth="1"/>
    <col min="9" max="9" width="16.33203125" bestFit="1" customWidth="1"/>
    <col min="10" max="10" width="48.5" bestFit="1" customWidth="1"/>
    <col min="13" max="13" width="9.33203125" customWidth="1"/>
    <col min="29" max="29" width="21.1640625" bestFit="1" customWidth="1"/>
    <col min="31" max="31" width="12" bestFit="1" customWidth="1"/>
  </cols>
  <sheetData>
    <row r="1" spans="1:28">
      <c r="A1" t="s">
        <v>0</v>
      </c>
      <c r="B1" t="s">
        <v>783</v>
      </c>
      <c r="C1" t="s">
        <v>784</v>
      </c>
      <c r="D1" t="s">
        <v>782</v>
      </c>
      <c r="E1" t="s">
        <v>786</v>
      </c>
      <c r="F1" t="s">
        <v>787</v>
      </c>
      <c r="G1" t="s">
        <v>788</v>
      </c>
      <c r="H1" t="s">
        <v>789</v>
      </c>
      <c r="I1" t="s">
        <v>790</v>
      </c>
      <c r="J1" t="s">
        <v>796</v>
      </c>
      <c r="K1" t="s">
        <v>154</v>
      </c>
      <c r="L1" t="s">
        <v>158</v>
      </c>
      <c r="M1" t="s">
        <v>159</v>
      </c>
      <c r="N1" t="s">
        <v>160</v>
      </c>
      <c r="O1" t="s">
        <v>161</v>
      </c>
      <c r="P1" t="s">
        <v>4302</v>
      </c>
      <c r="Q1" t="s">
        <v>162</v>
      </c>
      <c r="R1" t="s">
        <v>163</v>
      </c>
      <c r="S1" t="s">
        <v>4310</v>
      </c>
      <c r="T1" t="s">
        <v>4311</v>
      </c>
      <c r="U1" t="s">
        <v>4284</v>
      </c>
      <c r="V1" t="s">
        <v>4285</v>
      </c>
      <c r="W1" t="s">
        <v>4110</v>
      </c>
      <c r="X1" t="s">
        <v>4111</v>
      </c>
      <c r="Y1" t="s">
        <v>3974</v>
      </c>
      <c r="Z1" t="s">
        <v>3975</v>
      </c>
      <c r="AA1" t="s">
        <v>3079</v>
      </c>
      <c r="AB1" t="s">
        <v>3080</v>
      </c>
    </row>
    <row r="2" spans="1:28">
      <c r="A2" t="s">
        <v>2</v>
      </c>
      <c r="B2" t="s">
        <v>807</v>
      </c>
      <c r="C2" t="s">
        <v>808</v>
      </c>
      <c r="D2" t="s">
        <v>551</v>
      </c>
      <c r="E2" t="s">
        <v>809</v>
      </c>
      <c r="F2">
        <v>275</v>
      </c>
      <c r="G2" t="s">
        <v>810</v>
      </c>
      <c r="H2" t="s">
        <v>811</v>
      </c>
      <c r="I2" t="s">
        <v>812</v>
      </c>
      <c r="J2" t="s">
        <v>815</v>
      </c>
      <c r="K2" t="s">
        <v>166</v>
      </c>
      <c r="L2" t="s">
        <v>193</v>
      </c>
      <c r="M2" t="s">
        <v>194</v>
      </c>
      <c r="N2" t="s">
        <v>172</v>
      </c>
      <c r="O2" t="s">
        <v>195</v>
      </c>
      <c r="P2" t="s">
        <v>193</v>
      </c>
      <c r="Q2">
        <v>260</v>
      </c>
      <c r="R2">
        <v>260</v>
      </c>
      <c r="S2">
        <v>0.96550000000000002</v>
      </c>
      <c r="T2">
        <v>0.96009999999999995</v>
      </c>
      <c r="U2">
        <v>0.96379999999999999</v>
      </c>
      <c r="V2">
        <v>0.97460000000000002</v>
      </c>
      <c r="W2">
        <v>0.97440000000000004</v>
      </c>
      <c r="X2">
        <v>0.98260000000000003</v>
      </c>
    </row>
    <row r="3" spans="1:28">
      <c r="A3" t="s">
        <v>2</v>
      </c>
      <c r="B3" t="s">
        <v>807</v>
      </c>
      <c r="C3" t="s">
        <v>808</v>
      </c>
      <c r="D3" t="s">
        <v>553</v>
      </c>
      <c r="E3" t="s">
        <v>816</v>
      </c>
      <c r="F3">
        <v>275</v>
      </c>
      <c r="G3" t="s">
        <v>810</v>
      </c>
      <c r="H3" t="s">
        <v>811</v>
      </c>
      <c r="I3" t="s">
        <v>812</v>
      </c>
      <c r="J3" t="s">
        <v>815</v>
      </c>
      <c r="K3" t="s">
        <v>166</v>
      </c>
      <c r="L3" t="s">
        <v>193</v>
      </c>
      <c r="M3" t="s">
        <v>194</v>
      </c>
      <c r="N3" t="s">
        <v>172</v>
      </c>
      <c r="O3" t="s">
        <v>195</v>
      </c>
      <c r="P3" t="s">
        <v>193</v>
      </c>
      <c r="Q3">
        <v>260</v>
      </c>
      <c r="R3">
        <v>260</v>
      </c>
      <c r="S3">
        <v>0.96550000000000002</v>
      </c>
      <c r="T3">
        <v>0.96009999999999995</v>
      </c>
      <c r="U3">
        <v>0.96379999999999999</v>
      </c>
      <c r="V3">
        <v>0.97460000000000002</v>
      </c>
      <c r="W3">
        <v>0.97440000000000004</v>
      </c>
      <c r="X3">
        <v>0.98260000000000003</v>
      </c>
    </row>
    <row r="4" spans="1:28">
      <c r="A4" t="s">
        <v>3</v>
      </c>
      <c r="B4" t="s">
        <v>817</v>
      </c>
      <c r="C4" t="s">
        <v>808</v>
      </c>
      <c r="D4" t="s">
        <v>818</v>
      </c>
      <c r="E4" t="s">
        <v>819</v>
      </c>
      <c r="F4">
        <v>275</v>
      </c>
      <c r="G4" t="s">
        <v>810</v>
      </c>
      <c r="H4" t="s">
        <v>811</v>
      </c>
      <c r="I4" t="s">
        <v>812</v>
      </c>
      <c r="J4" t="s">
        <v>820</v>
      </c>
      <c r="K4" t="s">
        <v>166</v>
      </c>
      <c r="L4" t="s">
        <v>193</v>
      </c>
      <c r="M4" t="s">
        <v>194</v>
      </c>
      <c r="N4" t="s">
        <v>172</v>
      </c>
      <c r="O4" t="s">
        <v>195</v>
      </c>
      <c r="P4" t="s">
        <v>193</v>
      </c>
      <c r="Q4">
        <v>240</v>
      </c>
      <c r="R4">
        <v>240</v>
      </c>
      <c r="S4">
        <v>0.9677</v>
      </c>
      <c r="T4">
        <v>0.96440000000000003</v>
      </c>
      <c r="U4">
        <v>0.95730000000000004</v>
      </c>
      <c r="V4">
        <v>0.97670000000000001</v>
      </c>
      <c r="W4">
        <v>0.98819999999999997</v>
      </c>
      <c r="X4">
        <v>0.98809999999999998</v>
      </c>
    </row>
    <row r="5" spans="1:28">
      <c r="A5" t="s">
        <v>4</v>
      </c>
      <c r="B5" t="s">
        <v>539</v>
      </c>
      <c r="C5" t="s">
        <v>821</v>
      </c>
      <c r="D5" t="s">
        <v>539</v>
      </c>
      <c r="E5" t="s">
        <v>822</v>
      </c>
      <c r="F5">
        <v>33</v>
      </c>
      <c r="G5" t="s">
        <v>823</v>
      </c>
      <c r="H5" t="s">
        <v>811</v>
      </c>
      <c r="I5" t="s">
        <v>804</v>
      </c>
      <c r="J5" t="s">
        <v>826</v>
      </c>
      <c r="K5" t="s">
        <v>166</v>
      </c>
      <c r="L5" t="s">
        <v>198</v>
      </c>
      <c r="M5" t="s">
        <v>198</v>
      </c>
      <c r="N5" t="s">
        <v>199</v>
      </c>
      <c r="O5" t="s">
        <v>200</v>
      </c>
      <c r="P5" t="s">
        <v>198</v>
      </c>
      <c r="Q5">
        <v>70</v>
      </c>
      <c r="R5">
        <v>70</v>
      </c>
      <c r="S5">
        <v>0.89729999999999999</v>
      </c>
      <c r="T5">
        <v>0.9425</v>
      </c>
      <c r="U5">
        <v>0.89829999999999999</v>
      </c>
      <c r="V5">
        <v>0.90359999999999996</v>
      </c>
      <c r="W5">
        <v>0.89710000000000001</v>
      </c>
      <c r="X5">
        <v>0.90159999999999996</v>
      </c>
      <c r="Y5">
        <v>0.91200000000000003</v>
      </c>
      <c r="Z5">
        <v>0.91720000000000002</v>
      </c>
      <c r="AA5">
        <v>0.90549999999999997</v>
      </c>
      <c r="AB5">
        <v>0.89119999999999999</v>
      </c>
    </row>
    <row r="6" spans="1:28">
      <c r="A6" t="s">
        <v>5</v>
      </c>
      <c r="B6" t="s">
        <v>827</v>
      </c>
      <c r="C6" t="s">
        <v>828</v>
      </c>
      <c r="D6" t="s">
        <v>574</v>
      </c>
      <c r="E6" t="s">
        <v>829</v>
      </c>
      <c r="F6">
        <v>132</v>
      </c>
      <c r="G6" t="s">
        <v>830</v>
      </c>
      <c r="H6" t="s">
        <v>811</v>
      </c>
      <c r="I6" t="s">
        <v>812</v>
      </c>
      <c r="J6" t="s">
        <v>833</v>
      </c>
      <c r="K6" t="s">
        <v>166</v>
      </c>
      <c r="L6" t="s">
        <v>188</v>
      </c>
      <c r="M6" t="s">
        <v>188</v>
      </c>
      <c r="N6" t="s">
        <v>172</v>
      </c>
      <c r="O6" t="s">
        <v>185</v>
      </c>
      <c r="P6" t="s">
        <v>188</v>
      </c>
      <c r="Q6">
        <v>50</v>
      </c>
      <c r="R6">
        <v>55</v>
      </c>
      <c r="S6">
        <v>0.86539999999999995</v>
      </c>
      <c r="T6">
        <v>0.88560000000000005</v>
      </c>
      <c r="U6">
        <v>0.93</v>
      </c>
      <c r="V6">
        <v>0.87719999999999998</v>
      </c>
      <c r="W6">
        <v>0.94469999999999998</v>
      </c>
      <c r="X6">
        <v>0.95199999999999996</v>
      </c>
      <c r="Y6">
        <v>1.0011000000000001</v>
      </c>
      <c r="Z6">
        <v>1.0158</v>
      </c>
      <c r="AA6">
        <v>0.96909999999999996</v>
      </c>
      <c r="AB6">
        <v>0.95669999999999999</v>
      </c>
    </row>
    <row r="7" spans="1:28">
      <c r="A7" t="s">
        <v>5</v>
      </c>
      <c r="B7" t="s">
        <v>827</v>
      </c>
      <c r="C7" t="s">
        <v>828</v>
      </c>
      <c r="D7" t="s">
        <v>576</v>
      </c>
      <c r="E7" t="s">
        <v>834</v>
      </c>
      <c r="F7">
        <v>33</v>
      </c>
      <c r="G7" t="s">
        <v>830</v>
      </c>
      <c r="H7" t="s">
        <v>811</v>
      </c>
      <c r="I7" t="s">
        <v>812</v>
      </c>
      <c r="J7" t="s">
        <v>833</v>
      </c>
      <c r="K7" t="s">
        <v>166</v>
      </c>
      <c r="L7" t="s">
        <v>188</v>
      </c>
      <c r="M7" t="s">
        <v>188</v>
      </c>
      <c r="N7" t="s">
        <v>172</v>
      </c>
      <c r="O7" t="s">
        <v>185</v>
      </c>
      <c r="P7" t="s">
        <v>188</v>
      </c>
      <c r="Q7">
        <v>23.5</v>
      </c>
      <c r="R7">
        <v>23</v>
      </c>
      <c r="S7">
        <v>0.86329999999999996</v>
      </c>
      <c r="T7">
        <v>0.89329999999999998</v>
      </c>
      <c r="U7">
        <v>0.90380000000000005</v>
      </c>
      <c r="V7">
        <v>0.87829999999999997</v>
      </c>
      <c r="W7">
        <v>0.91080000000000005</v>
      </c>
      <c r="X7">
        <v>0.89759999999999995</v>
      </c>
      <c r="Y7">
        <v>1.0064</v>
      </c>
      <c r="Z7">
        <v>1.0509999999999999</v>
      </c>
      <c r="AA7">
        <v>1.0383</v>
      </c>
      <c r="AB7">
        <v>0.95940000000000003</v>
      </c>
    </row>
    <row r="8" spans="1:28">
      <c r="A8" t="s">
        <v>6</v>
      </c>
      <c r="B8" t="s">
        <v>297</v>
      </c>
      <c r="C8" t="s">
        <v>835</v>
      </c>
      <c r="D8" t="s">
        <v>297</v>
      </c>
      <c r="E8" t="s">
        <v>836</v>
      </c>
      <c r="F8">
        <v>132</v>
      </c>
      <c r="G8" t="s">
        <v>823</v>
      </c>
      <c r="H8" t="s">
        <v>811</v>
      </c>
      <c r="I8" t="s">
        <v>804</v>
      </c>
      <c r="J8" t="s">
        <v>837</v>
      </c>
      <c r="K8" t="s">
        <v>166</v>
      </c>
      <c r="L8" t="s">
        <v>198</v>
      </c>
      <c r="M8" t="s">
        <v>198</v>
      </c>
      <c r="N8" t="s">
        <v>199</v>
      </c>
      <c r="O8" t="s">
        <v>200</v>
      </c>
      <c r="P8" t="s">
        <v>198</v>
      </c>
      <c r="Q8">
        <v>66</v>
      </c>
      <c r="R8">
        <v>66</v>
      </c>
      <c r="S8">
        <v>0.88270000000000004</v>
      </c>
      <c r="T8">
        <v>0.8982</v>
      </c>
      <c r="U8">
        <v>0.87290000000000001</v>
      </c>
      <c r="V8">
        <v>0.87770000000000004</v>
      </c>
      <c r="W8">
        <v>0.87739999999999996</v>
      </c>
      <c r="X8">
        <v>0.87749999999999995</v>
      </c>
      <c r="Y8">
        <v>0.88959999999999995</v>
      </c>
      <c r="Z8">
        <v>0.89649999999999996</v>
      </c>
      <c r="AA8">
        <v>0.88600000000000001</v>
      </c>
      <c r="AB8">
        <v>0.87580000000000002</v>
      </c>
    </row>
    <row r="9" spans="1:28">
      <c r="A9" t="s">
        <v>7</v>
      </c>
      <c r="B9" t="s">
        <v>838</v>
      </c>
      <c r="C9" t="s">
        <v>839</v>
      </c>
      <c r="D9" t="s">
        <v>545</v>
      </c>
      <c r="E9" t="s">
        <v>840</v>
      </c>
      <c r="F9">
        <v>275</v>
      </c>
      <c r="G9" t="s">
        <v>810</v>
      </c>
      <c r="H9" t="s">
        <v>811</v>
      </c>
      <c r="I9" t="s">
        <v>841</v>
      </c>
      <c r="J9" t="s">
        <v>842</v>
      </c>
      <c r="K9" t="s">
        <v>166</v>
      </c>
      <c r="L9" t="s">
        <v>198</v>
      </c>
      <c r="M9" t="s">
        <v>198</v>
      </c>
      <c r="N9" t="s">
        <v>199</v>
      </c>
      <c r="O9" t="s">
        <v>200</v>
      </c>
      <c r="P9" t="s">
        <v>198</v>
      </c>
      <c r="Q9">
        <v>132.30000000000001</v>
      </c>
      <c r="R9">
        <v>132</v>
      </c>
      <c r="S9">
        <v>0.96589999999999998</v>
      </c>
      <c r="T9">
        <v>0.97629999999999995</v>
      </c>
      <c r="U9">
        <v>0.96940000000000004</v>
      </c>
      <c r="V9">
        <v>0.97399999999999998</v>
      </c>
      <c r="W9">
        <v>0.97950000000000004</v>
      </c>
      <c r="X9">
        <v>0.97670000000000001</v>
      </c>
      <c r="Y9">
        <v>0.98629999999999995</v>
      </c>
      <c r="Z9">
        <v>0.9798</v>
      </c>
      <c r="AA9">
        <v>0.96740000000000004</v>
      </c>
      <c r="AB9">
        <v>0.97030000000000005</v>
      </c>
    </row>
    <row r="10" spans="1:28">
      <c r="A10" t="s">
        <v>8</v>
      </c>
      <c r="B10" t="s">
        <v>164</v>
      </c>
      <c r="C10" t="s">
        <v>843</v>
      </c>
      <c r="D10" t="s">
        <v>164</v>
      </c>
      <c r="E10" t="s">
        <v>844</v>
      </c>
      <c r="F10">
        <v>275</v>
      </c>
      <c r="G10" t="s">
        <v>830</v>
      </c>
      <c r="H10" t="s">
        <v>811</v>
      </c>
      <c r="I10" t="s">
        <v>812</v>
      </c>
      <c r="J10" t="s">
        <v>847</v>
      </c>
      <c r="K10" t="s">
        <v>166</v>
      </c>
      <c r="L10" t="s">
        <v>170</v>
      </c>
      <c r="M10" t="s">
        <v>171</v>
      </c>
      <c r="N10" t="s">
        <v>172</v>
      </c>
      <c r="O10" t="s">
        <v>173</v>
      </c>
      <c r="P10" t="s">
        <v>170</v>
      </c>
      <c r="Q10">
        <v>180</v>
      </c>
      <c r="R10">
        <v>220</v>
      </c>
      <c r="S10">
        <v>0.97460000000000002</v>
      </c>
      <c r="T10">
        <v>0.97219999999999995</v>
      </c>
      <c r="U10">
        <v>0.97050000000000003</v>
      </c>
      <c r="V10">
        <v>0.97940000000000005</v>
      </c>
      <c r="W10">
        <v>0.9869</v>
      </c>
      <c r="X10">
        <v>0.98350000000000004</v>
      </c>
      <c r="Y10">
        <v>0.99</v>
      </c>
      <c r="Z10">
        <v>0.98199999999999998</v>
      </c>
      <c r="AA10">
        <v>0.97150000000000003</v>
      </c>
      <c r="AB10">
        <v>0.97450000000000003</v>
      </c>
    </row>
    <row r="11" spans="1:28">
      <c r="A11" t="s">
        <v>9</v>
      </c>
      <c r="B11" t="s">
        <v>848</v>
      </c>
      <c r="C11" t="s">
        <v>839</v>
      </c>
      <c r="D11" t="s">
        <v>397</v>
      </c>
      <c r="E11" t="s">
        <v>849</v>
      </c>
      <c r="F11">
        <v>275</v>
      </c>
      <c r="G11" t="s">
        <v>810</v>
      </c>
      <c r="H11" t="s">
        <v>811</v>
      </c>
      <c r="I11" t="s">
        <v>841</v>
      </c>
      <c r="J11" t="s">
        <v>850</v>
      </c>
      <c r="K11" t="s">
        <v>166</v>
      </c>
      <c r="L11" t="s">
        <v>198</v>
      </c>
      <c r="M11" t="s">
        <v>198</v>
      </c>
      <c r="N11" t="s">
        <v>199</v>
      </c>
      <c r="O11" t="s">
        <v>200</v>
      </c>
      <c r="P11" t="s">
        <v>198</v>
      </c>
      <c r="Q11">
        <v>94.5</v>
      </c>
      <c r="R11">
        <v>95</v>
      </c>
      <c r="S11">
        <v>0.97460000000000002</v>
      </c>
      <c r="T11">
        <v>0.97219999999999995</v>
      </c>
      <c r="U11">
        <v>0.97050000000000003</v>
      </c>
      <c r="V11">
        <v>0.97940000000000005</v>
      </c>
      <c r="W11">
        <v>0.9869</v>
      </c>
      <c r="X11">
        <v>0.98350000000000004</v>
      </c>
      <c r="Y11">
        <v>0.99</v>
      </c>
      <c r="Z11">
        <v>0.98199999999999998</v>
      </c>
      <c r="AA11">
        <v>0.97150000000000003</v>
      </c>
      <c r="AB11">
        <v>0.97450000000000003</v>
      </c>
    </row>
    <row r="12" spans="1:28">
      <c r="A12" t="s">
        <v>10</v>
      </c>
      <c r="B12" t="s">
        <v>399</v>
      </c>
      <c r="C12" t="s">
        <v>839</v>
      </c>
      <c r="D12" t="s">
        <v>399</v>
      </c>
      <c r="E12" t="s">
        <v>851</v>
      </c>
      <c r="F12">
        <v>275</v>
      </c>
      <c r="G12" t="s">
        <v>810</v>
      </c>
      <c r="H12" t="s">
        <v>811</v>
      </c>
      <c r="I12" t="s">
        <v>841</v>
      </c>
      <c r="J12" t="s">
        <v>852</v>
      </c>
      <c r="K12" t="s">
        <v>166</v>
      </c>
      <c r="L12" t="s">
        <v>198</v>
      </c>
      <c r="M12" t="s">
        <v>198</v>
      </c>
      <c r="N12" t="s">
        <v>199</v>
      </c>
      <c r="O12" t="s">
        <v>200</v>
      </c>
      <c r="P12" t="s">
        <v>198</v>
      </c>
      <c r="Q12">
        <v>71.400000000000006</v>
      </c>
      <c r="R12">
        <v>71</v>
      </c>
      <c r="S12">
        <v>0.97629999999999995</v>
      </c>
      <c r="T12">
        <v>0.9758</v>
      </c>
      <c r="U12">
        <v>0.9718</v>
      </c>
      <c r="V12">
        <v>0.9778</v>
      </c>
      <c r="W12">
        <v>0.98429999999999995</v>
      </c>
      <c r="X12">
        <v>0.98109999999999997</v>
      </c>
      <c r="Y12">
        <v>0.98709999999999998</v>
      </c>
      <c r="Z12">
        <v>0.98180000000000001</v>
      </c>
      <c r="AA12">
        <v>0.97150000000000003</v>
      </c>
      <c r="AB12">
        <v>0.97430000000000005</v>
      </c>
    </row>
    <row r="13" spans="1:28">
      <c r="A13" t="s">
        <v>11</v>
      </c>
      <c r="B13" t="s">
        <v>853</v>
      </c>
      <c r="C13" t="s">
        <v>854</v>
      </c>
      <c r="D13" t="s">
        <v>631</v>
      </c>
      <c r="E13" t="s">
        <v>855</v>
      </c>
      <c r="F13">
        <v>132</v>
      </c>
      <c r="G13" t="s">
        <v>810</v>
      </c>
      <c r="H13" t="s">
        <v>811</v>
      </c>
      <c r="I13" t="s">
        <v>841</v>
      </c>
      <c r="J13" t="s">
        <v>856</v>
      </c>
      <c r="K13" t="s">
        <v>166</v>
      </c>
      <c r="L13" t="s">
        <v>198</v>
      </c>
      <c r="M13" t="s">
        <v>198</v>
      </c>
      <c r="N13" t="s">
        <v>199</v>
      </c>
      <c r="O13" t="s">
        <v>200</v>
      </c>
      <c r="P13" t="s">
        <v>198</v>
      </c>
      <c r="Q13">
        <v>99</v>
      </c>
      <c r="R13">
        <v>99</v>
      </c>
      <c r="S13">
        <v>0.92830000000000001</v>
      </c>
      <c r="T13">
        <v>0.9163</v>
      </c>
      <c r="U13">
        <v>0.91539999999999999</v>
      </c>
      <c r="V13">
        <v>0.92720000000000002</v>
      </c>
      <c r="W13">
        <v>0.91359999999999997</v>
      </c>
      <c r="X13">
        <v>0.91979999999999995</v>
      </c>
      <c r="Y13">
        <v>0.92889999999999995</v>
      </c>
      <c r="Z13">
        <v>0.92959999999999998</v>
      </c>
      <c r="AA13">
        <v>0.92030000000000001</v>
      </c>
      <c r="AB13">
        <v>0.9093</v>
      </c>
    </row>
    <row r="14" spans="1:28">
      <c r="A14" t="s">
        <v>12</v>
      </c>
      <c r="B14" t="s">
        <v>857</v>
      </c>
      <c r="C14" t="s">
        <v>858</v>
      </c>
      <c r="D14" t="s">
        <v>627</v>
      </c>
      <c r="E14" t="s">
        <v>859</v>
      </c>
      <c r="F14">
        <v>275</v>
      </c>
      <c r="G14" t="s">
        <v>810</v>
      </c>
      <c r="H14" t="s">
        <v>811</v>
      </c>
      <c r="I14" t="s">
        <v>841</v>
      </c>
      <c r="J14" t="s">
        <v>860</v>
      </c>
      <c r="K14" t="s">
        <v>166</v>
      </c>
      <c r="L14" t="s">
        <v>198</v>
      </c>
      <c r="M14" t="s">
        <v>198</v>
      </c>
      <c r="N14" t="s">
        <v>199</v>
      </c>
      <c r="O14" t="s">
        <v>200</v>
      </c>
      <c r="P14" t="s">
        <v>198</v>
      </c>
      <c r="Q14">
        <v>144</v>
      </c>
      <c r="R14">
        <v>144</v>
      </c>
      <c r="W14">
        <v>0.98609999999999998</v>
      </c>
      <c r="X14">
        <v>0.97819999999999996</v>
      </c>
      <c r="Y14">
        <v>0.98880000000000001</v>
      </c>
      <c r="Z14">
        <v>0.9869</v>
      </c>
      <c r="AA14">
        <v>0.98129999999999995</v>
      </c>
      <c r="AB14">
        <v>0.97199999999999998</v>
      </c>
    </row>
    <row r="15" spans="1:28">
      <c r="A15" t="s">
        <v>13</v>
      </c>
      <c r="B15" t="s">
        <v>861</v>
      </c>
      <c r="C15" t="s">
        <v>858</v>
      </c>
      <c r="D15" t="s">
        <v>629</v>
      </c>
      <c r="E15" t="s">
        <v>862</v>
      </c>
      <c r="F15">
        <v>275</v>
      </c>
      <c r="G15" t="s">
        <v>810</v>
      </c>
      <c r="H15" t="s">
        <v>811</v>
      </c>
      <c r="I15" t="s">
        <v>841</v>
      </c>
      <c r="J15" t="s">
        <v>863</v>
      </c>
      <c r="K15" t="s">
        <v>166</v>
      </c>
      <c r="L15" t="s">
        <v>198</v>
      </c>
      <c r="M15" t="s">
        <v>198</v>
      </c>
      <c r="N15" t="s">
        <v>199</v>
      </c>
      <c r="O15" t="s">
        <v>200</v>
      </c>
      <c r="P15" t="s">
        <v>198</v>
      </c>
      <c r="Q15">
        <v>126</v>
      </c>
      <c r="R15">
        <v>126</v>
      </c>
      <c r="W15">
        <v>0.98609999999999998</v>
      </c>
      <c r="X15">
        <v>0.97819999999999996</v>
      </c>
      <c r="Y15">
        <v>0.98880000000000001</v>
      </c>
      <c r="Z15">
        <v>0.9869</v>
      </c>
      <c r="AA15">
        <v>0.98129999999999995</v>
      </c>
      <c r="AB15">
        <v>0.97199999999999998</v>
      </c>
    </row>
    <row r="16" spans="1:28">
      <c r="A16" t="s">
        <v>14</v>
      </c>
      <c r="B16" t="s">
        <v>864</v>
      </c>
      <c r="C16" t="s">
        <v>839</v>
      </c>
      <c r="D16" t="s">
        <v>243</v>
      </c>
      <c r="E16" t="s">
        <v>865</v>
      </c>
      <c r="F16">
        <v>275</v>
      </c>
      <c r="G16" t="s">
        <v>810</v>
      </c>
      <c r="H16" t="s">
        <v>811</v>
      </c>
      <c r="I16" t="s">
        <v>841</v>
      </c>
      <c r="J16" t="s">
        <v>866</v>
      </c>
      <c r="K16" t="s">
        <v>166</v>
      </c>
      <c r="L16" t="s">
        <v>198</v>
      </c>
      <c r="M16" t="s">
        <v>198</v>
      </c>
      <c r="N16" t="s">
        <v>199</v>
      </c>
      <c r="O16" t="s">
        <v>200</v>
      </c>
      <c r="P16" t="s">
        <v>198</v>
      </c>
      <c r="Q16">
        <v>52.5</v>
      </c>
      <c r="R16">
        <v>52.5</v>
      </c>
      <c r="U16">
        <v>0.96940000000000004</v>
      </c>
      <c r="V16">
        <v>0.97399999999999998</v>
      </c>
      <c r="W16">
        <v>0.97950000000000004</v>
      </c>
      <c r="X16">
        <v>0.97670000000000001</v>
      </c>
      <c r="Y16">
        <v>0.98629999999999995</v>
      </c>
      <c r="Z16">
        <v>0.9798</v>
      </c>
      <c r="AA16">
        <v>0.96740000000000004</v>
      </c>
      <c r="AB16">
        <v>0.97030000000000005</v>
      </c>
    </row>
    <row r="17" spans="1:28">
      <c r="A17" t="s">
        <v>15</v>
      </c>
      <c r="B17" t="s">
        <v>316</v>
      </c>
      <c r="C17" t="s">
        <v>867</v>
      </c>
      <c r="D17" t="s">
        <v>316</v>
      </c>
      <c r="E17" t="s">
        <v>868</v>
      </c>
      <c r="F17">
        <v>132</v>
      </c>
      <c r="G17" t="s">
        <v>810</v>
      </c>
      <c r="H17" t="s">
        <v>811</v>
      </c>
      <c r="I17" t="s">
        <v>841</v>
      </c>
      <c r="J17" t="s">
        <v>869</v>
      </c>
      <c r="K17" t="s">
        <v>166</v>
      </c>
      <c r="L17" t="s">
        <v>198</v>
      </c>
      <c r="M17" t="s">
        <v>198</v>
      </c>
      <c r="N17" t="s">
        <v>199</v>
      </c>
      <c r="O17" t="s">
        <v>200</v>
      </c>
      <c r="P17" t="s">
        <v>198</v>
      </c>
      <c r="Q17">
        <v>57</v>
      </c>
      <c r="R17">
        <v>57</v>
      </c>
      <c r="S17">
        <v>0.96440000000000003</v>
      </c>
      <c r="T17">
        <v>0.95899999999999996</v>
      </c>
      <c r="U17">
        <v>0.95889999999999997</v>
      </c>
      <c r="V17">
        <v>0.96450000000000002</v>
      </c>
      <c r="W17">
        <v>0.96579999999999999</v>
      </c>
      <c r="X17">
        <v>0.97009999999999996</v>
      </c>
      <c r="Y17">
        <v>0.98219999999999996</v>
      </c>
      <c r="Z17">
        <v>0.97870000000000001</v>
      </c>
      <c r="AA17">
        <v>0.96830000000000005</v>
      </c>
      <c r="AB17">
        <v>0.95820000000000005</v>
      </c>
    </row>
    <row r="18" spans="1:28">
      <c r="A18" t="s">
        <v>16</v>
      </c>
      <c r="B18" t="s">
        <v>725</v>
      </c>
      <c r="C18" t="s">
        <v>870</v>
      </c>
      <c r="D18" t="s">
        <v>725</v>
      </c>
      <c r="E18" t="s">
        <v>871</v>
      </c>
      <c r="F18">
        <v>132</v>
      </c>
      <c r="G18" t="s">
        <v>810</v>
      </c>
      <c r="H18" t="s">
        <v>811</v>
      </c>
      <c r="I18" t="s">
        <v>841</v>
      </c>
      <c r="J18" t="s">
        <v>872</v>
      </c>
      <c r="K18" t="s">
        <v>166</v>
      </c>
      <c r="L18" t="s">
        <v>198</v>
      </c>
      <c r="M18" t="s">
        <v>198</v>
      </c>
      <c r="N18" t="s">
        <v>199</v>
      </c>
      <c r="O18" t="s">
        <v>200</v>
      </c>
      <c r="P18" t="s">
        <v>198</v>
      </c>
      <c r="Q18">
        <v>111</v>
      </c>
      <c r="R18">
        <v>111</v>
      </c>
      <c r="S18">
        <v>0.97760000000000002</v>
      </c>
      <c r="T18">
        <v>0.97409999999999997</v>
      </c>
      <c r="U18">
        <v>0.97470000000000001</v>
      </c>
      <c r="V18">
        <v>0.97829999999999995</v>
      </c>
      <c r="W18">
        <v>0.9819</v>
      </c>
      <c r="X18">
        <v>0.97640000000000005</v>
      </c>
      <c r="Y18">
        <v>0.97840000000000005</v>
      </c>
      <c r="Z18">
        <v>0.97509999999999997</v>
      </c>
      <c r="AA18">
        <v>0.97119999999999995</v>
      </c>
      <c r="AB18">
        <v>0.9698</v>
      </c>
    </row>
    <row r="19" spans="1:28">
      <c r="A19" t="s">
        <v>17</v>
      </c>
      <c r="B19" t="s">
        <v>511</v>
      </c>
      <c r="C19" t="s">
        <v>828</v>
      </c>
      <c r="D19" t="s">
        <v>511</v>
      </c>
      <c r="E19" t="s">
        <v>873</v>
      </c>
      <c r="F19">
        <v>132</v>
      </c>
      <c r="G19" t="s">
        <v>830</v>
      </c>
      <c r="H19" t="s">
        <v>811</v>
      </c>
      <c r="I19" t="s">
        <v>812</v>
      </c>
      <c r="J19" t="s">
        <v>875</v>
      </c>
      <c r="K19" t="s">
        <v>166</v>
      </c>
      <c r="L19" t="s">
        <v>170</v>
      </c>
      <c r="M19" t="s">
        <v>171</v>
      </c>
      <c r="N19" t="s">
        <v>172</v>
      </c>
      <c r="O19" t="s">
        <v>185</v>
      </c>
      <c r="P19" t="s">
        <v>170</v>
      </c>
      <c r="Q19">
        <v>90</v>
      </c>
      <c r="R19">
        <v>105</v>
      </c>
      <c r="S19">
        <v>0.9819</v>
      </c>
      <c r="T19">
        <v>0.97309999999999997</v>
      </c>
      <c r="U19">
        <v>0.9778</v>
      </c>
      <c r="V19">
        <v>0.9819</v>
      </c>
      <c r="W19">
        <v>0.9879</v>
      </c>
      <c r="X19">
        <v>0.97360000000000002</v>
      </c>
      <c r="Y19">
        <v>0.9889</v>
      </c>
      <c r="Z19">
        <v>0.99409999999999998</v>
      </c>
      <c r="AA19">
        <v>0.99419999999999997</v>
      </c>
      <c r="AB19">
        <v>0.97850000000000004</v>
      </c>
    </row>
    <row r="20" spans="1:28">
      <c r="A20" t="s">
        <v>18</v>
      </c>
      <c r="B20" t="s">
        <v>762</v>
      </c>
      <c r="C20" t="s">
        <v>839</v>
      </c>
      <c r="D20" t="s">
        <v>762</v>
      </c>
      <c r="E20" t="s">
        <v>876</v>
      </c>
      <c r="F20">
        <v>132</v>
      </c>
      <c r="G20" t="s">
        <v>823</v>
      </c>
      <c r="H20" t="s">
        <v>811</v>
      </c>
      <c r="I20" t="s">
        <v>804</v>
      </c>
      <c r="J20" t="s">
        <v>877</v>
      </c>
      <c r="K20" t="s">
        <v>166</v>
      </c>
      <c r="L20" t="s">
        <v>198</v>
      </c>
      <c r="M20" t="s">
        <v>198</v>
      </c>
      <c r="N20" t="s">
        <v>199</v>
      </c>
      <c r="O20" t="s">
        <v>200</v>
      </c>
      <c r="P20" t="s">
        <v>198</v>
      </c>
      <c r="Q20">
        <v>90.75</v>
      </c>
      <c r="R20">
        <v>91</v>
      </c>
      <c r="S20">
        <v>0.84360000000000002</v>
      </c>
      <c r="T20">
        <v>0.82540000000000002</v>
      </c>
      <c r="U20">
        <v>0.81379999999999997</v>
      </c>
      <c r="V20">
        <v>0.83089999999999997</v>
      </c>
      <c r="W20">
        <v>0.82179999999999997</v>
      </c>
      <c r="X20">
        <v>0.81950000000000001</v>
      </c>
      <c r="Y20">
        <v>0.81850000000000001</v>
      </c>
      <c r="Z20">
        <v>0.83299999999999996</v>
      </c>
      <c r="AA20">
        <v>0.82789999999999997</v>
      </c>
      <c r="AB20">
        <v>0.81310000000000004</v>
      </c>
    </row>
    <row r="21" spans="1:28">
      <c r="A21" t="s">
        <v>19</v>
      </c>
      <c r="B21" t="s">
        <v>878</v>
      </c>
      <c r="C21" t="s">
        <v>879</v>
      </c>
      <c r="D21" t="s">
        <v>190</v>
      </c>
      <c r="E21" t="s">
        <v>880</v>
      </c>
      <c r="F21">
        <v>33</v>
      </c>
      <c r="G21" t="s">
        <v>823</v>
      </c>
      <c r="H21" t="s">
        <v>811</v>
      </c>
      <c r="I21" t="s">
        <v>804</v>
      </c>
      <c r="J21" t="s">
        <v>882</v>
      </c>
      <c r="K21" t="s">
        <v>166</v>
      </c>
      <c r="L21" t="s">
        <v>188</v>
      </c>
      <c r="M21" t="s">
        <v>188</v>
      </c>
      <c r="N21" t="s">
        <v>172</v>
      </c>
      <c r="O21" t="s">
        <v>179</v>
      </c>
      <c r="P21" t="s">
        <v>188</v>
      </c>
      <c r="Q21">
        <v>30</v>
      </c>
      <c r="R21">
        <v>30</v>
      </c>
      <c r="Y21">
        <v>1.0042</v>
      </c>
      <c r="Z21">
        <v>1.0121</v>
      </c>
      <c r="AA21">
        <v>1.0086999999999999</v>
      </c>
      <c r="AB21">
        <v>0.95340000000000003</v>
      </c>
    </row>
    <row r="22" spans="1:28">
      <c r="A22" t="s">
        <v>19</v>
      </c>
      <c r="B22" t="s">
        <v>878</v>
      </c>
      <c r="C22" t="s">
        <v>879</v>
      </c>
      <c r="D22" t="s">
        <v>3078</v>
      </c>
      <c r="E22" t="s">
        <v>883</v>
      </c>
      <c r="F22">
        <v>33</v>
      </c>
      <c r="G22" t="s">
        <v>823</v>
      </c>
      <c r="H22" t="s">
        <v>811</v>
      </c>
      <c r="I22" t="s">
        <v>804</v>
      </c>
      <c r="J22" t="s">
        <v>882</v>
      </c>
      <c r="K22" t="s">
        <v>166</v>
      </c>
      <c r="L22" t="s">
        <v>188</v>
      </c>
      <c r="M22" t="s">
        <v>188</v>
      </c>
      <c r="N22" t="s">
        <v>172</v>
      </c>
      <c r="O22" t="s">
        <v>179</v>
      </c>
      <c r="P22" t="s">
        <v>188</v>
      </c>
      <c r="Q22">
        <v>20</v>
      </c>
      <c r="R22">
        <v>20</v>
      </c>
      <c r="Y22">
        <v>1.0042</v>
      </c>
      <c r="Z22">
        <v>1.0121</v>
      </c>
      <c r="AA22">
        <v>1.0086999999999999</v>
      </c>
      <c r="AB22">
        <v>0.95340000000000003</v>
      </c>
    </row>
    <row r="23" spans="1:28">
      <c r="A23" t="s">
        <v>20</v>
      </c>
      <c r="B23" t="s">
        <v>884</v>
      </c>
      <c r="C23" t="s">
        <v>885</v>
      </c>
      <c r="D23" t="s">
        <v>581</v>
      </c>
      <c r="E23" t="s">
        <v>886</v>
      </c>
      <c r="F23">
        <v>275</v>
      </c>
      <c r="G23" t="s">
        <v>810</v>
      </c>
      <c r="H23" t="s">
        <v>811</v>
      </c>
      <c r="I23" t="s">
        <v>812</v>
      </c>
      <c r="J23" t="s">
        <v>887</v>
      </c>
      <c r="K23" t="s">
        <v>166</v>
      </c>
      <c r="L23" t="s">
        <v>170</v>
      </c>
      <c r="M23" t="s">
        <v>171</v>
      </c>
      <c r="N23" t="s">
        <v>172</v>
      </c>
      <c r="O23" t="s">
        <v>216</v>
      </c>
      <c r="P23" t="s">
        <v>170</v>
      </c>
      <c r="Q23">
        <v>478</v>
      </c>
      <c r="R23">
        <v>510</v>
      </c>
      <c r="S23">
        <v>0.99880000000000002</v>
      </c>
      <c r="T23">
        <v>0.99950000000000006</v>
      </c>
      <c r="U23">
        <v>0.999</v>
      </c>
      <c r="V23">
        <v>0.99919999999999998</v>
      </c>
      <c r="W23">
        <v>0.99939999999999996</v>
      </c>
      <c r="X23">
        <v>1.0009999999999999</v>
      </c>
      <c r="Y23">
        <v>1.0008999999999999</v>
      </c>
      <c r="Z23">
        <v>1.0012000000000001</v>
      </c>
      <c r="AA23">
        <v>1.0004999999999999</v>
      </c>
      <c r="AB23">
        <v>0.99839999999999995</v>
      </c>
    </row>
    <row r="24" spans="1:28">
      <c r="A24" t="s">
        <v>21</v>
      </c>
      <c r="B24" t="s">
        <v>888</v>
      </c>
      <c r="C24" t="s">
        <v>889</v>
      </c>
      <c r="D24" t="s">
        <v>590</v>
      </c>
      <c r="E24" t="s">
        <v>890</v>
      </c>
      <c r="F24">
        <v>66</v>
      </c>
      <c r="G24" t="s">
        <v>830</v>
      </c>
      <c r="H24" t="s">
        <v>811</v>
      </c>
      <c r="I24" t="s">
        <v>812</v>
      </c>
      <c r="J24" t="s">
        <v>891</v>
      </c>
      <c r="K24" t="s">
        <v>166</v>
      </c>
      <c r="L24" t="s">
        <v>170</v>
      </c>
      <c r="M24" t="s">
        <v>171</v>
      </c>
      <c r="N24" t="s">
        <v>172</v>
      </c>
      <c r="O24" t="s">
        <v>185</v>
      </c>
      <c r="P24" t="s">
        <v>170</v>
      </c>
      <c r="Q24">
        <v>24</v>
      </c>
      <c r="R24">
        <v>25</v>
      </c>
      <c r="S24">
        <v>1</v>
      </c>
      <c r="T24">
        <v>1</v>
      </c>
      <c r="U24">
        <v>1</v>
      </c>
      <c r="V24">
        <v>0.99490000000000001</v>
      </c>
      <c r="W24">
        <v>0.99390000000000001</v>
      </c>
      <c r="X24">
        <v>0.99319999999999997</v>
      </c>
      <c r="Y24">
        <v>0.98640000000000005</v>
      </c>
      <c r="Z24">
        <v>0.98560000000000003</v>
      </c>
      <c r="AA24">
        <v>0.98540000000000005</v>
      </c>
      <c r="AB24">
        <v>0.99619999999999997</v>
      </c>
    </row>
    <row r="25" spans="1:28">
      <c r="A25" t="s">
        <v>21</v>
      </c>
      <c r="B25" t="s">
        <v>888</v>
      </c>
      <c r="C25" t="s">
        <v>889</v>
      </c>
      <c r="D25" t="s">
        <v>592</v>
      </c>
      <c r="E25" t="s">
        <v>892</v>
      </c>
      <c r="F25">
        <v>66</v>
      </c>
      <c r="G25" t="s">
        <v>830</v>
      </c>
      <c r="H25" t="s">
        <v>811</v>
      </c>
      <c r="I25" t="s">
        <v>812</v>
      </c>
      <c r="J25" t="s">
        <v>891</v>
      </c>
      <c r="K25" t="s">
        <v>166</v>
      </c>
      <c r="L25" t="s">
        <v>170</v>
      </c>
      <c r="M25" t="s">
        <v>171</v>
      </c>
      <c r="N25" t="s">
        <v>172</v>
      </c>
      <c r="O25" t="s">
        <v>185</v>
      </c>
      <c r="P25" t="s">
        <v>170</v>
      </c>
      <c r="Q25">
        <v>24</v>
      </c>
      <c r="R25">
        <v>25</v>
      </c>
      <c r="S25">
        <v>1</v>
      </c>
      <c r="T25">
        <v>1</v>
      </c>
      <c r="U25">
        <v>1</v>
      </c>
      <c r="V25">
        <v>0.99490000000000001</v>
      </c>
      <c r="W25">
        <v>0.99390000000000001</v>
      </c>
      <c r="X25">
        <v>0.99319999999999997</v>
      </c>
      <c r="Y25">
        <v>0.98640000000000005</v>
      </c>
      <c r="Z25">
        <v>0.98560000000000003</v>
      </c>
      <c r="AA25">
        <v>0.98540000000000005</v>
      </c>
      <c r="AB25">
        <v>0.99619999999999997</v>
      </c>
    </row>
    <row r="26" spans="1:28">
      <c r="A26" t="s">
        <v>21</v>
      </c>
      <c r="B26" t="s">
        <v>888</v>
      </c>
      <c r="C26" t="s">
        <v>889</v>
      </c>
      <c r="D26" t="s">
        <v>593</v>
      </c>
      <c r="E26" t="s">
        <v>893</v>
      </c>
      <c r="F26">
        <v>66</v>
      </c>
      <c r="G26" t="s">
        <v>830</v>
      </c>
      <c r="H26" t="s">
        <v>811</v>
      </c>
      <c r="I26" t="s">
        <v>812</v>
      </c>
      <c r="J26" t="s">
        <v>891</v>
      </c>
      <c r="K26" t="s">
        <v>166</v>
      </c>
      <c r="L26" t="s">
        <v>170</v>
      </c>
      <c r="M26" t="s">
        <v>171</v>
      </c>
      <c r="N26" t="s">
        <v>172</v>
      </c>
      <c r="O26" t="s">
        <v>185</v>
      </c>
      <c r="P26" t="s">
        <v>170</v>
      </c>
      <c r="Q26">
        <v>24</v>
      </c>
      <c r="R26">
        <v>25</v>
      </c>
      <c r="S26">
        <v>1</v>
      </c>
      <c r="T26">
        <v>1</v>
      </c>
      <c r="U26">
        <v>1</v>
      </c>
      <c r="V26">
        <v>0.99490000000000001</v>
      </c>
      <c r="W26">
        <v>0.99390000000000001</v>
      </c>
      <c r="X26">
        <v>0.99319999999999997</v>
      </c>
      <c r="Y26">
        <v>0.98640000000000005</v>
      </c>
      <c r="Z26">
        <v>0.98560000000000003</v>
      </c>
      <c r="AA26">
        <v>0.98540000000000005</v>
      </c>
      <c r="AB26">
        <v>0.99619999999999997</v>
      </c>
    </row>
    <row r="27" spans="1:28">
      <c r="A27" t="s">
        <v>21</v>
      </c>
      <c r="B27" t="s">
        <v>888</v>
      </c>
      <c r="C27" t="s">
        <v>889</v>
      </c>
      <c r="D27" t="s">
        <v>594</v>
      </c>
      <c r="E27" t="s">
        <v>894</v>
      </c>
      <c r="F27">
        <v>66</v>
      </c>
      <c r="G27" t="s">
        <v>830</v>
      </c>
      <c r="H27" t="s">
        <v>811</v>
      </c>
      <c r="I27" t="s">
        <v>812</v>
      </c>
      <c r="J27" t="s">
        <v>891</v>
      </c>
      <c r="K27" t="s">
        <v>166</v>
      </c>
      <c r="L27" t="s">
        <v>170</v>
      </c>
      <c r="M27" t="s">
        <v>171</v>
      </c>
      <c r="N27" t="s">
        <v>172</v>
      </c>
      <c r="O27" t="s">
        <v>185</v>
      </c>
      <c r="P27" t="s">
        <v>170</v>
      </c>
      <c r="Q27">
        <v>24</v>
      </c>
      <c r="R27">
        <v>25</v>
      </c>
      <c r="S27">
        <v>1</v>
      </c>
      <c r="T27">
        <v>1</v>
      </c>
      <c r="U27">
        <v>1</v>
      </c>
      <c r="V27">
        <v>0.99490000000000001</v>
      </c>
      <c r="W27">
        <v>0.99390000000000001</v>
      </c>
      <c r="X27">
        <v>0.99319999999999997</v>
      </c>
      <c r="Y27">
        <v>0.98640000000000005</v>
      </c>
      <c r="Z27">
        <v>0.98560000000000003</v>
      </c>
      <c r="AA27">
        <v>0.98540000000000005</v>
      </c>
      <c r="AB27">
        <v>0.99619999999999997</v>
      </c>
    </row>
    <row r="28" spans="1:28">
      <c r="A28" t="s">
        <v>21</v>
      </c>
      <c r="B28" t="s">
        <v>888</v>
      </c>
      <c r="C28" t="s">
        <v>889</v>
      </c>
      <c r="D28" t="s">
        <v>595</v>
      </c>
      <c r="E28" t="s">
        <v>895</v>
      </c>
      <c r="F28">
        <v>66</v>
      </c>
      <c r="G28" t="s">
        <v>830</v>
      </c>
      <c r="H28" t="s">
        <v>811</v>
      </c>
      <c r="I28" t="s">
        <v>812</v>
      </c>
      <c r="J28" t="s">
        <v>891</v>
      </c>
      <c r="K28" t="s">
        <v>166</v>
      </c>
      <c r="L28" t="s">
        <v>170</v>
      </c>
      <c r="M28" t="s">
        <v>171</v>
      </c>
      <c r="N28" t="s">
        <v>172</v>
      </c>
      <c r="O28" t="s">
        <v>185</v>
      </c>
      <c r="P28" t="s">
        <v>170</v>
      </c>
      <c r="Q28">
        <v>128</v>
      </c>
      <c r="R28">
        <v>128</v>
      </c>
      <c r="S28">
        <v>1</v>
      </c>
      <c r="T28">
        <v>1</v>
      </c>
      <c r="U28">
        <v>1</v>
      </c>
      <c r="V28">
        <v>0.99490000000000001</v>
      </c>
      <c r="W28">
        <v>0.99390000000000001</v>
      </c>
      <c r="X28">
        <v>0.99319999999999997</v>
      </c>
      <c r="Y28">
        <v>0.98640000000000005</v>
      </c>
      <c r="Z28">
        <v>0.98560000000000003</v>
      </c>
      <c r="AA28">
        <v>0.98540000000000005</v>
      </c>
      <c r="AB28">
        <v>0.99619999999999997</v>
      </c>
    </row>
    <row r="29" spans="1:28">
      <c r="A29" t="s">
        <v>22</v>
      </c>
      <c r="B29" t="s">
        <v>896</v>
      </c>
      <c r="C29" t="s">
        <v>889</v>
      </c>
      <c r="D29" t="s">
        <v>561</v>
      </c>
      <c r="E29" t="s">
        <v>897</v>
      </c>
      <c r="F29">
        <v>66</v>
      </c>
      <c r="G29" t="s">
        <v>810</v>
      </c>
      <c r="H29" t="s">
        <v>811</v>
      </c>
      <c r="I29" t="s">
        <v>812</v>
      </c>
      <c r="J29" t="s">
        <v>898</v>
      </c>
      <c r="K29" t="s">
        <v>166</v>
      </c>
      <c r="L29" t="s">
        <v>170</v>
      </c>
      <c r="M29" t="s">
        <v>171</v>
      </c>
      <c r="N29" t="s">
        <v>172</v>
      </c>
      <c r="O29" t="s">
        <v>216</v>
      </c>
      <c r="P29" t="s">
        <v>170</v>
      </c>
      <c r="Q29">
        <v>180</v>
      </c>
      <c r="R29">
        <v>204</v>
      </c>
      <c r="S29">
        <v>0.99980000000000002</v>
      </c>
      <c r="T29">
        <v>1.0003</v>
      </c>
      <c r="U29">
        <v>0.99970000000000003</v>
      </c>
      <c r="V29">
        <v>0.99890000000000001</v>
      </c>
      <c r="W29">
        <v>0.999</v>
      </c>
      <c r="X29">
        <v>0.99950000000000006</v>
      </c>
      <c r="Y29">
        <v>0.99939999999999996</v>
      </c>
      <c r="Z29">
        <v>0.99880000000000002</v>
      </c>
      <c r="AA29">
        <v>0.99919999999999998</v>
      </c>
      <c r="AB29">
        <v>0.99970000000000003</v>
      </c>
    </row>
    <row r="30" spans="1:28">
      <c r="A30" t="s">
        <v>23</v>
      </c>
      <c r="B30" t="s">
        <v>899</v>
      </c>
      <c r="C30" t="s">
        <v>900</v>
      </c>
      <c r="D30" t="s">
        <v>687</v>
      </c>
      <c r="E30" t="s">
        <v>901</v>
      </c>
      <c r="F30">
        <v>275</v>
      </c>
      <c r="G30" t="s">
        <v>810</v>
      </c>
      <c r="H30" t="s">
        <v>811</v>
      </c>
      <c r="I30" t="s">
        <v>812</v>
      </c>
      <c r="J30" t="s">
        <v>903</v>
      </c>
      <c r="K30" t="s">
        <v>166</v>
      </c>
      <c r="L30" t="s">
        <v>170</v>
      </c>
      <c r="M30" t="s">
        <v>171</v>
      </c>
      <c r="N30" t="s">
        <v>172</v>
      </c>
      <c r="O30" t="s">
        <v>195</v>
      </c>
      <c r="P30" t="s">
        <v>170</v>
      </c>
      <c r="Q30">
        <v>200</v>
      </c>
      <c r="R30">
        <v>210</v>
      </c>
      <c r="S30">
        <v>0.99980000000000002</v>
      </c>
      <c r="T30">
        <v>1.0006999999999999</v>
      </c>
      <c r="U30">
        <v>0.99990000000000001</v>
      </c>
      <c r="V30">
        <v>0.99990000000000001</v>
      </c>
      <c r="W30">
        <v>1.0004</v>
      </c>
      <c r="X30">
        <v>1.0019</v>
      </c>
      <c r="Y30">
        <v>1.0014000000000001</v>
      </c>
      <c r="Z30">
        <v>1.0016</v>
      </c>
      <c r="AA30">
        <v>1.0008999999999999</v>
      </c>
      <c r="AB30">
        <v>0.99929999999999997</v>
      </c>
    </row>
    <row r="31" spans="1:28">
      <c r="A31" t="s">
        <v>23</v>
      </c>
      <c r="B31" t="s">
        <v>899</v>
      </c>
      <c r="C31" t="s">
        <v>900</v>
      </c>
      <c r="D31" t="s">
        <v>689</v>
      </c>
      <c r="E31" t="s">
        <v>904</v>
      </c>
      <c r="F31">
        <v>275</v>
      </c>
      <c r="G31" t="s">
        <v>810</v>
      </c>
      <c r="H31" t="s">
        <v>811</v>
      </c>
      <c r="I31" t="s">
        <v>812</v>
      </c>
      <c r="J31" t="s">
        <v>903</v>
      </c>
      <c r="K31" t="s">
        <v>166</v>
      </c>
      <c r="L31" t="s">
        <v>170</v>
      </c>
      <c r="M31" t="s">
        <v>171</v>
      </c>
      <c r="N31" t="s">
        <v>172</v>
      </c>
      <c r="O31" t="s">
        <v>195</v>
      </c>
      <c r="P31" t="s">
        <v>170</v>
      </c>
      <c r="Q31">
        <v>200</v>
      </c>
      <c r="R31">
        <v>210</v>
      </c>
      <c r="S31">
        <v>0.99980000000000002</v>
      </c>
      <c r="T31">
        <v>1.0006999999999999</v>
      </c>
      <c r="U31">
        <v>0.99990000000000001</v>
      </c>
      <c r="V31">
        <v>0.99990000000000001</v>
      </c>
      <c r="W31">
        <v>1.0004</v>
      </c>
      <c r="X31">
        <v>1.0019</v>
      </c>
      <c r="Y31">
        <v>1.0014000000000001</v>
      </c>
      <c r="Z31">
        <v>1.0016</v>
      </c>
      <c r="AA31">
        <v>1.0008999999999999</v>
      </c>
      <c r="AB31">
        <v>0.99929999999999997</v>
      </c>
    </row>
    <row r="32" spans="1:28">
      <c r="A32" t="s">
        <v>23</v>
      </c>
      <c r="B32" t="s">
        <v>899</v>
      </c>
      <c r="C32" t="s">
        <v>900</v>
      </c>
      <c r="D32" t="s">
        <v>690</v>
      </c>
      <c r="E32" t="s">
        <v>905</v>
      </c>
      <c r="F32">
        <v>275</v>
      </c>
      <c r="G32" t="s">
        <v>810</v>
      </c>
      <c r="H32" t="s">
        <v>811</v>
      </c>
      <c r="I32" t="s">
        <v>812</v>
      </c>
      <c r="J32" t="s">
        <v>903</v>
      </c>
      <c r="K32" t="s">
        <v>166</v>
      </c>
      <c r="L32" t="s">
        <v>170</v>
      </c>
      <c r="M32" t="s">
        <v>171</v>
      </c>
      <c r="N32" t="s">
        <v>172</v>
      </c>
      <c r="O32" t="s">
        <v>195</v>
      </c>
      <c r="P32" t="s">
        <v>170</v>
      </c>
      <c r="Q32">
        <v>200</v>
      </c>
      <c r="R32">
        <v>210</v>
      </c>
      <c r="S32">
        <v>0.99980000000000002</v>
      </c>
      <c r="T32">
        <v>1.0006999999999999</v>
      </c>
      <c r="U32">
        <v>0.99990000000000001</v>
      </c>
      <c r="V32">
        <v>0.99990000000000001</v>
      </c>
      <c r="W32">
        <v>1.0004</v>
      </c>
      <c r="X32">
        <v>1.0019</v>
      </c>
      <c r="Y32">
        <v>1.0014000000000001</v>
      </c>
      <c r="Z32">
        <v>1.0016</v>
      </c>
      <c r="AA32">
        <v>1.0008999999999999</v>
      </c>
      <c r="AB32">
        <v>0.99929999999999997</v>
      </c>
    </row>
    <row r="33" spans="1:28">
      <c r="A33" t="s">
        <v>23</v>
      </c>
      <c r="B33" t="s">
        <v>899</v>
      </c>
      <c r="C33" t="s">
        <v>900</v>
      </c>
      <c r="D33" t="s">
        <v>691</v>
      </c>
      <c r="E33" t="s">
        <v>906</v>
      </c>
      <c r="F33">
        <v>275</v>
      </c>
      <c r="G33" t="s">
        <v>810</v>
      </c>
      <c r="H33" t="s">
        <v>811</v>
      </c>
      <c r="I33" t="s">
        <v>812</v>
      </c>
      <c r="J33" t="s">
        <v>903</v>
      </c>
      <c r="K33" t="s">
        <v>166</v>
      </c>
      <c r="L33" t="s">
        <v>170</v>
      </c>
      <c r="M33" t="s">
        <v>171</v>
      </c>
      <c r="N33" t="s">
        <v>172</v>
      </c>
      <c r="O33" t="s">
        <v>195</v>
      </c>
      <c r="P33" t="s">
        <v>170</v>
      </c>
      <c r="Q33">
        <v>200</v>
      </c>
      <c r="R33">
        <v>210</v>
      </c>
      <c r="S33">
        <v>0.99980000000000002</v>
      </c>
      <c r="T33">
        <v>1.0006999999999999</v>
      </c>
      <c r="U33">
        <v>0.99990000000000001</v>
      </c>
      <c r="V33">
        <v>0.99990000000000001</v>
      </c>
      <c r="W33">
        <v>1.0004</v>
      </c>
      <c r="X33">
        <v>1.0019</v>
      </c>
      <c r="Y33">
        <v>1.0014000000000001</v>
      </c>
      <c r="Z33">
        <v>1.0016</v>
      </c>
      <c r="AA33">
        <v>1.0008999999999999</v>
      </c>
      <c r="AB33">
        <v>0.99929999999999997</v>
      </c>
    </row>
    <row r="34" spans="1:28">
      <c r="A34" t="s">
        <v>24</v>
      </c>
      <c r="B34" t="s">
        <v>899</v>
      </c>
      <c r="C34" t="s">
        <v>900</v>
      </c>
      <c r="D34" t="s">
        <v>682</v>
      </c>
      <c r="E34" t="s">
        <v>907</v>
      </c>
      <c r="F34">
        <v>275</v>
      </c>
      <c r="G34" t="s">
        <v>810</v>
      </c>
      <c r="H34" t="s">
        <v>811</v>
      </c>
      <c r="I34" t="s">
        <v>812</v>
      </c>
      <c r="J34" t="s">
        <v>908</v>
      </c>
      <c r="K34" t="s">
        <v>166</v>
      </c>
      <c r="L34" t="s">
        <v>170</v>
      </c>
      <c r="M34" t="s">
        <v>171</v>
      </c>
      <c r="N34" t="s">
        <v>172</v>
      </c>
      <c r="O34" t="s">
        <v>195</v>
      </c>
      <c r="P34" t="s">
        <v>170</v>
      </c>
      <c r="Q34">
        <v>120</v>
      </c>
      <c r="R34">
        <v>120</v>
      </c>
      <c r="S34">
        <v>0.99980000000000002</v>
      </c>
      <c r="T34">
        <v>1.0006999999999999</v>
      </c>
      <c r="U34">
        <v>0.99990000000000001</v>
      </c>
      <c r="V34">
        <v>0.99990000000000001</v>
      </c>
      <c r="W34">
        <v>1.0004</v>
      </c>
      <c r="X34">
        <v>1.0019</v>
      </c>
      <c r="Y34">
        <v>1.0014000000000001</v>
      </c>
      <c r="Z34">
        <v>1.0016</v>
      </c>
      <c r="AA34">
        <v>1.0008999999999999</v>
      </c>
      <c r="AB34">
        <v>0.99929999999999997</v>
      </c>
    </row>
    <row r="35" spans="1:28">
      <c r="A35" t="s">
        <v>24</v>
      </c>
      <c r="B35" t="s">
        <v>899</v>
      </c>
      <c r="C35" t="s">
        <v>900</v>
      </c>
      <c r="D35" t="s">
        <v>684</v>
      </c>
      <c r="E35" t="s">
        <v>909</v>
      </c>
      <c r="F35">
        <v>275</v>
      </c>
      <c r="G35" t="s">
        <v>810</v>
      </c>
      <c r="H35" t="s">
        <v>811</v>
      </c>
      <c r="I35" t="s">
        <v>812</v>
      </c>
      <c r="J35" t="s">
        <v>908</v>
      </c>
      <c r="K35" t="s">
        <v>166</v>
      </c>
      <c r="L35" t="s">
        <v>170</v>
      </c>
      <c r="M35" t="s">
        <v>171</v>
      </c>
      <c r="N35" t="s">
        <v>172</v>
      </c>
      <c r="O35" t="s">
        <v>195</v>
      </c>
      <c r="P35" t="s">
        <v>170</v>
      </c>
      <c r="Q35">
        <v>120</v>
      </c>
      <c r="R35">
        <v>120</v>
      </c>
      <c r="S35">
        <v>0.99980000000000002</v>
      </c>
      <c r="T35">
        <v>1.0006999999999999</v>
      </c>
      <c r="U35">
        <v>0.99990000000000001</v>
      </c>
      <c r="V35">
        <v>0.99990000000000001</v>
      </c>
      <c r="W35">
        <v>1.0004</v>
      </c>
      <c r="X35">
        <v>1.0019</v>
      </c>
      <c r="Y35">
        <v>1.0014000000000001</v>
      </c>
      <c r="Z35">
        <v>1.0016</v>
      </c>
      <c r="AA35">
        <v>1.0008999999999999</v>
      </c>
      <c r="AB35">
        <v>0.99929999999999997</v>
      </c>
    </row>
    <row r="36" spans="1:28">
      <c r="A36" t="s">
        <v>24</v>
      </c>
      <c r="B36" t="s">
        <v>899</v>
      </c>
      <c r="C36" t="s">
        <v>900</v>
      </c>
      <c r="D36" t="s">
        <v>685</v>
      </c>
      <c r="E36" t="s">
        <v>910</v>
      </c>
      <c r="F36">
        <v>275</v>
      </c>
      <c r="G36" t="s">
        <v>810</v>
      </c>
      <c r="H36" t="s">
        <v>811</v>
      </c>
      <c r="I36" t="s">
        <v>812</v>
      </c>
      <c r="J36" t="s">
        <v>908</v>
      </c>
      <c r="K36" t="s">
        <v>166</v>
      </c>
      <c r="L36" t="s">
        <v>170</v>
      </c>
      <c r="M36" t="s">
        <v>171</v>
      </c>
      <c r="N36" t="s">
        <v>172</v>
      </c>
      <c r="O36" t="s">
        <v>195</v>
      </c>
      <c r="P36" t="s">
        <v>170</v>
      </c>
      <c r="Q36">
        <v>120</v>
      </c>
      <c r="R36">
        <v>120</v>
      </c>
      <c r="S36">
        <v>0.99980000000000002</v>
      </c>
      <c r="T36">
        <v>1.0006999999999999</v>
      </c>
      <c r="U36">
        <v>0.99990000000000001</v>
      </c>
      <c r="V36">
        <v>0.99990000000000001</v>
      </c>
      <c r="W36">
        <v>1.0004</v>
      </c>
      <c r="X36">
        <v>1.0019</v>
      </c>
      <c r="Y36">
        <v>1.0014000000000001</v>
      </c>
      <c r="Z36">
        <v>1.0016</v>
      </c>
      <c r="AA36">
        <v>1.0008999999999999</v>
      </c>
      <c r="AB36">
        <v>0.99929999999999997</v>
      </c>
    </row>
    <row r="37" spans="1:28">
      <c r="A37" t="s">
        <v>24</v>
      </c>
      <c r="B37" t="s">
        <v>899</v>
      </c>
      <c r="C37" t="s">
        <v>900</v>
      </c>
      <c r="D37" t="s">
        <v>686</v>
      </c>
      <c r="E37" t="s">
        <v>911</v>
      </c>
      <c r="F37">
        <v>275</v>
      </c>
      <c r="G37" t="s">
        <v>810</v>
      </c>
      <c r="H37" t="s">
        <v>811</v>
      </c>
      <c r="I37" t="s">
        <v>812</v>
      </c>
      <c r="J37" t="s">
        <v>908</v>
      </c>
      <c r="K37" t="s">
        <v>166</v>
      </c>
      <c r="L37" t="s">
        <v>170</v>
      </c>
      <c r="M37" t="s">
        <v>171</v>
      </c>
      <c r="N37" t="s">
        <v>172</v>
      </c>
      <c r="O37" t="s">
        <v>195</v>
      </c>
      <c r="P37" t="s">
        <v>170</v>
      </c>
      <c r="Q37">
        <v>120</v>
      </c>
      <c r="R37">
        <v>120</v>
      </c>
      <c r="S37">
        <v>0.99980000000000002</v>
      </c>
      <c r="T37">
        <v>1.0006999999999999</v>
      </c>
      <c r="U37">
        <v>0.99990000000000001</v>
      </c>
      <c r="V37">
        <v>0.99990000000000001</v>
      </c>
      <c r="W37">
        <v>1.0004</v>
      </c>
      <c r="X37">
        <v>1.0019</v>
      </c>
      <c r="Y37">
        <v>1.0014000000000001</v>
      </c>
      <c r="Z37">
        <v>1.0016</v>
      </c>
      <c r="AA37">
        <v>1.0008999999999999</v>
      </c>
      <c r="AB37">
        <v>0.99929999999999997</v>
      </c>
    </row>
    <row r="38" spans="1:28">
      <c r="A38" t="s">
        <v>25</v>
      </c>
      <c r="B38" t="s">
        <v>912</v>
      </c>
      <c r="C38" t="s">
        <v>828</v>
      </c>
      <c r="D38" t="s">
        <v>347</v>
      </c>
      <c r="E38" t="s">
        <v>913</v>
      </c>
      <c r="F38">
        <v>66</v>
      </c>
      <c r="G38" t="s">
        <v>830</v>
      </c>
      <c r="H38" t="s">
        <v>811</v>
      </c>
      <c r="I38" t="s">
        <v>812</v>
      </c>
      <c r="J38" t="s">
        <v>914</v>
      </c>
      <c r="K38" t="s">
        <v>166</v>
      </c>
      <c r="L38" t="s">
        <v>170</v>
      </c>
      <c r="M38" t="s">
        <v>171</v>
      </c>
      <c r="N38" t="s">
        <v>172</v>
      </c>
      <c r="O38" t="s">
        <v>185</v>
      </c>
      <c r="P38" t="s">
        <v>170</v>
      </c>
      <c r="Q38">
        <v>52</v>
      </c>
      <c r="R38">
        <v>57</v>
      </c>
      <c r="S38">
        <v>1.0072000000000001</v>
      </c>
      <c r="T38">
        <v>1.0066999999999999</v>
      </c>
      <c r="U38">
        <v>1.0008999999999999</v>
      </c>
      <c r="V38">
        <v>1.0008999999999999</v>
      </c>
      <c r="W38">
        <v>1.0022</v>
      </c>
      <c r="X38">
        <v>1.0018</v>
      </c>
      <c r="Y38">
        <v>1.0011000000000001</v>
      </c>
      <c r="Z38">
        <v>1.0019</v>
      </c>
      <c r="AA38">
        <v>1.0029999999999999</v>
      </c>
      <c r="AB38">
        <v>0.99670000000000003</v>
      </c>
    </row>
    <row r="39" spans="1:28">
      <c r="A39" t="s">
        <v>25</v>
      </c>
      <c r="B39" t="s">
        <v>912</v>
      </c>
      <c r="C39" t="s">
        <v>828</v>
      </c>
      <c r="D39" t="s">
        <v>349</v>
      </c>
      <c r="E39" t="s">
        <v>915</v>
      </c>
      <c r="F39">
        <v>66</v>
      </c>
      <c r="G39" t="s">
        <v>830</v>
      </c>
      <c r="H39" t="s">
        <v>811</v>
      </c>
      <c r="I39" t="s">
        <v>812</v>
      </c>
      <c r="J39" t="s">
        <v>914</v>
      </c>
      <c r="K39" t="s">
        <v>166</v>
      </c>
      <c r="L39" t="s">
        <v>170</v>
      </c>
      <c r="M39" t="s">
        <v>171</v>
      </c>
      <c r="N39" t="s">
        <v>172</v>
      </c>
      <c r="O39" t="s">
        <v>185</v>
      </c>
      <c r="P39" t="s">
        <v>170</v>
      </c>
      <c r="Q39">
        <v>52</v>
      </c>
      <c r="R39">
        <v>57</v>
      </c>
      <c r="S39">
        <v>1.0072000000000001</v>
      </c>
      <c r="T39">
        <v>1.0066999999999999</v>
      </c>
      <c r="U39">
        <v>1.0008999999999999</v>
      </c>
      <c r="V39">
        <v>1.0008999999999999</v>
      </c>
      <c r="W39">
        <v>1.0022</v>
      </c>
      <c r="X39">
        <v>1.0018</v>
      </c>
      <c r="Y39">
        <v>1.0011000000000001</v>
      </c>
      <c r="Z39">
        <v>1.0019</v>
      </c>
      <c r="AA39">
        <v>1.0029999999999999</v>
      </c>
      <c r="AB39">
        <v>0.99670000000000003</v>
      </c>
    </row>
    <row r="40" spans="1:28">
      <c r="A40" t="s">
        <v>25</v>
      </c>
      <c r="B40" t="s">
        <v>912</v>
      </c>
      <c r="C40" t="s">
        <v>828</v>
      </c>
      <c r="D40" t="s">
        <v>350</v>
      </c>
      <c r="E40" t="s">
        <v>916</v>
      </c>
      <c r="F40">
        <v>66</v>
      </c>
      <c r="G40" t="s">
        <v>830</v>
      </c>
      <c r="H40" t="s">
        <v>811</v>
      </c>
      <c r="I40" t="s">
        <v>812</v>
      </c>
      <c r="J40" t="s">
        <v>914</v>
      </c>
      <c r="K40" t="s">
        <v>166</v>
      </c>
      <c r="L40" t="s">
        <v>170</v>
      </c>
      <c r="M40" t="s">
        <v>171</v>
      </c>
      <c r="N40" t="s">
        <v>172</v>
      </c>
      <c r="O40" t="s">
        <v>185</v>
      </c>
      <c r="P40" t="s">
        <v>170</v>
      </c>
      <c r="Q40">
        <v>52</v>
      </c>
      <c r="R40">
        <v>57</v>
      </c>
      <c r="S40">
        <v>1.0072000000000001</v>
      </c>
      <c r="T40">
        <v>1.0066999999999999</v>
      </c>
      <c r="U40">
        <v>1.0008999999999999</v>
      </c>
      <c r="V40">
        <v>1.0008999999999999</v>
      </c>
      <c r="W40">
        <v>1.0022</v>
      </c>
      <c r="X40">
        <v>1.0018</v>
      </c>
      <c r="Y40">
        <v>1.0011000000000001</v>
      </c>
      <c r="Z40">
        <v>1.0019</v>
      </c>
      <c r="AA40">
        <v>1.0029999999999999</v>
      </c>
      <c r="AB40">
        <v>0.99670000000000003</v>
      </c>
    </row>
    <row r="41" spans="1:28">
      <c r="A41" t="s">
        <v>26</v>
      </c>
      <c r="B41" t="s">
        <v>917</v>
      </c>
      <c r="C41" t="s">
        <v>918</v>
      </c>
      <c r="D41" t="s">
        <v>641</v>
      </c>
      <c r="E41" t="s">
        <v>919</v>
      </c>
      <c r="F41">
        <v>33</v>
      </c>
      <c r="G41" t="s">
        <v>823</v>
      </c>
      <c r="H41" t="s">
        <v>811</v>
      </c>
      <c r="I41" t="s">
        <v>804</v>
      </c>
      <c r="J41" t="s">
        <v>920</v>
      </c>
      <c r="K41" t="s">
        <v>166</v>
      </c>
      <c r="L41" t="s">
        <v>198</v>
      </c>
      <c r="M41" t="s">
        <v>198</v>
      </c>
      <c r="N41" t="s">
        <v>199</v>
      </c>
      <c r="O41" t="s">
        <v>200</v>
      </c>
      <c r="P41" t="s">
        <v>198</v>
      </c>
      <c r="Q41">
        <v>34.5</v>
      </c>
      <c r="R41">
        <v>35</v>
      </c>
      <c r="S41">
        <v>1.0089999999999999</v>
      </c>
      <c r="T41">
        <v>1.0115000000000001</v>
      </c>
      <c r="U41">
        <v>1.0092000000000001</v>
      </c>
      <c r="V41">
        <v>1.0084</v>
      </c>
      <c r="W41">
        <v>1.008</v>
      </c>
      <c r="X41">
        <v>1.0075000000000001</v>
      </c>
      <c r="Y41">
        <v>1.0051000000000001</v>
      </c>
      <c r="Z41">
        <v>1.0046999999999999</v>
      </c>
      <c r="AA41">
        <v>1.0067999999999999</v>
      </c>
      <c r="AB41">
        <v>1.0061</v>
      </c>
    </row>
    <row r="42" spans="1:28">
      <c r="A42" t="s">
        <v>27</v>
      </c>
      <c r="B42" t="s">
        <v>921</v>
      </c>
      <c r="C42" t="s">
        <v>889</v>
      </c>
      <c r="D42" t="s">
        <v>455</v>
      </c>
      <c r="E42" t="s">
        <v>922</v>
      </c>
      <c r="F42">
        <v>132</v>
      </c>
      <c r="G42" t="s">
        <v>830</v>
      </c>
      <c r="H42" t="s">
        <v>811</v>
      </c>
      <c r="I42" t="s">
        <v>812</v>
      </c>
      <c r="J42" t="s">
        <v>923</v>
      </c>
      <c r="K42" t="s">
        <v>166</v>
      </c>
      <c r="L42" t="s">
        <v>170</v>
      </c>
      <c r="M42" t="s">
        <v>171</v>
      </c>
      <c r="N42" t="s">
        <v>172</v>
      </c>
      <c r="O42" t="s">
        <v>185</v>
      </c>
      <c r="P42" t="s">
        <v>170</v>
      </c>
      <c r="Q42">
        <v>40</v>
      </c>
      <c r="R42">
        <v>50</v>
      </c>
      <c r="S42">
        <v>0.97409999999999997</v>
      </c>
      <c r="T42">
        <v>0.996</v>
      </c>
      <c r="U42">
        <v>0.96260000000000001</v>
      </c>
      <c r="V42">
        <v>0.96740000000000004</v>
      </c>
      <c r="W42">
        <v>0.98839999999999995</v>
      </c>
      <c r="X42">
        <v>0.95630000000000004</v>
      </c>
      <c r="Y42">
        <v>0.88719999999999999</v>
      </c>
      <c r="Z42">
        <v>0.91700000000000004</v>
      </c>
      <c r="AA42">
        <v>0.94740000000000002</v>
      </c>
      <c r="AB42">
        <v>0.98699999999999999</v>
      </c>
    </row>
    <row r="43" spans="1:28">
      <c r="A43" t="s">
        <v>27</v>
      </c>
      <c r="B43" t="s">
        <v>921</v>
      </c>
      <c r="C43" t="s">
        <v>889</v>
      </c>
      <c r="D43" t="s">
        <v>457</v>
      </c>
      <c r="E43" t="s">
        <v>924</v>
      </c>
      <c r="F43">
        <v>132</v>
      </c>
      <c r="G43" t="s">
        <v>830</v>
      </c>
      <c r="H43" t="s">
        <v>811</v>
      </c>
      <c r="I43" t="s">
        <v>812</v>
      </c>
      <c r="J43" t="s">
        <v>923</v>
      </c>
      <c r="K43" t="s">
        <v>166</v>
      </c>
      <c r="L43" t="s">
        <v>170</v>
      </c>
      <c r="M43" t="s">
        <v>171</v>
      </c>
      <c r="N43" t="s">
        <v>172</v>
      </c>
      <c r="O43" t="s">
        <v>185</v>
      </c>
      <c r="P43" t="s">
        <v>170</v>
      </c>
      <c r="Q43">
        <v>40</v>
      </c>
      <c r="R43">
        <v>50</v>
      </c>
      <c r="S43">
        <v>0.97409999999999997</v>
      </c>
      <c r="T43">
        <v>0.996</v>
      </c>
      <c r="U43">
        <v>0.96260000000000001</v>
      </c>
      <c r="V43">
        <v>0.96740000000000004</v>
      </c>
      <c r="W43">
        <v>0.98839999999999995</v>
      </c>
      <c r="X43">
        <v>0.95630000000000004</v>
      </c>
      <c r="Y43">
        <v>0.88719999999999999</v>
      </c>
      <c r="Z43">
        <v>0.91700000000000004</v>
      </c>
      <c r="AA43">
        <v>0.94740000000000002</v>
      </c>
      <c r="AB43">
        <v>0.98699999999999999</v>
      </c>
    </row>
    <row r="44" spans="1:28">
      <c r="A44" t="s">
        <v>28</v>
      </c>
      <c r="B44" t="s">
        <v>925</v>
      </c>
      <c r="C44" t="s">
        <v>828</v>
      </c>
      <c r="D44" t="s">
        <v>634</v>
      </c>
      <c r="E44" t="s">
        <v>926</v>
      </c>
      <c r="F44">
        <v>132</v>
      </c>
      <c r="G44" t="s">
        <v>830</v>
      </c>
      <c r="H44" t="s">
        <v>811</v>
      </c>
      <c r="I44" t="s">
        <v>812</v>
      </c>
      <c r="J44" t="s">
        <v>927</v>
      </c>
      <c r="K44" t="s">
        <v>166</v>
      </c>
      <c r="L44" t="s">
        <v>188</v>
      </c>
      <c r="M44" t="s">
        <v>188</v>
      </c>
      <c r="N44" t="s">
        <v>172</v>
      </c>
      <c r="O44" t="s">
        <v>185</v>
      </c>
      <c r="P44" t="s">
        <v>188</v>
      </c>
      <c r="Q44">
        <v>63</v>
      </c>
      <c r="R44">
        <v>69</v>
      </c>
      <c r="S44">
        <v>0.94969999999999999</v>
      </c>
      <c r="T44">
        <v>0.94320000000000004</v>
      </c>
      <c r="U44">
        <v>1.0288999999999999</v>
      </c>
      <c r="V44">
        <v>0.95789999999999997</v>
      </c>
      <c r="W44">
        <v>0.99439999999999995</v>
      </c>
      <c r="X44">
        <v>0.9829</v>
      </c>
      <c r="Y44">
        <v>0.8417</v>
      </c>
      <c r="Z44">
        <v>0.93179999999999996</v>
      </c>
      <c r="AA44">
        <v>0.9325</v>
      </c>
      <c r="AB44">
        <v>0.94110000000000005</v>
      </c>
    </row>
    <row r="45" spans="1:28">
      <c r="A45" t="s">
        <v>29</v>
      </c>
      <c r="B45" t="s">
        <v>928</v>
      </c>
      <c r="C45" t="s">
        <v>929</v>
      </c>
      <c r="D45" t="s">
        <v>322</v>
      </c>
      <c r="E45" t="s">
        <v>930</v>
      </c>
      <c r="F45">
        <v>33</v>
      </c>
      <c r="G45" t="s">
        <v>823</v>
      </c>
      <c r="H45" t="s">
        <v>803</v>
      </c>
      <c r="I45" t="s">
        <v>804</v>
      </c>
      <c r="J45" t="s">
        <v>931</v>
      </c>
      <c r="K45" t="s">
        <v>166</v>
      </c>
      <c r="L45" t="s">
        <v>198</v>
      </c>
      <c r="M45" t="s">
        <v>198</v>
      </c>
      <c r="N45" t="s">
        <v>199</v>
      </c>
      <c r="O45" t="s">
        <v>200</v>
      </c>
      <c r="P45" t="s">
        <v>198</v>
      </c>
      <c r="Q45">
        <v>46</v>
      </c>
      <c r="R45">
        <v>46</v>
      </c>
      <c r="Y45">
        <v>0.88500000000000001</v>
      </c>
      <c r="Z45">
        <v>0.89670000000000005</v>
      </c>
      <c r="AA45">
        <v>0.92369999999999997</v>
      </c>
      <c r="AB45">
        <v>0.97550000000000003</v>
      </c>
    </row>
    <row r="46" spans="1:28">
      <c r="A46" t="s">
        <v>30</v>
      </c>
      <c r="B46" t="s">
        <v>1440</v>
      </c>
      <c r="C46" t="s">
        <v>932</v>
      </c>
      <c r="D46" t="s">
        <v>471</v>
      </c>
      <c r="E46" t="s">
        <v>933</v>
      </c>
      <c r="F46">
        <v>33</v>
      </c>
      <c r="G46" t="s">
        <v>823</v>
      </c>
      <c r="H46" t="s">
        <v>811</v>
      </c>
      <c r="I46" t="s">
        <v>804</v>
      </c>
      <c r="J46" t="s">
        <v>934</v>
      </c>
      <c r="K46" t="s">
        <v>166</v>
      </c>
      <c r="L46" t="s">
        <v>198</v>
      </c>
      <c r="M46" t="s">
        <v>198</v>
      </c>
      <c r="N46" t="s">
        <v>199</v>
      </c>
      <c r="O46" t="s">
        <v>200</v>
      </c>
      <c r="P46" t="s">
        <v>198</v>
      </c>
      <c r="Q46">
        <v>80.5</v>
      </c>
      <c r="R46">
        <v>81</v>
      </c>
      <c r="S46">
        <v>0.93879999999999997</v>
      </c>
      <c r="T46">
        <v>0.98680000000000001</v>
      </c>
      <c r="U46">
        <v>0.94040000000000001</v>
      </c>
      <c r="V46">
        <v>0.94259999999999999</v>
      </c>
      <c r="W46">
        <v>0.96650000000000003</v>
      </c>
      <c r="X46">
        <v>0.93520000000000003</v>
      </c>
      <c r="Y46">
        <v>0.87680000000000002</v>
      </c>
      <c r="Z46">
        <v>0.89059999999999995</v>
      </c>
      <c r="AA46">
        <v>0.91439999999999999</v>
      </c>
      <c r="AB46">
        <v>0.9597</v>
      </c>
    </row>
    <row r="47" spans="1:28">
      <c r="A47" t="s">
        <v>31</v>
      </c>
      <c r="B47" t="s">
        <v>758</v>
      </c>
      <c r="C47" t="s">
        <v>935</v>
      </c>
      <c r="D47" t="s">
        <v>758</v>
      </c>
      <c r="E47" t="s">
        <v>936</v>
      </c>
      <c r="F47">
        <v>110</v>
      </c>
      <c r="G47" t="s">
        <v>823</v>
      </c>
      <c r="H47" t="s">
        <v>811</v>
      </c>
      <c r="I47" t="s">
        <v>804</v>
      </c>
      <c r="J47" t="s">
        <v>938</v>
      </c>
      <c r="K47" t="s">
        <v>227</v>
      </c>
      <c r="L47" t="s">
        <v>198</v>
      </c>
      <c r="M47" t="s">
        <v>198</v>
      </c>
      <c r="N47" t="s">
        <v>199</v>
      </c>
      <c r="O47" t="s">
        <v>200</v>
      </c>
      <c r="P47" t="s">
        <v>198</v>
      </c>
      <c r="Q47">
        <v>140</v>
      </c>
      <c r="R47">
        <v>140</v>
      </c>
      <c r="S47">
        <v>0.91749999999999998</v>
      </c>
      <c r="T47">
        <v>0.90720000000000001</v>
      </c>
      <c r="U47">
        <v>0.8972</v>
      </c>
      <c r="V47">
        <v>0.90369999999999995</v>
      </c>
      <c r="W47">
        <v>0.89129999999999998</v>
      </c>
      <c r="X47">
        <v>0.89439999999999997</v>
      </c>
      <c r="Y47">
        <v>0.91200000000000003</v>
      </c>
      <c r="Z47">
        <v>0.90249999999999997</v>
      </c>
      <c r="AA47">
        <v>0.8952</v>
      </c>
      <c r="AB47">
        <v>0.88919999999999999</v>
      </c>
    </row>
    <row r="48" spans="1:28">
      <c r="A48" t="s">
        <v>32</v>
      </c>
      <c r="B48" t="s">
        <v>758</v>
      </c>
      <c r="C48" t="s">
        <v>935</v>
      </c>
      <c r="D48" t="s">
        <v>758</v>
      </c>
      <c r="E48" t="s">
        <v>936</v>
      </c>
      <c r="F48">
        <v>110</v>
      </c>
      <c r="G48" t="s">
        <v>823</v>
      </c>
      <c r="H48" t="s">
        <v>811</v>
      </c>
      <c r="I48" t="s">
        <v>804</v>
      </c>
      <c r="J48" t="s">
        <v>939</v>
      </c>
      <c r="K48" t="s">
        <v>227</v>
      </c>
      <c r="L48" t="s">
        <v>198</v>
      </c>
      <c r="M48" t="s">
        <v>198</v>
      </c>
      <c r="N48" t="s">
        <v>199</v>
      </c>
      <c r="O48" t="s">
        <v>200</v>
      </c>
      <c r="P48" t="s">
        <v>198</v>
      </c>
      <c r="Q48">
        <v>140</v>
      </c>
      <c r="R48">
        <v>140</v>
      </c>
      <c r="S48">
        <v>0.91749999999999998</v>
      </c>
      <c r="T48">
        <v>0.90720000000000001</v>
      </c>
      <c r="U48">
        <v>0.8972</v>
      </c>
      <c r="V48">
        <v>0.90369999999999995</v>
      </c>
      <c r="W48">
        <v>0.89129999999999998</v>
      </c>
      <c r="X48">
        <v>0.89439999999999997</v>
      </c>
      <c r="Y48">
        <v>0.91200000000000003</v>
      </c>
      <c r="Z48">
        <v>0.90249999999999997</v>
      </c>
      <c r="AA48">
        <v>0.8952</v>
      </c>
      <c r="AB48">
        <v>0.88919999999999999</v>
      </c>
    </row>
    <row r="49" spans="1:28">
      <c r="A49" t="s">
        <v>33</v>
      </c>
      <c r="B49" t="s">
        <v>940</v>
      </c>
      <c r="C49" t="s">
        <v>941</v>
      </c>
      <c r="D49" t="s">
        <v>699</v>
      </c>
      <c r="E49" t="s">
        <v>942</v>
      </c>
      <c r="F49">
        <v>220</v>
      </c>
      <c r="G49" t="s">
        <v>810</v>
      </c>
      <c r="H49" t="s">
        <v>811</v>
      </c>
      <c r="I49" t="s">
        <v>812</v>
      </c>
      <c r="J49" t="s">
        <v>944</v>
      </c>
      <c r="K49" t="s">
        <v>227</v>
      </c>
      <c r="L49" t="s">
        <v>170</v>
      </c>
      <c r="M49" t="s">
        <v>171</v>
      </c>
      <c r="N49" t="s">
        <v>172</v>
      </c>
      <c r="O49" t="s">
        <v>216</v>
      </c>
      <c r="P49" t="s">
        <v>170</v>
      </c>
      <c r="Q49">
        <v>208</v>
      </c>
      <c r="R49">
        <v>208</v>
      </c>
      <c r="S49">
        <v>0.99929999999999997</v>
      </c>
      <c r="T49">
        <v>0.99880000000000002</v>
      </c>
      <c r="U49">
        <v>0.99890000000000001</v>
      </c>
      <c r="V49">
        <v>0.99909999999999999</v>
      </c>
      <c r="W49">
        <v>0.999</v>
      </c>
      <c r="X49">
        <v>0.99960000000000004</v>
      </c>
      <c r="Y49">
        <v>1</v>
      </c>
      <c r="Z49">
        <v>1</v>
      </c>
      <c r="AA49">
        <v>0.99990000000000001</v>
      </c>
      <c r="AB49">
        <v>1</v>
      </c>
    </row>
    <row r="50" spans="1:28">
      <c r="A50" t="s">
        <v>34</v>
      </c>
      <c r="B50" t="s">
        <v>945</v>
      </c>
      <c r="C50" t="s">
        <v>941</v>
      </c>
      <c r="D50" t="s">
        <v>701</v>
      </c>
      <c r="E50" t="s">
        <v>946</v>
      </c>
      <c r="F50">
        <v>110</v>
      </c>
      <c r="G50" t="s">
        <v>830</v>
      </c>
      <c r="H50" t="s">
        <v>811</v>
      </c>
      <c r="I50" t="s">
        <v>812</v>
      </c>
      <c r="J50" t="s">
        <v>944</v>
      </c>
      <c r="K50" t="s">
        <v>227</v>
      </c>
      <c r="L50" t="s">
        <v>170</v>
      </c>
      <c r="M50" t="s">
        <v>171</v>
      </c>
      <c r="N50" t="s">
        <v>172</v>
      </c>
      <c r="O50" t="s">
        <v>185</v>
      </c>
      <c r="P50" t="s">
        <v>170</v>
      </c>
      <c r="Q50">
        <v>58</v>
      </c>
      <c r="R50">
        <v>58</v>
      </c>
      <c r="S50">
        <v>0.99960000000000004</v>
      </c>
      <c r="T50">
        <v>0.99790000000000001</v>
      </c>
      <c r="U50">
        <v>0.99939999999999996</v>
      </c>
      <c r="V50">
        <v>0.99990000000000001</v>
      </c>
      <c r="W50">
        <v>0.99990000000000001</v>
      </c>
      <c r="X50">
        <v>0.99950000000000006</v>
      </c>
      <c r="Y50">
        <v>1.0001</v>
      </c>
      <c r="Z50">
        <v>1.0001</v>
      </c>
      <c r="AA50">
        <v>1.0003</v>
      </c>
      <c r="AB50">
        <v>0.99939999999999996</v>
      </c>
    </row>
    <row r="51" spans="1:28">
      <c r="A51" t="s">
        <v>35</v>
      </c>
      <c r="B51" t="s">
        <v>945</v>
      </c>
      <c r="C51" t="s">
        <v>941</v>
      </c>
      <c r="D51" t="s">
        <v>232</v>
      </c>
      <c r="E51" t="s">
        <v>948</v>
      </c>
      <c r="F51">
        <v>110</v>
      </c>
      <c r="G51" t="s">
        <v>830</v>
      </c>
      <c r="H51" t="s">
        <v>811</v>
      </c>
      <c r="I51" t="s">
        <v>812</v>
      </c>
      <c r="J51" t="s">
        <v>950</v>
      </c>
      <c r="K51" t="s">
        <v>227</v>
      </c>
      <c r="L51" t="s">
        <v>170</v>
      </c>
      <c r="M51" t="s">
        <v>171</v>
      </c>
      <c r="N51" t="s">
        <v>172</v>
      </c>
      <c r="O51" t="s">
        <v>185</v>
      </c>
      <c r="P51" t="s">
        <v>170</v>
      </c>
      <c r="Q51">
        <v>35</v>
      </c>
      <c r="R51">
        <v>49</v>
      </c>
      <c r="S51">
        <v>0.99960000000000004</v>
      </c>
      <c r="T51">
        <v>0.99790000000000001</v>
      </c>
      <c r="U51">
        <v>0.99939999999999996</v>
      </c>
      <c r="V51">
        <v>0.99990000000000001</v>
      </c>
      <c r="W51">
        <v>0.99990000000000001</v>
      </c>
      <c r="X51">
        <v>0.99950000000000006</v>
      </c>
      <c r="Y51">
        <v>1.0001</v>
      </c>
      <c r="Z51">
        <v>1.0001</v>
      </c>
      <c r="AA51">
        <v>1.0003</v>
      </c>
      <c r="AB51">
        <v>0.99939999999999996</v>
      </c>
    </row>
    <row r="52" spans="1:28">
      <c r="A52" t="s">
        <v>35</v>
      </c>
      <c r="B52" t="s">
        <v>945</v>
      </c>
      <c r="C52" t="s">
        <v>941</v>
      </c>
      <c r="D52" t="s">
        <v>234</v>
      </c>
      <c r="E52" t="s">
        <v>951</v>
      </c>
      <c r="F52">
        <v>110</v>
      </c>
      <c r="G52" t="s">
        <v>830</v>
      </c>
      <c r="H52" t="s">
        <v>811</v>
      </c>
      <c r="I52" t="s">
        <v>812</v>
      </c>
      <c r="J52" t="s">
        <v>950</v>
      </c>
      <c r="K52" t="s">
        <v>227</v>
      </c>
      <c r="L52" t="s">
        <v>170</v>
      </c>
      <c r="M52" t="s">
        <v>171</v>
      </c>
      <c r="N52" t="s">
        <v>172</v>
      </c>
      <c r="O52" t="s">
        <v>185</v>
      </c>
      <c r="P52" t="s">
        <v>170</v>
      </c>
      <c r="Q52">
        <v>35</v>
      </c>
      <c r="R52">
        <v>49</v>
      </c>
      <c r="S52">
        <v>0.99960000000000004</v>
      </c>
      <c r="T52">
        <v>0.99790000000000001</v>
      </c>
      <c r="U52">
        <v>0.99939999999999996</v>
      </c>
      <c r="V52">
        <v>0.99990000000000001</v>
      </c>
      <c r="W52">
        <v>0.99990000000000001</v>
      </c>
      <c r="X52">
        <v>0.99950000000000006</v>
      </c>
      <c r="Y52">
        <v>1.0001</v>
      </c>
      <c r="Z52">
        <v>1.0001</v>
      </c>
      <c r="AA52">
        <v>1.0003</v>
      </c>
      <c r="AB52">
        <v>0.99939999999999996</v>
      </c>
    </row>
    <row r="53" spans="1:28">
      <c r="A53" t="s">
        <v>35</v>
      </c>
      <c r="B53" t="s">
        <v>945</v>
      </c>
      <c r="C53" t="s">
        <v>941</v>
      </c>
      <c r="D53" t="s">
        <v>235</v>
      </c>
      <c r="E53" t="s">
        <v>952</v>
      </c>
      <c r="F53">
        <v>110</v>
      </c>
      <c r="G53" t="s">
        <v>830</v>
      </c>
      <c r="H53" t="s">
        <v>811</v>
      </c>
      <c r="I53" t="s">
        <v>812</v>
      </c>
      <c r="J53" t="s">
        <v>950</v>
      </c>
      <c r="K53" t="s">
        <v>227</v>
      </c>
      <c r="L53" t="s">
        <v>170</v>
      </c>
      <c r="M53" t="s">
        <v>171</v>
      </c>
      <c r="N53" t="s">
        <v>172</v>
      </c>
      <c r="O53" t="s">
        <v>185</v>
      </c>
      <c r="P53" t="s">
        <v>170</v>
      </c>
      <c r="Q53">
        <v>35</v>
      </c>
      <c r="R53">
        <v>49</v>
      </c>
      <c r="S53">
        <v>0.99960000000000004</v>
      </c>
      <c r="T53">
        <v>0.99790000000000001</v>
      </c>
      <c r="U53">
        <v>0.99939999999999996</v>
      </c>
      <c r="V53">
        <v>0.99990000000000001</v>
      </c>
      <c r="W53">
        <v>0.99990000000000001</v>
      </c>
      <c r="X53">
        <v>0.99950000000000006</v>
      </c>
      <c r="Y53">
        <v>1.0001</v>
      </c>
      <c r="Z53">
        <v>1.0001</v>
      </c>
      <c r="AA53">
        <v>1.0003</v>
      </c>
      <c r="AB53">
        <v>0.99939999999999996</v>
      </c>
    </row>
    <row r="54" spans="1:28">
      <c r="A54" t="s">
        <v>36</v>
      </c>
      <c r="B54" t="s">
        <v>953</v>
      </c>
      <c r="C54" t="s">
        <v>935</v>
      </c>
      <c r="D54" t="s">
        <v>543</v>
      </c>
      <c r="E54" t="s">
        <v>954</v>
      </c>
      <c r="F54">
        <v>110</v>
      </c>
      <c r="G54" t="s">
        <v>810</v>
      </c>
      <c r="H54" t="s">
        <v>811</v>
      </c>
      <c r="I54" t="s">
        <v>841</v>
      </c>
      <c r="J54" t="s">
        <v>956</v>
      </c>
      <c r="K54" t="s">
        <v>227</v>
      </c>
      <c r="L54" t="s">
        <v>198</v>
      </c>
      <c r="M54" t="s">
        <v>198</v>
      </c>
      <c r="N54" t="s">
        <v>199</v>
      </c>
      <c r="O54" t="s">
        <v>200</v>
      </c>
      <c r="P54" t="s">
        <v>198</v>
      </c>
      <c r="Q54">
        <v>168</v>
      </c>
      <c r="R54">
        <v>168</v>
      </c>
      <c r="U54">
        <v>0.91300000000000003</v>
      </c>
      <c r="V54">
        <v>0.92030000000000001</v>
      </c>
      <c r="W54">
        <v>0.89570000000000005</v>
      </c>
      <c r="X54">
        <v>0.90390000000000004</v>
      </c>
      <c r="Y54">
        <v>0.91930000000000001</v>
      </c>
      <c r="Z54">
        <v>0.9133</v>
      </c>
      <c r="AA54">
        <v>0.91049999999999998</v>
      </c>
      <c r="AB54">
        <v>0.90949999999999998</v>
      </c>
    </row>
    <row r="55" spans="1:28">
      <c r="A55" t="s">
        <v>37</v>
      </c>
      <c r="B55" t="s">
        <v>345</v>
      </c>
      <c r="C55" t="s">
        <v>935</v>
      </c>
      <c r="D55" t="s">
        <v>345</v>
      </c>
      <c r="E55" t="s">
        <v>957</v>
      </c>
      <c r="F55">
        <v>110</v>
      </c>
      <c r="G55" t="s">
        <v>810</v>
      </c>
      <c r="H55" t="s">
        <v>811</v>
      </c>
      <c r="I55" t="s">
        <v>812</v>
      </c>
      <c r="J55" t="s">
        <v>961</v>
      </c>
      <c r="K55" t="s">
        <v>227</v>
      </c>
      <c r="L55" t="s">
        <v>210</v>
      </c>
      <c r="M55" t="s">
        <v>211</v>
      </c>
      <c r="N55" t="s">
        <v>199</v>
      </c>
      <c r="O55" t="s">
        <v>212</v>
      </c>
      <c r="P55" t="s">
        <v>210</v>
      </c>
      <c r="Q55">
        <v>60</v>
      </c>
      <c r="R55">
        <v>65</v>
      </c>
      <c r="S55">
        <v>0.98040000000000005</v>
      </c>
      <c r="T55">
        <v>0.97350000000000003</v>
      </c>
      <c r="U55">
        <v>0.97150000000000003</v>
      </c>
      <c r="V55">
        <v>0.97099999999999997</v>
      </c>
      <c r="W55">
        <v>0.96389999999999998</v>
      </c>
      <c r="X55">
        <v>0.97189999999999999</v>
      </c>
      <c r="Y55">
        <v>0.97</v>
      </c>
      <c r="Z55">
        <v>0.97030000000000005</v>
      </c>
      <c r="AA55">
        <v>0.96919999999999995</v>
      </c>
      <c r="AB55">
        <v>0.96870000000000001</v>
      </c>
    </row>
    <row r="56" spans="1:28">
      <c r="A56" t="s">
        <v>38</v>
      </c>
      <c r="B56" t="s">
        <v>563</v>
      </c>
      <c r="C56" t="s">
        <v>935</v>
      </c>
      <c r="D56" t="s">
        <v>563</v>
      </c>
      <c r="E56" t="s">
        <v>962</v>
      </c>
      <c r="F56">
        <v>110</v>
      </c>
      <c r="G56" t="s">
        <v>823</v>
      </c>
      <c r="H56" t="s">
        <v>811</v>
      </c>
      <c r="I56" t="s">
        <v>804</v>
      </c>
      <c r="J56" t="s">
        <v>964</v>
      </c>
      <c r="K56" t="s">
        <v>227</v>
      </c>
      <c r="L56" t="s">
        <v>210</v>
      </c>
      <c r="M56" t="s">
        <v>211</v>
      </c>
      <c r="N56" t="s">
        <v>199</v>
      </c>
      <c r="O56" t="s">
        <v>212</v>
      </c>
      <c r="P56" t="s">
        <v>210</v>
      </c>
      <c r="Q56">
        <v>28</v>
      </c>
      <c r="R56">
        <v>33</v>
      </c>
      <c r="S56">
        <v>0.98350000000000004</v>
      </c>
      <c r="T56">
        <v>0.97519999999999996</v>
      </c>
      <c r="U56">
        <v>0.97360000000000002</v>
      </c>
      <c r="V56">
        <v>0.97319999999999995</v>
      </c>
      <c r="W56">
        <v>0.9657</v>
      </c>
      <c r="X56">
        <v>0.98299999999999998</v>
      </c>
      <c r="Y56">
        <v>0.97540000000000004</v>
      </c>
      <c r="Z56">
        <v>0.96679999999999999</v>
      </c>
      <c r="AA56">
        <v>0.97709999999999997</v>
      </c>
      <c r="AB56">
        <v>0.96909999999999996</v>
      </c>
    </row>
    <row r="57" spans="1:28">
      <c r="A57" t="s">
        <v>39</v>
      </c>
      <c r="B57" t="s">
        <v>692</v>
      </c>
      <c r="C57" t="s">
        <v>935</v>
      </c>
      <c r="D57" t="s">
        <v>692</v>
      </c>
      <c r="E57" t="s">
        <v>965</v>
      </c>
      <c r="F57">
        <v>110</v>
      </c>
      <c r="G57" t="s">
        <v>810</v>
      </c>
      <c r="H57" t="s">
        <v>811</v>
      </c>
      <c r="I57" t="s">
        <v>812</v>
      </c>
      <c r="J57" t="s">
        <v>967</v>
      </c>
      <c r="K57" t="s">
        <v>227</v>
      </c>
      <c r="L57" t="s">
        <v>210</v>
      </c>
      <c r="M57" t="s">
        <v>211</v>
      </c>
      <c r="N57" t="s">
        <v>199</v>
      </c>
      <c r="O57" t="s">
        <v>212</v>
      </c>
      <c r="P57" t="s">
        <v>210</v>
      </c>
      <c r="Q57">
        <v>80</v>
      </c>
      <c r="R57">
        <v>103</v>
      </c>
      <c r="S57">
        <v>1.0097</v>
      </c>
      <c r="T57">
        <v>1.0096000000000001</v>
      </c>
      <c r="U57">
        <v>0.99739999999999995</v>
      </c>
      <c r="V57">
        <v>0.99009999999999998</v>
      </c>
      <c r="W57">
        <v>0.97450000000000003</v>
      </c>
      <c r="X57">
        <v>0.98570000000000002</v>
      </c>
      <c r="Y57">
        <v>0.99270000000000003</v>
      </c>
      <c r="Z57">
        <v>0.98980000000000001</v>
      </c>
      <c r="AA57">
        <v>0.9909</v>
      </c>
      <c r="AB57">
        <v>0.98970000000000002</v>
      </c>
    </row>
    <row r="58" spans="1:28">
      <c r="A58" t="s">
        <v>40</v>
      </c>
      <c r="B58" t="s">
        <v>304</v>
      </c>
      <c r="C58" t="s">
        <v>935</v>
      </c>
      <c r="D58" t="s">
        <v>304</v>
      </c>
      <c r="E58" t="s">
        <v>968</v>
      </c>
      <c r="F58">
        <v>220</v>
      </c>
      <c r="G58" t="s">
        <v>810</v>
      </c>
      <c r="H58" t="s">
        <v>811</v>
      </c>
      <c r="I58" t="s">
        <v>812</v>
      </c>
      <c r="J58" t="s">
        <v>970</v>
      </c>
      <c r="K58" t="s">
        <v>227</v>
      </c>
      <c r="L58" t="s">
        <v>210</v>
      </c>
      <c r="M58" t="s">
        <v>211</v>
      </c>
      <c r="N58" t="s">
        <v>199</v>
      </c>
      <c r="O58" t="s">
        <v>212</v>
      </c>
      <c r="P58" t="s">
        <v>210</v>
      </c>
      <c r="Q58">
        <v>85</v>
      </c>
      <c r="R58">
        <v>100</v>
      </c>
      <c r="S58">
        <v>0.97670000000000001</v>
      </c>
      <c r="T58">
        <v>0.9698</v>
      </c>
      <c r="U58">
        <v>0.96679999999999999</v>
      </c>
      <c r="V58">
        <v>0.96760000000000002</v>
      </c>
      <c r="W58">
        <v>0.95930000000000004</v>
      </c>
      <c r="X58">
        <v>0.96709999999999996</v>
      </c>
      <c r="Y58">
        <v>0.97230000000000005</v>
      </c>
      <c r="Z58">
        <v>0.96299999999999997</v>
      </c>
      <c r="AA58">
        <v>0.96279999999999999</v>
      </c>
      <c r="AB58">
        <v>0.96489999999999998</v>
      </c>
    </row>
    <row r="59" spans="1:28">
      <c r="A59" t="s">
        <v>41</v>
      </c>
      <c r="B59" t="s">
        <v>465</v>
      </c>
      <c r="C59" t="s">
        <v>935</v>
      </c>
      <c r="D59" t="s">
        <v>465</v>
      </c>
      <c r="E59" t="s">
        <v>971</v>
      </c>
      <c r="F59">
        <v>220</v>
      </c>
      <c r="G59" t="s">
        <v>810</v>
      </c>
      <c r="H59" t="s">
        <v>811</v>
      </c>
      <c r="I59" t="s">
        <v>812</v>
      </c>
      <c r="J59" t="s">
        <v>973</v>
      </c>
      <c r="K59" t="s">
        <v>227</v>
      </c>
      <c r="L59" t="s">
        <v>210</v>
      </c>
      <c r="M59" t="s">
        <v>211</v>
      </c>
      <c r="N59" t="s">
        <v>199</v>
      </c>
      <c r="O59" t="s">
        <v>212</v>
      </c>
      <c r="P59" t="s">
        <v>210</v>
      </c>
      <c r="Q59">
        <v>81.599999999999994</v>
      </c>
      <c r="R59">
        <v>86</v>
      </c>
      <c r="S59">
        <v>0.98299999999999998</v>
      </c>
      <c r="T59">
        <v>0.9768</v>
      </c>
      <c r="U59">
        <v>0.97460000000000002</v>
      </c>
      <c r="V59">
        <v>0.97519999999999996</v>
      </c>
      <c r="W59">
        <v>0.96830000000000005</v>
      </c>
      <c r="X59">
        <v>0.97460000000000002</v>
      </c>
      <c r="Y59">
        <v>0.97489999999999999</v>
      </c>
      <c r="Z59">
        <v>0.97109999999999996</v>
      </c>
      <c r="AA59">
        <v>0.97009999999999996</v>
      </c>
      <c r="AB59">
        <v>0.96860000000000002</v>
      </c>
    </row>
    <row r="60" spans="1:28">
      <c r="A60" t="s">
        <v>42</v>
      </c>
      <c r="B60" t="s">
        <v>974</v>
      </c>
      <c r="C60" t="s">
        <v>935</v>
      </c>
      <c r="D60" t="s">
        <v>598</v>
      </c>
      <c r="E60" t="s">
        <v>975</v>
      </c>
      <c r="F60">
        <v>220</v>
      </c>
      <c r="G60" t="s">
        <v>810</v>
      </c>
      <c r="H60" t="s">
        <v>811</v>
      </c>
      <c r="I60" t="s">
        <v>812</v>
      </c>
      <c r="J60" t="s">
        <v>977</v>
      </c>
      <c r="K60" t="s">
        <v>227</v>
      </c>
      <c r="L60" t="s">
        <v>210</v>
      </c>
      <c r="M60" t="s">
        <v>211</v>
      </c>
      <c r="N60" t="s">
        <v>199</v>
      </c>
      <c r="O60" t="s">
        <v>212</v>
      </c>
      <c r="P60" t="s">
        <v>210</v>
      </c>
      <c r="Q60">
        <v>115.6</v>
      </c>
      <c r="R60">
        <v>119</v>
      </c>
      <c r="S60">
        <v>0.95499999999999996</v>
      </c>
      <c r="T60">
        <v>0.94510000000000005</v>
      </c>
      <c r="U60">
        <v>0.93479999999999996</v>
      </c>
      <c r="V60">
        <v>0.94</v>
      </c>
      <c r="W60">
        <v>0.93149999999999999</v>
      </c>
      <c r="X60">
        <v>0.9425</v>
      </c>
      <c r="Y60">
        <v>0.94130000000000003</v>
      </c>
      <c r="Z60">
        <v>0.93989999999999996</v>
      </c>
      <c r="AA60">
        <v>0.93500000000000005</v>
      </c>
      <c r="AB60">
        <v>0.92959999999999998</v>
      </c>
    </row>
    <row r="61" spans="1:28">
      <c r="A61" t="s">
        <v>42</v>
      </c>
      <c r="B61" t="s">
        <v>974</v>
      </c>
      <c r="C61" t="s">
        <v>935</v>
      </c>
      <c r="D61" t="s">
        <v>600</v>
      </c>
      <c r="E61" t="s">
        <v>978</v>
      </c>
      <c r="F61">
        <v>220</v>
      </c>
      <c r="G61" t="s">
        <v>810</v>
      </c>
      <c r="H61" t="s">
        <v>811</v>
      </c>
      <c r="I61" t="s">
        <v>812</v>
      </c>
      <c r="J61" t="s">
        <v>977</v>
      </c>
      <c r="K61" t="s">
        <v>227</v>
      </c>
      <c r="L61" t="s">
        <v>210</v>
      </c>
      <c r="M61" t="s">
        <v>211</v>
      </c>
      <c r="N61" t="s">
        <v>199</v>
      </c>
      <c r="O61" t="s">
        <v>212</v>
      </c>
      <c r="P61" t="s">
        <v>210</v>
      </c>
      <c r="Q61">
        <v>115.6</v>
      </c>
      <c r="R61">
        <v>119</v>
      </c>
      <c r="S61">
        <v>0.95389999999999997</v>
      </c>
      <c r="T61">
        <v>0.93959999999999999</v>
      </c>
      <c r="U61">
        <v>0.9365</v>
      </c>
      <c r="V61">
        <v>0.93759999999999999</v>
      </c>
      <c r="W61">
        <v>0.93189999999999995</v>
      </c>
      <c r="X61">
        <v>0.94259999999999999</v>
      </c>
      <c r="Y61">
        <v>0.93899999999999995</v>
      </c>
      <c r="Z61">
        <v>0.94020000000000004</v>
      </c>
      <c r="AA61">
        <v>0.9264</v>
      </c>
      <c r="AB61">
        <v>0.93059999999999998</v>
      </c>
    </row>
    <row r="62" spans="1:28">
      <c r="A62" t="s">
        <v>43</v>
      </c>
      <c r="B62" t="s">
        <v>465</v>
      </c>
      <c r="C62" t="s">
        <v>935</v>
      </c>
      <c r="D62" t="s">
        <v>465</v>
      </c>
      <c r="E62" t="s">
        <v>971</v>
      </c>
      <c r="F62">
        <v>220</v>
      </c>
      <c r="G62" t="s">
        <v>810</v>
      </c>
      <c r="H62" t="s">
        <v>811</v>
      </c>
      <c r="I62" t="s">
        <v>812</v>
      </c>
      <c r="J62" t="s">
        <v>979</v>
      </c>
      <c r="K62" t="s">
        <v>227</v>
      </c>
      <c r="L62" t="s">
        <v>210</v>
      </c>
      <c r="M62" t="s">
        <v>211</v>
      </c>
      <c r="N62" t="s">
        <v>199</v>
      </c>
      <c r="O62" t="s">
        <v>212</v>
      </c>
      <c r="P62" t="s">
        <v>210</v>
      </c>
      <c r="Q62">
        <v>81.599999999999994</v>
      </c>
      <c r="R62">
        <v>86</v>
      </c>
      <c r="S62">
        <v>0.98299999999999998</v>
      </c>
      <c r="T62">
        <v>0.9768</v>
      </c>
      <c r="U62">
        <v>0.97460000000000002</v>
      </c>
      <c r="V62">
        <v>0.97519999999999996</v>
      </c>
      <c r="W62">
        <v>0.96830000000000005</v>
      </c>
      <c r="X62">
        <v>0.97460000000000002</v>
      </c>
      <c r="Y62">
        <v>0.97489999999999999</v>
      </c>
      <c r="Z62">
        <v>0.97109999999999996</v>
      </c>
      <c r="AA62">
        <v>0.97009999999999996</v>
      </c>
      <c r="AB62">
        <v>0.96860000000000002</v>
      </c>
    </row>
    <row r="63" spans="1:28">
      <c r="A63" t="s">
        <v>44</v>
      </c>
      <c r="B63" t="s">
        <v>366</v>
      </c>
      <c r="C63" t="s">
        <v>935</v>
      </c>
      <c r="D63" t="s">
        <v>366</v>
      </c>
      <c r="E63" t="s">
        <v>980</v>
      </c>
      <c r="F63">
        <v>220</v>
      </c>
      <c r="G63" t="s">
        <v>810</v>
      </c>
      <c r="H63" t="s">
        <v>811</v>
      </c>
      <c r="I63" t="s">
        <v>812</v>
      </c>
      <c r="J63" t="s">
        <v>982</v>
      </c>
      <c r="K63" t="s">
        <v>227</v>
      </c>
      <c r="L63" t="s">
        <v>210</v>
      </c>
      <c r="M63" t="s">
        <v>211</v>
      </c>
      <c r="N63" t="s">
        <v>199</v>
      </c>
      <c r="O63" t="s">
        <v>212</v>
      </c>
      <c r="P63" t="s">
        <v>210</v>
      </c>
      <c r="Q63">
        <v>43.2</v>
      </c>
      <c r="R63">
        <v>46</v>
      </c>
      <c r="S63">
        <v>0.97950000000000004</v>
      </c>
      <c r="T63">
        <v>0.97350000000000003</v>
      </c>
      <c r="U63">
        <v>0.97170000000000001</v>
      </c>
      <c r="V63">
        <v>0.97289999999999999</v>
      </c>
      <c r="W63">
        <v>0.96450000000000002</v>
      </c>
      <c r="X63">
        <v>0.97009999999999996</v>
      </c>
      <c r="Y63">
        <v>0.97550000000000003</v>
      </c>
      <c r="Z63">
        <v>0.96709999999999996</v>
      </c>
      <c r="AA63">
        <v>0.96599999999999997</v>
      </c>
      <c r="AB63">
        <v>0.96779999999999999</v>
      </c>
    </row>
    <row r="64" spans="1:28">
      <c r="A64" t="s">
        <v>45</v>
      </c>
      <c r="B64" t="s">
        <v>610</v>
      </c>
      <c r="C64" t="s">
        <v>935</v>
      </c>
      <c r="D64" t="s">
        <v>610</v>
      </c>
      <c r="E64" t="s">
        <v>983</v>
      </c>
      <c r="F64">
        <v>220</v>
      </c>
      <c r="G64" t="s">
        <v>823</v>
      </c>
      <c r="H64" t="s">
        <v>811</v>
      </c>
      <c r="I64" t="s">
        <v>804</v>
      </c>
      <c r="J64" t="s">
        <v>985</v>
      </c>
      <c r="K64" t="s">
        <v>227</v>
      </c>
      <c r="L64" t="s">
        <v>210</v>
      </c>
      <c r="M64" t="s">
        <v>211</v>
      </c>
      <c r="N64" t="s">
        <v>199</v>
      </c>
      <c r="O64" t="s">
        <v>212</v>
      </c>
      <c r="P64" t="s">
        <v>210</v>
      </c>
      <c r="Q64">
        <v>10.5</v>
      </c>
      <c r="R64">
        <v>11</v>
      </c>
      <c r="S64">
        <v>0.97950000000000004</v>
      </c>
      <c r="T64">
        <v>0.97350000000000003</v>
      </c>
      <c r="U64">
        <v>0.97170000000000001</v>
      </c>
      <c r="V64">
        <v>0.97289999999999999</v>
      </c>
      <c r="W64">
        <v>0.96450000000000002</v>
      </c>
      <c r="X64">
        <v>0.97009999999999996</v>
      </c>
      <c r="Y64">
        <v>0.97550000000000003</v>
      </c>
      <c r="Z64">
        <v>0.96709999999999996</v>
      </c>
      <c r="AA64">
        <v>0.96599999999999997</v>
      </c>
      <c r="AB64">
        <v>0.96779999999999999</v>
      </c>
    </row>
    <row r="65" spans="1:28">
      <c r="A65" t="s">
        <v>46</v>
      </c>
      <c r="B65" t="s">
        <v>497</v>
      </c>
      <c r="C65" t="s">
        <v>935</v>
      </c>
      <c r="D65" t="s">
        <v>497</v>
      </c>
      <c r="E65" t="s">
        <v>986</v>
      </c>
      <c r="F65">
        <v>110</v>
      </c>
      <c r="G65" t="s">
        <v>810</v>
      </c>
      <c r="H65" t="s">
        <v>811</v>
      </c>
      <c r="I65" t="s">
        <v>812</v>
      </c>
      <c r="J65" t="s">
        <v>988</v>
      </c>
      <c r="K65" t="s">
        <v>227</v>
      </c>
      <c r="L65" t="s">
        <v>210</v>
      </c>
      <c r="M65" t="s">
        <v>211</v>
      </c>
      <c r="N65" t="s">
        <v>199</v>
      </c>
      <c r="O65" t="s">
        <v>212</v>
      </c>
      <c r="P65" t="s">
        <v>210</v>
      </c>
      <c r="Q65">
        <v>79.900000000000006</v>
      </c>
      <c r="R65">
        <v>89</v>
      </c>
      <c r="S65">
        <v>0.95189999999999997</v>
      </c>
      <c r="T65">
        <v>0.94099999999999995</v>
      </c>
      <c r="U65">
        <v>0.92700000000000005</v>
      </c>
      <c r="V65">
        <v>0.93700000000000006</v>
      </c>
      <c r="W65">
        <v>0.92959999999999998</v>
      </c>
      <c r="X65">
        <v>0.93810000000000004</v>
      </c>
      <c r="Y65">
        <v>0.93669999999999998</v>
      </c>
      <c r="Z65">
        <v>0.94020000000000004</v>
      </c>
      <c r="AA65">
        <v>0.92820000000000003</v>
      </c>
      <c r="AB65">
        <v>0.93330000000000002</v>
      </c>
    </row>
    <row r="66" spans="1:28">
      <c r="A66" t="s">
        <v>47</v>
      </c>
      <c r="B66" t="s">
        <v>225</v>
      </c>
      <c r="C66" t="s">
        <v>935</v>
      </c>
      <c r="D66" t="s">
        <v>225</v>
      </c>
      <c r="E66" t="s">
        <v>989</v>
      </c>
      <c r="F66">
        <v>220</v>
      </c>
      <c r="G66" t="s">
        <v>810</v>
      </c>
      <c r="H66" t="s">
        <v>811</v>
      </c>
      <c r="I66" t="s">
        <v>812</v>
      </c>
      <c r="J66" t="s">
        <v>991</v>
      </c>
      <c r="K66" t="s">
        <v>227</v>
      </c>
      <c r="L66" t="s">
        <v>210</v>
      </c>
      <c r="M66" t="s">
        <v>211</v>
      </c>
      <c r="N66" t="s">
        <v>199</v>
      </c>
      <c r="O66" t="s">
        <v>212</v>
      </c>
      <c r="P66" t="s">
        <v>210</v>
      </c>
      <c r="Q66">
        <v>79.900000000000006</v>
      </c>
      <c r="R66">
        <v>88</v>
      </c>
      <c r="S66">
        <v>0.96179999999999999</v>
      </c>
      <c r="T66">
        <v>0.9516</v>
      </c>
      <c r="U66">
        <v>0.94359999999999999</v>
      </c>
      <c r="V66">
        <v>0.94779999999999998</v>
      </c>
      <c r="W66">
        <v>0.93959999999999999</v>
      </c>
      <c r="X66">
        <v>0.9466</v>
      </c>
      <c r="Y66">
        <v>0.9496</v>
      </c>
      <c r="Z66">
        <v>0.9486</v>
      </c>
      <c r="AA66">
        <v>0.94099999999999995</v>
      </c>
      <c r="AB66">
        <v>0.94350000000000001</v>
      </c>
    </row>
    <row r="67" spans="1:28">
      <c r="A67" t="s">
        <v>48</v>
      </c>
      <c r="B67" t="s">
        <v>694</v>
      </c>
      <c r="C67" t="s">
        <v>935</v>
      </c>
      <c r="D67" t="s">
        <v>694</v>
      </c>
      <c r="E67" t="s">
        <v>992</v>
      </c>
      <c r="F67">
        <v>220</v>
      </c>
      <c r="G67" t="s">
        <v>810</v>
      </c>
      <c r="H67" t="s">
        <v>811</v>
      </c>
      <c r="I67" t="s">
        <v>812</v>
      </c>
      <c r="J67" t="s">
        <v>993</v>
      </c>
      <c r="K67" t="s">
        <v>227</v>
      </c>
      <c r="L67" t="s">
        <v>210</v>
      </c>
      <c r="M67" t="s">
        <v>211</v>
      </c>
      <c r="N67" t="s">
        <v>199</v>
      </c>
      <c r="O67" t="s">
        <v>212</v>
      </c>
      <c r="P67" t="s">
        <v>210</v>
      </c>
      <c r="Q67">
        <v>82.8</v>
      </c>
      <c r="R67">
        <v>92</v>
      </c>
      <c r="S67">
        <v>0.95640000000000003</v>
      </c>
      <c r="T67">
        <v>0.93910000000000005</v>
      </c>
      <c r="U67">
        <v>0.93779999999999997</v>
      </c>
      <c r="V67">
        <v>0.93969999999999998</v>
      </c>
      <c r="W67">
        <v>0.93389999999999995</v>
      </c>
      <c r="X67">
        <v>0.94210000000000005</v>
      </c>
      <c r="Y67">
        <v>0.94369999999999998</v>
      </c>
      <c r="Z67">
        <v>0.9466</v>
      </c>
      <c r="AA67">
        <v>0.93769999999999998</v>
      </c>
      <c r="AB67">
        <v>0.93720000000000003</v>
      </c>
    </row>
    <row r="68" spans="1:28">
      <c r="A68" t="s">
        <v>49</v>
      </c>
      <c r="B68" t="s">
        <v>994</v>
      </c>
      <c r="C68" t="s">
        <v>935</v>
      </c>
      <c r="D68" t="s">
        <v>571</v>
      </c>
      <c r="E68" t="s">
        <v>995</v>
      </c>
      <c r="F68">
        <v>110</v>
      </c>
      <c r="G68" t="s">
        <v>810</v>
      </c>
      <c r="H68" t="s">
        <v>811</v>
      </c>
      <c r="I68" t="s">
        <v>812</v>
      </c>
      <c r="J68" t="s">
        <v>997</v>
      </c>
      <c r="K68" t="s">
        <v>227</v>
      </c>
      <c r="L68" t="s">
        <v>210</v>
      </c>
      <c r="M68" t="s">
        <v>211</v>
      </c>
      <c r="N68" t="s">
        <v>199</v>
      </c>
      <c r="O68" t="s">
        <v>212</v>
      </c>
      <c r="P68" t="s">
        <v>210</v>
      </c>
      <c r="Q68">
        <v>100</v>
      </c>
      <c r="R68">
        <v>124</v>
      </c>
      <c r="S68">
        <v>0.99119999999999997</v>
      </c>
      <c r="T68">
        <v>0.99619999999999997</v>
      </c>
      <c r="U68">
        <v>0.9758</v>
      </c>
      <c r="V68">
        <v>0.97770000000000001</v>
      </c>
      <c r="W68">
        <v>0.95709999999999995</v>
      </c>
      <c r="X68">
        <v>0.96299999999999997</v>
      </c>
      <c r="Y68">
        <v>0.98240000000000005</v>
      </c>
      <c r="Z68">
        <v>0.9677</v>
      </c>
      <c r="AA68">
        <v>0.97989999999999999</v>
      </c>
      <c r="AB68">
        <v>0.96989999999999998</v>
      </c>
    </row>
    <row r="69" spans="1:28">
      <c r="A69" t="s">
        <v>49</v>
      </c>
      <c r="B69" t="s">
        <v>998</v>
      </c>
      <c r="C69" t="s">
        <v>935</v>
      </c>
      <c r="D69" t="s">
        <v>573</v>
      </c>
      <c r="E69" t="s">
        <v>999</v>
      </c>
      <c r="F69">
        <v>220</v>
      </c>
      <c r="G69" t="s">
        <v>810</v>
      </c>
      <c r="H69" t="s">
        <v>811</v>
      </c>
      <c r="I69" t="s">
        <v>812</v>
      </c>
      <c r="J69" t="s">
        <v>997</v>
      </c>
      <c r="K69" t="s">
        <v>227</v>
      </c>
      <c r="L69" t="s">
        <v>210</v>
      </c>
      <c r="M69" t="s">
        <v>211</v>
      </c>
      <c r="N69" t="s">
        <v>199</v>
      </c>
      <c r="O69" t="s">
        <v>212</v>
      </c>
      <c r="P69" t="s">
        <v>210</v>
      </c>
      <c r="Q69">
        <v>200</v>
      </c>
      <c r="R69">
        <v>248</v>
      </c>
      <c r="S69">
        <v>1.004</v>
      </c>
      <c r="T69">
        <v>1.0071000000000001</v>
      </c>
      <c r="U69">
        <v>0.98829999999999996</v>
      </c>
      <c r="V69">
        <v>0.99009999999999998</v>
      </c>
      <c r="W69">
        <v>0.96809999999999996</v>
      </c>
      <c r="X69">
        <v>0.97250000000000003</v>
      </c>
      <c r="Y69">
        <v>0.9929</v>
      </c>
      <c r="Z69">
        <v>0.98129999999999995</v>
      </c>
      <c r="AA69">
        <v>0.99119999999999997</v>
      </c>
      <c r="AB69">
        <v>0.98329999999999995</v>
      </c>
    </row>
    <row r="70" spans="1:28">
      <c r="A70" t="s">
        <v>50</v>
      </c>
      <c r="B70" t="s">
        <v>427</v>
      </c>
      <c r="C70" t="s">
        <v>935</v>
      </c>
      <c r="D70" t="s">
        <v>427</v>
      </c>
      <c r="E70" t="s">
        <v>1000</v>
      </c>
      <c r="F70">
        <v>220</v>
      </c>
      <c r="G70" t="s">
        <v>810</v>
      </c>
      <c r="H70" t="s">
        <v>811</v>
      </c>
      <c r="I70" t="s">
        <v>812</v>
      </c>
      <c r="J70" t="s">
        <v>1002</v>
      </c>
      <c r="K70" t="s">
        <v>227</v>
      </c>
      <c r="L70" t="s">
        <v>210</v>
      </c>
      <c r="M70" t="s">
        <v>211</v>
      </c>
      <c r="N70" t="s">
        <v>199</v>
      </c>
      <c r="O70" t="s">
        <v>212</v>
      </c>
      <c r="P70" t="s">
        <v>210</v>
      </c>
      <c r="Q70">
        <v>144</v>
      </c>
      <c r="R70">
        <v>144</v>
      </c>
      <c r="S70">
        <v>0.95609999999999995</v>
      </c>
      <c r="T70">
        <v>0.94479999999999997</v>
      </c>
      <c r="U70">
        <v>0.94199999999999995</v>
      </c>
      <c r="V70">
        <v>0.93930000000000002</v>
      </c>
      <c r="W70">
        <v>0.9405</v>
      </c>
      <c r="X70">
        <v>0.93840000000000001</v>
      </c>
      <c r="Y70">
        <v>0.9456</v>
      </c>
      <c r="Z70">
        <v>0.94450000000000001</v>
      </c>
      <c r="AA70">
        <v>0.9365</v>
      </c>
      <c r="AB70">
        <v>0.93579999999999997</v>
      </c>
    </row>
    <row r="71" spans="1:28">
      <c r="A71" t="s">
        <v>51</v>
      </c>
      <c r="B71" t="s">
        <v>276</v>
      </c>
      <c r="C71" t="s">
        <v>935</v>
      </c>
      <c r="D71" t="s">
        <v>276</v>
      </c>
      <c r="E71" t="s">
        <v>1003</v>
      </c>
      <c r="F71">
        <v>110</v>
      </c>
      <c r="G71" t="s">
        <v>823</v>
      </c>
      <c r="H71" t="s">
        <v>811</v>
      </c>
      <c r="I71" t="s">
        <v>804</v>
      </c>
      <c r="J71" t="s">
        <v>1005</v>
      </c>
      <c r="K71" t="s">
        <v>227</v>
      </c>
      <c r="L71" t="s">
        <v>210</v>
      </c>
      <c r="M71" t="s">
        <v>211</v>
      </c>
      <c r="N71" t="s">
        <v>199</v>
      </c>
      <c r="O71" t="s">
        <v>212</v>
      </c>
      <c r="P71" t="s">
        <v>210</v>
      </c>
      <c r="Q71">
        <v>14.4</v>
      </c>
      <c r="R71">
        <v>15</v>
      </c>
      <c r="S71">
        <v>0.96220000000000006</v>
      </c>
      <c r="T71">
        <v>0.97699999999999998</v>
      </c>
      <c r="U71">
        <v>0.94799999999999995</v>
      </c>
      <c r="V71">
        <v>0.94530000000000003</v>
      </c>
      <c r="W71">
        <v>0.91420000000000001</v>
      </c>
      <c r="X71">
        <v>0.94179999999999997</v>
      </c>
      <c r="Y71">
        <v>0.93989999999999996</v>
      </c>
      <c r="Z71">
        <v>0.92159999999999997</v>
      </c>
      <c r="AA71">
        <v>0.93500000000000005</v>
      </c>
      <c r="AB71">
        <v>0.91579999999999995</v>
      </c>
    </row>
    <row r="72" spans="1:28">
      <c r="A72" t="s">
        <v>52</v>
      </c>
      <c r="B72" t="s">
        <v>469</v>
      </c>
      <c r="C72" t="s">
        <v>935</v>
      </c>
      <c r="D72" t="s">
        <v>469</v>
      </c>
      <c r="E72" t="s">
        <v>1006</v>
      </c>
      <c r="F72">
        <v>110</v>
      </c>
      <c r="G72" t="s">
        <v>810</v>
      </c>
      <c r="H72" t="s">
        <v>811</v>
      </c>
      <c r="I72" t="s">
        <v>812</v>
      </c>
      <c r="J72" t="s">
        <v>1008</v>
      </c>
      <c r="K72" t="s">
        <v>227</v>
      </c>
      <c r="L72" t="s">
        <v>210</v>
      </c>
      <c r="M72" t="s">
        <v>211</v>
      </c>
      <c r="N72" t="s">
        <v>199</v>
      </c>
      <c r="O72" t="s">
        <v>212</v>
      </c>
      <c r="P72" t="s">
        <v>210</v>
      </c>
      <c r="Q72">
        <v>32.4</v>
      </c>
      <c r="R72">
        <v>34</v>
      </c>
      <c r="S72">
        <v>0.99329999999999996</v>
      </c>
      <c r="T72">
        <v>0.97440000000000004</v>
      </c>
      <c r="U72">
        <v>0.94279999999999997</v>
      </c>
      <c r="V72">
        <v>0.95379999999999998</v>
      </c>
      <c r="W72">
        <v>0.90280000000000005</v>
      </c>
      <c r="X72">
        <v>0.93379999999999996</v>
      </c>
      <c r="Y72">
        <v>0.93600000000000005</v>
      </c>
      <c r="Z72">
        <v>0.94869999999999999</v>
      </c>
      <c r="AA72">
        <v>0.9385</v>
      </c>
      <c r="AB72">
        <v>0.92689999999999995</v>
      </c>
    </row>
    <row r="73" spans="1:28">
      <c r="A73" t="s">
        <v>53</v>
      </c>
      <c r="B73" t="s">
        <v>663</v>
      </c>
      <c r="C73" t="s">
        <v>935</v>
      </c>
      <c r="D73" t="s">
        <v>663</v>
      </c>
      <c r="E73" t="s">
        <v>1009</v>
      </c>
      <c r="F73">
        <v>110</v>
      </c>
      <c r="G73" t="s">
        <v>810</v>
      </c>
      <c r="H73" t="s">
        <v>811</v>
      </c>
      <c r="I73" t="s">
        <v>812</v>
      </c>
      <c r="J73" t="s">
        <v>1011</v>
      </c>
      <c r="K73" t="s">
        <v>227</v>
      </c>
      <c r="L73" t="s">
        <v>210</v>
      </c>
      <c r="M73" t="s">
        <v>211</v>
      </c>
      <c r="N73" t="s">
        <v>199</v>
      </c>
      <c r="O73" t="s">
        <v>212</v>
      </c>
      <c r="P73" t="s">
        <v>210</v>
      </c>
      <c r="Q73">
        <v>90</v>
      </c>
      <c r="R73">
        <v>94</v>
      </c>
      <c r="S73">
        <v>0.97030000000000005</v>
      </c>
      <c r="T73">
        <v>0.98350000000000004</v>
      </c>
      <c r="U73">
        <v>0.95220000000000005</v>
      </c>
      <c r="V73">
        <v>0.95130000000000003</v>
      </c>
      <c r="W73">
        <v>0.91949999999999998</v>
      </c>
      <c r="X73">
        <v>0.94320000000000004</v>
      </c>
      <c r="Y73">
        <v>0.94530000000000003</v>
      </c>
      <c r="Z73">
        <v>0.93379999999999996</v>
      </c>
      <c r="AA73">
        <v>0.9405</v>
      </c>
      <c r="AB73">
        <v>0.9194</v>
      </c>
    </row>
    <row r="74" spans="1:28">
      <c r="A74" t="s">
        <v>54</v>
      </c>
      <c r="B74" t="s">
        <v>697</v>
      </c>
      <c r="C74" t="s">
        <v>935</v>
      </c>
      <c r="D74" t="s">
        <v>697</v>
      </c>
      <c r="E74" t="s">
        <v>1012</v>
      </c>
      <c r="F74">
        <v>110</v>
      </c>
      <c r="G74" t="s">
        <v>810</v>
      </c>
      <c r="H74" t="s">
        <v>811</v>
      </c>
      <c r="I74" t="s">
        <v>812</v>
      </c>
      <c r="J74" t="s">
        <v>1014</v>
      </c>
      <c r="K74" t="s">
        <v>227</v>
      </c>
      <c r="L74" t="s">
        <v>210</v>
      </c>
      <c r="M74" t="s">
        <v>211</v>
      </c>
      <c r="N74" t="s">
        <v>199</v>
      </c>
      <c r="O74" t="s">
        <v>212</v>
      </c>
      <c r="P74" t="s">
        <v>210</v>
      </c>
      <c r="Q74">
        <v>125</v>
      </c>
      <c r="R74">
        <v>142.19999999999999</v>
      </c>
      <c r="S74">
        <v>0.9617</v>
      </c>
      <c r="T74">
        <v>0.96719999999999995</v>
      </c>
      <c r="U74">
        <v>0.9395</v>
      </c>
      <c r="V74">
        <v>0.94269999999999998</v>
      </c>
      <c r="W74">
        <v>0.91220000000000001</v>
      </c>
      <c r="X74">
        <v>0.94040000000000001</v>
      </c>
      <c r="Y74">
        <v>0.90910000000000002</v>
      </c>
      <c r="Z74">
        <v>0.92330000000000001</v>
      </c>
      <c r="AA74">
        <v>0.91839999999999999</v>
      </c>
      <c r="AB74">
        <v>0.8911</v>
      </c>
    </row>
    <row r="75" spans="1:28">
      <c r="A75" t="s">
        <v>55</v>
      </c>
      <c r="B75" t="s">
        <v>467</v>
      </c>
      <c r="C75" t="s">
        <v>935</v>
      </c>
      <c r="D75" t="s">
        <v>467</v>
      </c>
      <c r="E75" t="s">
        <v>1015</v>
      </c>
      <c r="F75">
        <v>220</v>
      </c>
      <c r="G75" t="s">
        <v>810</v>
      </c>
      <c r="H75" t="s">
        <v>811</v>
      </c>
      <c r="I75" t="s">
        <v>812</v>
      </c>
      <c r="J75" t="s">
        <v>1017</v>
      </c>
      <c r="K75" t="s">
        <v>227</v>
      </c>
      <c r="L75" t="s">
        <v>210</v>
      </c>
      <c r="M75" t="s">
        <v>211</v>
      </c>
      <c r="N75" t="s">
        <v>199</v>
      </c>
      <c r="O75" t="s">
        <v>212</v>
      </c>
      <c r="P75" t="s">
        <v>210</v>
      </c>
      <c r="Q75">
        <v>170.1</v>
      </c>
      <c r="R75">
        <v>183</v>
      </c>
      <c r="S75">
        <v>1.024</v>
      </c>
      <c r="T75">
        <v>1.0203</v>
      </c>
      <c r="U75">
        <v>1.0062</v>
      </c>
      <c r="V75">
        <v>1.0055000000000001</v>
      </c>
      <c r="W75">
        <v>0.97019999999999995</v>
      </c>
      <c r="X75">
        <v>0.99150000000000005</v>
      </c>
      <c r="Y75">
        <v>1.0027999999999999</v>
      </c>
      <c r="Z75">
        <v>0.9919</v>
      </c>
      <c r="AA75">
        <v>0.99770000000000003</v>
      </c>
      <c r="AB75">
        <v>0.99239999999999995</v>
      </c>
    </row>
    <row r="76" spans="1:28">
      <c r="A76" t="s">
        <v>56</v>
      </c>
      <c r="B76" t="s">
        <v>467</v>
      </c>
      <c r="C76" t="s">
        <v>935</v>
      </c>
      <c r="D76" t="s">
        <v>467</v>
      </c>
      <c r="E76" t="s">
        <v>1015</v>
      </c>
      <c r="F76">
        <v>220</v>
      </c>
      <c r="G76" t="s">
        <v>810</v>
      </c>
      <c r="H76" t="s">
        <v>811</v>
      </c>
      <c r="I76" t="s">
        <v>812</v>
      </c>
      <c r="J76" t="s">
        <v>1018</v>
      </c>
      <c r="K76" t="s">
        <v>227</v>
      </c>
      <c r="L76" t="s">
        <v>210</v>
      </c>
      <c r="M76" t="s">
        <v>211</v>
      </c>
      <c r="N76" t="s">
        <v>199</v>
      </c>
      <c r="O76" t="s">
        <v>212</v>
      </c>
      <c r="P76" t="s">
        <v>210</v>
      </c>
      <c r="Q76">
        <v>170.1</v>
      </c>
      <c r="R76">
        <v>183</v>
      </c>
      <c r="S76">
        <v>1.024</v>
      </c>
      <c r="T76">
        <v>1.0203</v>
      </c>
      <c r="U76">
        <v>1.0062</v>
      </c>
      <c r="V76">
        <v>1.0055000000000001</v>
      </c>
      <c r="W76">
        <v>0.97019999999999995</v>
      </c>
      <c r="X76">
        <v>0.99150000000000005</v>
      </c>
      <c r="Y76">
        <v>1.0027999999999999</v>
      </c>
      <c r="Z76">
        <v>0.9919</v>
      </c>
      <c r="AA76">
        <v>0.99770000000000003</v>
      </c>
      <c r="AB76">
        <v>0.99239999999999995</v>
      </c>
    </row>
    <row r="77" spans="1:28">
      <c r="A77" t="s">
        <v>57</v>
      </c>
      <c r="B77" t="s">
        <v>467</v>
      </c>
      <c r="C77" t="s">
        <v>935</v>
      </c>
      <c r="D77" t="s">
        <v>467</v>
      </c>
      <c r="E77" t="s">
        <v>1015</v>
      </c>
      <c r="F77">
        <v>220</v>
      </c>
      <c r="G77" t="s">
        <v>810</v>
      </c>
      <c r="H77" t="s">
        <v>811</v>
      </c>
      <c r="I77" t="s">
        <v>812</v>
      </c>
      <c r="J77" t="s">
        <v>1019</v>
      </c>
      <c r="K77" t="s">
        <v>227</v>
      </c>
      <c r="L77" t="s">
        <v>210</v>
      </c>
      <c r="M77" t="s">
        <v>211</v>
      </c>
      <c r="N77" t="s">
        <v>199</v>
      </c>
      <c r="O77" t="s">
        <v>212</v>
      </c>
      <c r="P77" t="s">
        <v>210</v>
      </c>
      <c r="Q77">
        <v>170.1</v>
      </c>
      <c r="R77">
        <v>183</v>
      </c>
      <c r="S77">
        <v>1.024</v>
      </c>
      <c r="T77">
        <v>1.0203</v>
      </c>
      <c r="U77">
        <v>1.0062</v>
      </c>
      <c r="V77">
        <v>1.0055000000000001</v>
      </c>
      <c r="W77">
        <v>0.97019999999999995</v>
      </c>
      <c r="X77">
        <v>0.99150000000000005</v>
      </c>
      <c r="Y77">
        <v>1.0027999999999999</v>
      </c>
      <c r="Z77">
        <v>0.9919</v>
      </c>
      <c r="AA77">
        <v>0.99770000000000003</v>
      </c>
      <c r="AB77">
        <v>0.99239999999999995</v>
      </c>
    </row>
    <row r="78" spans="1:28">
      <c r="A78" t="s">
        <v>58</v>
      </c>
      <c r="B78" t="s">
        <v>320</v>
      </c>
      <c r="C78" t="s">
        <v>935</v>
      </c>
      <c r="D78" t="s">
        <v>320</v>
      </c>
      <c r="E78" t="s">
        <v>1020</v>
      </c>
      <c r="F78">
        <v>220</v>
      </c>
      <c r="G78" t="s">
        <v>823</v>
      </c>
      <c r="H78" t="s">
        <v>811</v>
      </c>
      <c r="I78" t="s">
        <v>804</v>
      </c>
      <c r="J78" t="s">
        <v>1022</v>
      </c>
      <c r="K78" t="s">
        <v>227</v>
      </c>
      <c r="L78" t="s">
        <v>210</v>
      </c>
      <c r="M78" t="s">
        <v>211</v>
      </c>
      <c r="N78" t="s">
        <v>199</v>
      </c>
      <c r="O78" t="s">
        <v>212</v>
      </c>
      <c r="P78" t="s">
        <v>210</v>
      </c>
      <c r="Q78">
        <v>17</v>
      </c>
      <c r="R78">
        <v>19</v>
      </c>
      <c r="S78">
        <v>1.0283</v>
      </c>
      <c r="T78">
        <v>1.0230999999999999</v>
      </c>
      <c r="U78">
        <v>1.0095000000000001</v>
      </c>
      <c r="V78">
        <v>1.0095000000000001</v>
      </c>
      <c r="W78">
        <v>0.97370000000000001</v>
      </c>
      <c r="X78">
        <v>0.99329999999999996</v>
      </c>
      <c r="Y78">
        <v>1.0055000000000001</v>
      </c>
      <c r="Z78">
        <v>0.99080000000000001</v>
      </c>
      <c r="AA78">
        <v>1.0019</v>
      </c>
      <c r="AB78">
        <v>0.99509999999999998</v>
      </c>
    </row>
    <row r="79" spans="1:28">
      <c r="A79" t="s">
        <v>59</v>
      </c>
      <c r="B79" t="s">
        <v>603</v>
      </c>
      <c r="C79" t="s">
        <v>935</v>
      </c>
      <c r="D79" t="s">
        <v>603</v>
      </c>
      <c r="E79" t="s">
        <v>1023</v>
      </c>
      <c r="F79">
        <v>220</v>
      </c>
      <c r="G79" t="s">
        <v>823</v>
      </c>
      <c r="H79" t="s">
        <v>811</v>
      </c>
      <c r="I79" t="s">
        <v>804</v>
      </c>
      <c r="J79" t="s">
        <v>1024</v>
      </c>
      <c r="K79" t="s">
        <v>227</v>
      </c>
      <c r="L79" t="s">
        <v>210</v>
      </c>
      <c r="M79" t="s">
        <v>211</v>
      </c>
      <c r="N79" t="s">
        <v>199</v>
      </c>
      <c r="O79" t="s">
        <v>212</v>
      </c>
      <c r="P79" t="s">
        <v>210</v>
      </c>
      <c r="Q79">
        <v>28</v>
      </c>
      <c r="R79">
        <v>29</v>
      </c>
      <c r="S79">
        <v>1.0283</v>
      </c>
      <c r="T79">
        <v>1.0230999999999999</v>
      </c>
      <c r="U79">
        <v>1.0095000000000001</v>
      </c>
      <c r="V79">
        <v>1.0095000000000001</v>
      </c>
      <c r="W79">
        <v>0.97370000000000001</v>
      </c>
      <c r="X79">
        <v>0.99329999999999996</v>
      </c>
      <c r="Y79">
        <v>1.0055000000000001</v>
      </c>
      <c r="Z79">
        <v>0.99080000000000001</v>
      </c>
      <c r="AA79">
        <v>1.0019</v>
      </c>
      <c r="AB79">
        <v>0.99509999999999998</v>
      </c>
    </row>
    <row r="80" spans="1:28">
      <c r="A80" t="s">
        <v>60</v>
      </c>
      <c r="B80" t="s">
        <v>505</v>
      </c>
      <c r="C80" t="s">
        <v>935</v>
      </c>
      <c r="D80" t="s">
        <v>505</v>
      </c>
      <c r="E80" t="s">
        <v>1025</v>
      </c>
      <c r="F80">
        <v>110</v>
      </c>
      <c r="G80" t="s">
        <v>810</v>
      </c>
      <c r="H80" t="s">
        <v>811</v>
      </c>
      <c r="I80" t="s">
        <v>812</v>
      </c>
      <c r="J80" t="s">
        <v>1027</v>
      </c>
      <c r="K80" t="s">
        <v>227</v>
      </c>
      <c r="L80" t="s">
        <v>210</v>
      </c>
      <c r="M80" t="s">
        <v>211</v>
      </c>
      <c r="N80" t="s">
        <v>199</v>
      </c>
      <c r="O80" t="s">
        <v>212</v>
      </c>
      <c r="P80" t="s">
        <v>210</v>
      </c>
      <c r="Q80">
        <v>40</v>
      </c>
      <c r="R80">
        <v>42</v>
      </c>
      <c r="S80">
        <v>1.0188999999999999</v>
      </c>
      <c r="T80">
        <v>1.0138</v>
      </c>
      <c r="U80">
        <v>1.0064</v>
      </c>
      <c r="V80">
        <v>1.0167999999999999</v>
      </c>
      <c r="W80">
        <v>0.96440000000000003</v>
      </c>
      <c r="X80">
        <v>0.97370000000000001</v>
      </c>
      <c r="Y80">
        <v>0.97560000000000002</v>
      </c>
      <c r="Z80">
        <v>0.97699999999999998</v>
      </c>
      <c r="AA80">
        <v>0.97729999999999995</v>
      </c>
      <c r="AB80">
        <v>0.96750000000000003</v>
      </c>
    </row>
    <row r="81" spans="1:28">
      <c r="A81" t="s">
        <v>61</v>
      </c>
      <c r="B81" t="s">
        <v>379</v>
      </c>
      <c r="C81" t="s">
        <v>935</v>
      </c>
      <c r="D81" t="s">
        <v>379</v>
      </c>
      <c r="E81" t="s">
        <v>1028</v>
      </c>
      <c r="F81">
        <v>220</v>
      </c>
      <c r="G81" t="s">
        <v>810</v>
      </c>
      <c r="H81" t="s">
        <v>811</v>
      </c>
      <c r="I81" t="s">
        <v>812</v>
      </c>
      <c r="J81" t="s">
        <v>1030</v>
      </c>
      <c r="K81" t="s">
        <v>227</v>
      </c>
      <c r="L81" t="s">
        <v>210</v>
      </c>
      <c r="M81" t="s">
        <v>211</v>
      </c>
      <c r="N81" t="s">
        <v>199</v>
      </c>
      <c r="O81" t="s">
        <v>212</v>
      </c>
      <c r="P81" t="s">
        <v>210</v>
      </c>
      <c r="Q81">
        <v>432</v>
      </c>
      <c r="R81">
        <v>450</v>
      </c>
      <c r="S81">
        <v>1.0069999999999999</v>
      </c>
      <c r="T81">
        <v>1.0029999999999999</v>
      </c>
      <c r="U81">
        <v>0.96719999999999995</v>
      </c>
      <c r="V81">
        <v>1.0037</v>
      </c>
      <c r="W81">
        <v>0.90459999999999996</v>
      </c>
      <c r="X81">
        <v>0.94</v>
      </c>
      <c r="Y81">
        <v>0.96760000000000002</v>
      </c>
      <c r="Z81">
        <v>0.95940000000000003</v>
      </c>
      <c r="AA81">
        <v>0.98680000000000001</v>
      </c>
      <c r="AB81">
        <v>0.95830000000000004</v>
      </c>
    </row>
    <row r="82" spans="1:28">
      <c r="A82" t="s">
        <v>62</v>
      </c>
      <c r="B82" t="s">
        <v>541</v>
      </c>
      <c r="C82" t="s">
        <v>1031</v>
      </c>
      <c r="D82" t="s">
        <v>541</v>
      </c>
      <c r="E82" t="s">
        <v>1032</v>
      </c>
      <c r="F82">
        <v>330</v>
      </c>
      <c r="G82" t="s">
        <v>810</v>
      </c>
      <c r="H82" t="s">
        <v>811</v>
      </c>
      <c r="I82" t="s">
        <v>812</v>
      </c>
      <c r="J82" t="s">
        <v>1033</v>
      </c>
      <c r="K82" t="s">
        <v>184</v>
      </c>
      <c r="L82" t="s">
        <v>210</v>
      </c>
      <c r="M82" t="s">
        <v>211</v>
      </c>
      <c r="N82" t="s">
        <v>199</v>
      </c>
      <c r="O82" t="s">
        <v>212</v>
      </c>
      <c r="P82" t="s">
        <v>210</v>
      </c>
      <c r="Q82">
        <v>1500</v>
      </c>
      <c r="R82">
        <v>1575</v>
      </c>
      <c r="S82">
        <v>0.98</v>
      </c>
      <c r="T82">
        <v>0.96279999999999999</v>
      </c>
      <c r="U82">
        <v>1.0109999999999999</v>
      </c>
      <c r="V82">
        <v>0.98640000000000005</v>
      </c>
      <c r="W82">
        <v>1.0178</v>
      </c>
      <c r="X82">
        <v>0.98850000000000005</v>
      </c>
      <c r="Y82">
        <v>0.95899999999999996</v>
      </c>
      <c r="Z82">
        <v>0.89639999999999997</v>
      </c>
      <c r="AA82">
        <v>0.90690000000000004</v>
      </c>
      <c r="AB82">
        <v>0.93489999999999995</v>
      </c>
    </row>
    <row r="83" spans="1:28">
      <c r="A83" t="s">
        <v>63</v>
      </c>
      <c r="B83" t="s">
        <v>541</v>
      </c>
      <c r="C83" t="s">
        <v>1031</v>
      </c>
      <c r="D83" t="s">
        <v>541</v>
      </c>
      <c r="E83" t="s">
        <v>1032</v>
      </c>
      <c r="F83">
        <v>330</v>
      </c>
      <c r="G83" t="s">
        <v>810</v>
      </c>
      <c r="H83" t="s">
        <v>811</v>
      </c>
      <c r="I83" t="s">
        <v>812</v>
      </c>
      <c r="J83" t="s">
        <v>1034</v>
      </c>
      <c r="K83" t="s">
        <v>184</v>
      </c>
      <c r="L83" t="s">
        <v>210</v>
      </c>
      <c r="M83" t="s">
        <v>211</v>
      </c>
      <c r="N83" t="s">
        <v>199</v>
      </c>
      <c r="O83" t="s">
        <v>212</v>
      </c>
      <c r="P83" t="s">
        <v>210</v>
      </c>
      <c r="Q83">
        <v>1500</v>
      </c>
      <c r="R83">
        <v>1575</v>
      </c>
      <c r="S83">
        <v>0.98</v>
      </c>
      <c r="T83">
        <v>0.96279999999999999</v>
      </c>
      <c r="U83">
        <v>1.0109999999999999</v>
      </c>
      <c r="V83">
        <v>0.98640000000000005</v>
      </c>
      <c r="W83">
        <v>1.0178</v>
      </c>
      <c r="X83">
        <v>0.98850000000000005</v>
      </c>
      <c r="Y83">
        <v>0.95899999999999996</v>
      </c>
      <c r="Z83">
        <v>0.89639999999999997</v>
      </c>
      <c r="AA83">
        <v>0.90690000000000004</v>
      </c>
      <c r="AB83">
        <v>0.93489999999999995</v>
      </c>
    </row>
    <row r="84" spans="1:28">
      <c r="A84" t="s">
        <v>64</v>
      </c>
      <c r="B84" t="s">
        <v>1035</v>
      </c>
      <c r="C84" t="s">
        <v>839</v>
      </c>
      <c r="D84" t="s">
        <v>342</v>
      </c>
      <c r="E84" t="s">
        <v>1036</v>
      </c>
      <c r="F84">
        <v>220</v>
      </c>
      <c r="G84" t="s">
        <v>810</v>
      </c>
      <c r="H84" t="s">
        <v>811</v>
      </c>
      <c r="I84" t="s">
        <v>812</v>
      </c>
      <c r="J84" t="s">
        <v>1037</v>
      </c>
      <c r="K84" t="s">
        <v>184</v>
      </c>
      <c r="L84" t="s">
        <v>210</v>
      </c>
      <c r="M84" t="s">
        <v>211</v>
      </c>
      <c r="N84" t="s">
        <v>199</v>
      </c>
      <c r="O84" t="s">
        <v>212</v>
      </c>
      <c r="P84" t="s">
        <v>210</v>
      </c>
      <c r="Q84">
        <v>150</v>
      </c>
      <c r="R84">
        <v>185</v>
      </c>
      <c r="S84">
        <v>1.0270999999999999</v>
      </c>
      <c r="T84">
        <v>1.0150999999999999</v>
      </c>
      <c r="U84">
        <v>0.98850000000000005</v>
      </c>
      <c r="V84">
        <v>0.98340000000000005</v>
      </c>
      <c r="W84">
        <v>1.0097</v>
      </c>
      <c r="X84">
        <v>1.0004</v>
      </c>
      <c r="Y84">
        <v>0.98119999999999996</v>
      </c>
      <c r="Z84">
        <v>0.93720000000000003</v>
      </c>
      <c r="AA84">
        <v>0.92490000000000006</v>
      </c>
      <c r="AB84">
        <v>0.92930000000000001</v>
      </c>
    </row>
    <row r="85" spans="1:28">
      <c r="A85" t="s">
        <v>65</v>
      </c>
      <c r="B85" t="s">
        <v>1038</v>
      </c>
      <c r="C85" t="s">
        <v>839</v>
      </c>
      <c r="D85" t="s">
        <v>501</v>
      </c>
      <c r="E85" t="s">
        <v>1039</v>
      </c>
      <c r="F85">
        <v>220</v>
      </c>
      <c r="G85" t="s">
        <v>810</v>
      </c>
      <c r="H85" t="s">
        <v>811</v>
      </c>
      <c r="I85" t="s">
        <v>812</v>
      </c>
      <c r="J85" t="s">
        <v>1040</v>
      </c>
      <c r="K85" t="s">
        <v>184</v>
      </c>
      <c r="L85" t="s">
        <v>210</v>
      </c>
      <c r="M85" t="s">
        <v>211</v>
      </c>
      <c r="N85" t="s">
        <v>199</v>
      </c>
      <c r="O85" t="s">
        <v>212</v>
      </c>
      <c r="P85" t="s">
        <v>210</v>
      </c>
      <c r="Q85">
        <v>300</v>
      </c>
      <c r="R85">
        <v>300</v>
      </c>
      <c r="S85">
        <v>0.99119999999999997</v>
      </c>
      <c r="T85">
        <v>0.98660000000000003</v>
      </c>
      <c r="U85">
        <v>0.99929999999999997</v>
      </c>
      <c r="V85">
        <v>0.9919</v>
      </c>
      <c r="W85">
        <v>1.0083</v>
      </c>
      <c r="X85">
        <v>0.98829999999999996</v>
      </c>
      <c r="Y85">
        <v>0.95430000000000004</v>
      </c>
      <c r="Z85">
        <v>0.92130000000000001</v>
      </c>
      <c r="AA85">
        <v>0.92649999999999999</v>
      </c>
      <c r="AB85">
        <v>0.94499999999999995</v>
      </c>
    </row>
    <row r="86" spans="1:28">
      <c r="A86" t="s">
        <v>66</v>
      </c>
      <c r="B86" t="s">
        <v>1041</v>
      </c>
      <c r="C86" t="s">
        <v>839</v>
      </c>
      <c r="D86" t="s">
        <v>749</v>
      </c>
      <c r="E86" t="s">
        <v>1042</v>
      </c>
      <c r="F86">
        <v>220</v>
      </c>
      <c r="G86" t="s">
        <v>810</v>
      </c>
      <c r="H86" t="s">
        <v>811</v>
      </c>
      <c r="I86" t="s">
        <v>812</v>
      </c>
      <c r="J86" t="s">
        <v>1043</v>
      </c>
      <c r="K86" t="s">
        <v>184</v>
      </c>
      <c r="L86" t="s">
        <v>210</v>
      </c>
      <c r="M86" t="s">
        <v>211</v>
      </c>
      <c r="N86" t="s">
        <v>199</v>
      </c>
      <c r="O86" t="s">
        <v>212</v>
      </c>
      <c r="P86" t="s">
        <v>210</v>
      </c>
      <c r="Q86">
        <v>31</v>
      </c>
      <c r="R86">
        <v>34</v>
      </c>
      <c r="S86">
        <v>1.0073000000000001</v>
      </c>
      <c r="T86">
        <v>1.0103</v>
      </c>
      <c r="U86">
        <v>1.0190999999999999</v>
      </c>
      <c r="V86">
        <v>1.0279</v>
      </c>
      <c r="W86">
        <v>1.0416000000000001</v>
      </c>
      <c r="X86">
        <v>1.0246999999999999</v>
      </c>
      <c r="Y86">
        <v>1.0025999999999999</v>
      </c>
      <c r="Z86">
        <v>0.95399999999999996</v>
      </c>
      <c r="AA86">
        <v>0.9607</v>
      </c>
      <c r="AB86">
        <v>0.98729999999999996</v>
      </c>
    </row>
    <row r="87" spans="1:28">
      <c r="A87" t="s">
        <v>66</v>
      </c>
      <c r="B87" t="s">
        <v>1041</v>
      </c>
      <c r="C87" t="s">
        <v>839</v>
      </c>
      <c r="D87" t="s">
        <v>751</v>
      </c>
      <c r="E87" t="s">
        <v>1044</v>
      </c>
      <c r="F87">
        <v>220</v>
      </c>
      <c r="G87" t="s">
        <v>810</v>
      </c>
      <c r="H87" t="s">
        <v>811</v>
      </c>
      <c r="I87" t="s">
        <v>812</v>
      </c>
      <c r="J87" t="s">
        <v>1043</v>
      </c>
      <c r="K87" t="s">
        <v>184</v>
      </c>
      <c r="L87" t="s">
        <v>210</v>
      </c>
      <c r="M87" t="s">
        <v>211</v>
      </c>
      <c r="N87" t="s">
        <v>199</v>
      </c>
      <c r="O87" t="s">
        <v>212</v>
      </c>
      <c r="P87" t="s">
        <v>210</v>
      </c>
      <c r="Q87">
        <v>31</v>
      </c>
      <c r="R87">
        <v>34</v>
      </c>
      <c r="S87">
        <v>1.0073000000000001</v>
      </c>
      <c r="T87">
        <v>1.0103</v>
      </c>
      <c r="U87">
        <v>1.0190999999999999</v>
      </c>
      <c r="V87">
        <v>1.0279</v>
      </c>
      <c r="W87">
        <v>1.0416000000000001</v>
      </c>
      <c r="X87">
        <v>1.0246999999999999</v>
      </c>
      <c r="Y87">
        <v>1.0025999999999999</v>
      </c>
      <c r="Z87">
        <v>0.95399999999999996</v>
      </c>
      <c r="AA87">
        <v>0.9607</v>
      </c>
      <c r="AB87">
        <v>0.98729999999999996</v>
      </c>
    </row>
    <row r="88" spans="1:28">
      <c r="A88" t="s">
        <v>67</v>
      </c>
      <c r="B88" t="s">
        <v>1038</v>
      </c>
      <c r="C88" t="s">
        <v>839</v>
      </c>
      <c r="D88" t="s">
        <v>501</v>
      </c>
      <c r="E88" t="s">
        <v>1039</v>
      </c>
      <c r="F88">
        <v>220</v>
      </c>
      <c r="G88" t="s">
        <v>810</v>
      </c>
      <c r="H88" t="s">
        <v>811</v>
      </c>
      <c r="I88" t="s">
        <v>812</v>
      </c>
      <c r="J88" t="s">
        <v>1045</v>
      </c>
      <c r="K88" t="s">
        <v>184</v>
      </c>
      <c r="L88" t="s">
        <v>210</v>
      </c>
      <c r="M88" t="s">
        <v>211</v>
      </c>
      <c r="N88" t="s">
        <v>199</v>
      </c>
      <c r="O88" t="s">
        <v>212</v>
      </c>
      <c r="P88" t="s">
        <v>210</v>
      </c>
      <c r="Q88">
        <v>300</v>
      </c>
      <c r="R88">
        <v>300</v>
      </c>
      <c r="S88">
        <v>0.99119999999999997</v>
      </c>
      <c r="T88">
        <v>0.98660000000000003</v>
      </c>
      <c r="U88">
        <v>0.99929999999999997</v>
      </c>
      <c r="V88">
        <v>0.9919</v>
      </c>
      <c r="W88">
        <v>1.0083</v>
      </c>
      <c r="X88">
        <v>0.98829999999999996</v>
      </c>
      <c r="Y88">
        <v>0.95430000000000004</v>
      </c>
      <c r="Z88">
        <v>0.92130000000000001</v>
      </c>
      <c r="AA88">
        <v>0.92649999999999999</v>
      </c>
      <c r="AB88">
        <v>0.94499999999999995</v>
      </c>
    </row>
    <row r="89" spans="1:28">
      <c r="A89" t="s">
        <v>68</v>
      </c>
      <c r="B89" t="s">
        <v>318</v>
      </c>
      <c r="C89" t="s">
        <v>839</v>
      </c>
      <c r="D89" t="s">
        <v>318</v>
      </c>
      <c r="E89" t="s">
        <v>1046</v>
      </c>
      <c r="F89">
        <v>66</v>
      </c>
      <c r="G89" t="s">
        <v>823</v>
      </c>
      <c r="H89" t="s">
        <v>803</v>
      </c>
      <c r="I89" t="s">
        <v>804</v>
      </c>
      <c r="J89" t="s">
        <v>1047</v>
      </c>
      <c r="K89" t="s">
        <v>184</v>
      </c>
      <c r="L89" t="s">
        <v>210</v>
      </c>
      <c r="M89" t="s">
        <v>211</v>
      </c>
      <c r="N89" t="s">
        <v>199</v>
      </c>
      <c r="O89" t="s">
        <v>212</v>
      </c>
      <c r="P89" t="s">
        <v>210</v>
      </c>
      <c r="Q89">
        <v>30</v>
      </c>
      <c r="R89">
        <v>30</v>
      </c>
      <c r="AA89">
        <v>0.98819999999999997</v>
      </c>
      <c r="AB89">
        <v>0.99960000000000004</v>
      </c>
    </row>
    <row r="90" spans="1:28">
      <c r="A90" t="s">
        <v>69</v>
      </c>
      <c r="B90" t="s">
        <v>1048</v>
      </c>
      <c r="C90" t="s">
        <v>839</v>
      </c>
      <c r="D90" t="s">
        <v>1048</v>
      </c>
      <c r="E90" t="s">
        <v>1049</v>
      </c>
      <c r="F90">
        <v>22</v>
      </c>
      <c r="G90" t="s">
        <v>823</v>
      </c>
      <c r="H90" t="s">
        <v>803</v>
      </c>
      <c r="I90" t="s">
        <v>804</v>
      </c>
      <c r="J90" t="s">
        <v>4307</v>
      </c>
      <c r="K90" t="s">
        <v>184</v>
      </c>
      <c r="L90" t="s">
        <v>210</v>
      </c>
      <c r="M90" t="s">
        <v>211</v>
      </c>
      <c r="N90" t="s">
        <v>199</v>
      </c>
      <c r="O90" t="s">
        <v>212</v>
      </c>
      <c r="P90" t="s">
        <v>210</v>
      </c>
      <c r="Q90">
        <v>13</v>
      </c>
      <c r="R90">
        <v>13</v>
      </c>
      <c r="AA90">
        <v>0.99790000000000001</v>
      </c>
      <c r="AB90">
        <v>0.99390000000000001</v>
      </c>
    </row>
    <row r="91" spans="1:28">
      <c r="A91" t="s">
        <v>70</v>
      </c>
      <c r="B91" t="s">
        <v>1051</v>
      </c>
      <c r="C91" t="s">
        <v>839</v>
      </c>
      <c r="D91" t="s">
        <v>355</v>
      </c>
      <c r="E91" t="s">
        <v>1052</v>
      </c>
      <c r="F91">
        <v>220</v>
      </c>
      <c r="G91" t="s">
        <v>810</v>
      </c>
      <c r="H91" t="s">
        <v>811</v>
      </c>
      <c r="I91" t="s">
        <v>812</v>
      </c>
      <c r="J91" t="s">
        <v>1053</v>
      </c>
      <c r="K91" t="s">
        <v>184</v>
      </c>
      <c r="L91" t="s">
        <v>210</v>
      </c>
      <c r="M91" t="s">
        <v>211</v>
      </c>
      <c r="N91" t="s">
        <v>199</v>
      </c>
      <c r="O91" t="s">
        <v>212</v>
      </c>
      <c r="P91" t="s">
        <v>210</v>
      </c>
      <c r="Q91">
        <v>60</v>
      </c>
      <c r="R91">
        <v>60</v>
      </c>
      <c r="S91">
        <v>0.99639999999999995</v>
      </c>
      <c r="T91">
        <v>0.995</v>
      </c>
      <c r="U91">
        <v>0.99019999999999997</v>
      </c>
      <c r="V91">
        <v>0.99439999999999995</v>
      </c>
      <c r="W91">
        <v>1.0078</v>
      </c>
      <c r="X91">
        <v>1.0025999999999999</v>
      </c>
      <c r="Y91">
        <v>0.99450000000000005</v>
      </c>
      <c r="Z91">
        <v>0.96960000000000002</v>
      </c>
      <c r="AA91">
        <v>0.97819999999999996</v>
      </c>
      <c r="AB91">
        <v>0.98140000000000005</v>
      </c>
    </row>
    <row r="92" spans="1:28">
      <c r="A92" t="s">
        <v>70</v>
      </c>
      <c r="B92" t="s">
        <v>1051</v>
      </c>
      <c r="C92" t="s">
        <v>839</v>
      </c>
      <c r="D92" t="s">
        <v>357</v>
      </c>
      <c r="E92" t="s">
        <v>1054</v>
      </c>
      <c r="F92">
        <v>220</v>
      </c>
      <c r="G92" t="s">
        <v>810</v>
      </c>
      <c r="H92" t="s">
        <v>811</v>
      </c>
      <c r="I92" t="s">
        <v>812</v>
      </c>
      <c r="J92" t="s">
        <v>1053</v>
      </c>
      <c r="K92" t="s">
        <v>184</v>
      </c>
      <c r="L92" t="s">
        <v>210</v>
      </c>
      <c r="M92" t="s">
        <v>211</v>
      </c>
      <c r="N92" t="s">
        <v>199</v>
      </c>
      <c r="O92" t="s">
        <v>212</v>
      </c>
      <c r="P92" t="s">
        <v>210</v>
      </c>
      <c r="Q92">
        <v>60</v>
      </c>
      <c r="R92">
        <v>60</v>
      </c>
      <c r="S92">
        <v>0.99639999999999995</v>
      </c>
      <c r="T92">
        <v>0.995</v>
      </c>
      <c r="U92">
        <v>0.99019999999999997</v>
      </c>
      <c r="V92">
        <v>0.99439999999999995</v>
      </c>
      <c r="W92">
        <v>1.0078</v>
      </c>
      <c r="X92">
        <v>1.0025999999999999</v>
      </c>
      <c r="Y92">
        <v>0.99450000000000005</v>
      </c>
      <c r="Z92">
        <v>0.96960000000000002</v>
      </c>
      <c r="AA92">
        <v>0.97819999999999996</v>
      </c>
      <c r="AB92">
        <v>0.98140000000000005</v>
      </c>
    </row>
    <row r="93" spans="1:28">
      <c r="A93" t="s">
        <v>71</v>
      </c>
      <c r="B93" t="s">
        <v>182</v>
      </c>
      <c r="C93" t="s">
        <v>839</v>
      </c>
      <c r="D93" t="s">
        <v>182</v>
      </c>
      <c r="E93" t="s">
        <v>1055</v>
      </c>
      <c r="F93">
        <v>66</v>
      </c>
      <c r="G93" t="s">
        <v>830</v>
      </c>
      <c r="H93" t="s">
        <v>811</v>
      </c>
      <c r="I93" t="s">
        <v>812</v>
      </c>
      <c r="J93" t="s">
        <v>1056</v>
      </c>
      <c r="K93" t="s">
        <v>184</v>
      </c>
      <c r="L93" t="s">
        <v>170</v>
      </c>
      <c r="M93" t="s">
        <v>171</v>
      </c>
      <c r="N93" t="s">
        <v>172</v>
      </c>
      <c r="O93" t="s">
        <v>185</v>
      </c>
      <c r="P93" t="s">
        <v>170</v>
      </c>
      <c r="Q93">
        <v>160</v>
      </c>
      <c r="R93">
        <v>170</v>
      </c>
      <c r="S93">
        <v>0.99429999999999996</v>
      </c>
      <c r="T93">
        <v>0.99390000000000001</v>
      </c>
      <c r="U93">
        <v>0.996</v>
      </c>
      <c r="V93">
        <v>0.99539999999999995</v>
      </c>
      <c r="W93">
        <v>0.99270000000000003</v>
      </c>
      <c r="X93">
        <v>0.99460000000000004</v>
      </c>
      <c r="Y93">
        <v>0.99490000000000001</v>
      </c>
      <c r="Z93">
        <v>0.99680000000000002</v>
      </c>
      <c r="AA93">
        <v>0.99629999999999996</v>
      </c>
      <c r="AB93">
        <v>0.96879999999999999</v>
      </c>
    </row>
    <row r="94" spans="1:28">
      <c r="A94" t="s">
        <v>72</v>
      </c>
      <c r="B94" t="s">
        <v>1057</v>
      </c>
      <c r="C94" t="s">
        <v>1058</v>
      </c>
      <c r="D94" t="s">
        <v>549</v>
      </c>
      <c r="E94" t="s">
        <v>1059</v>
      </c>
      <c r="F94">
        <v>220</v>
      </c>
      <c r="G94" t="s">
        <v>810</v>
      </c>
      <c r="H94" t="s">
        <v>811</v>
      </c>
      <c r="I94" t="s">
        <v>812</v>
      </c>
      <c r="J94" t="s">
        <v>1060</v>
      </c>
      <c r="K94" t="s">
        <v>184</v>
      </c>
      <c r="L94" t="s">
        <v>170</v>
      </c>
      <c r="M94" t="s">
        <v>171</v>
      </c>
      <c r="N94" t="s">
        <v>172</v>
      </c>
      <c r="O94" t="s">
        <v>195</v>
      </c>
      <c r="P94" t="s">
        <v>170</v>
      </c>
      <c r="Q94">
        <v>500</v>
      </c>
      <c r="R94">
        <v>510</v>
      </c>
      <c r="S94">
        <v>0.99390000000000001</v>
      </c>
      <c r="T94">
        <v>0.995</v>
      </c>
      <c r="U94">
        <v>0.99690000000000001</v>
      </c>
      <c r="V94">
        <v>0.99429999999999996</v>
      </c>
      <c r="W94">
        <v>0.99529999999999996</v>
      </c>
      <c r="X94">
        <v>0.99519999999999997</v>
      </c>
      <c r="Y94">
        <v>0.99390000000000001</v>
      </c>
      <c r="Z94">
        <v>0.999</v>
      </c>
      <c r="AA94">
        <v>0.99619999999999997</v>
      </c>
      <c r="AB94">
        <v>0.99109999999999998</v>
      </c>
    </row>
    <row r="95" spans="1:28">
      <c r="A95" t="s">
        <v>74</v>
      </c>
      <c r="B95" t="s">
        <v>1064</v>
      </c>
      <c r="C95" t="s">
        <v>1065</v>
      </c>
      <c r="D95" t="s">
        <v>489</v>
      </c>
      <c r="E95" t="s">
        <v>1066</v>
      </c>
      <c r="F95">
        <v>500</v>
      </c>
      <c r="G95" t="s">
        <v>810</v>
      </c>
      <c r="H95" t="s">
        <v>811</v>
      </c>
      <c r="I95" t="s">
        <v>812</v>
      </c>
      <c r="J95" t="s">
        <v>1067</v>
      </c>
      <c r="K95" t="s">
        <v>184</v>
      </c>
      <c r="L95" t="s">
        <v>193</v>
      </c>
      <c r="M95" t="s">
        <v>194</v>
      </c>
      <c r="N95" t="s">
        <v>172</v>
      </c>
      <c r="O95" t="s">
        <v>195</v>
      </c>
      <c r="P95" t="s">
        <v>193</v>
      </c>
      <c r="Q95">
        <v>560</v>
      </c>
      <c r="R95">
        <v>590</v>
      </c>
      <c r="S95">
        <v>0.97150000000000003</v>
      </c>
      <c r="T95">
        <v>0.96960000000000002</v>
      </c>
      <c r="U95">
        <v>0.97089999999999999</v>
      </c>
      <c r="V95">
        <v>0.96989999999999998</v>
      </c>
      <c r="W95">
        <v>0.97040000000000004</v>
      </c>
      <c r="X95">
        <v>0.97419999999999995</v>
      </c>
      <c r="Y95">
        <v>0.97230000000000005</v>
      </c>
      <c r="Z95">
        <v>0.98009999999999997</v>
      </c>
      <c r="AA95">
        <v>0.9798</v>
      </c>
      <c r="AB95">
        <v>0.97640000000000005</v>
      </c>
    </row>
    <row r="96" spans="1:28">
      <c r="A96" t="s">
        <v>74</v>
      </c>
      <c r="B96" t="s">
        <v>1064</v>
      </c>
      <c r="C96" t="s">
        <v>1065</v>
      </c>
      <c r="D96" t="s">
        <v>491</v>
      </c>
      <c r="E96" t="s">
        <v>1068</v>
      </c>
      <c r="F96">
        <v>500</v>
      </c>
      <c r="G96" t="s">
        <v>810</v>
      </c>
      <c r="H96" t="s">
        <v>811</v>
      </c>
      <c r="I96" t="s">
        <v>812</v>
      </c>
      <c r="J96" t="s">
        <v>1067</v>
      </c>
      <c r="K96" t="s">
        <v>184</v>
      </c>
      <c r="L96" t="s">
        <v>193</v>
      </c>
      <c r="M96" t="s">
        <v>194</v>
      </c>
      <c r="N96" t="s">
        <v>172</v>
      </c>
      <c r="O96" t="s">
        <v>195</v>
      </c>
      <c r="P96" t="s">
        <v>193</v>
      </c>
      <c r="Q96">
        <v>530</v>
      </c>
      <c r="R96">
        <v>535</v>
      </c>
      <c r="S96">
        <v>0.97150000000000003</v>
      </c>
      <c r="T96">
        <v>0.96960000000000002</v>
      </c>
      <c r="U96">
        <v>0.97089999999999999</v>
      </c>
      <c r="V96">
        <v>0.96989999999999998</v>
      </c>
      <c r="W96">
        <v>0.97040000000000004</v>
      </c>
      <c r="X96">
        <v>0.97419999999999995</v>
      </c>
      <c r="Y96">
        <v>0.97230000000000005</v>
      </c>
      <c r="Z96">
        <v>0.98009999999999997</v>
      </c>
      <c r="AA96">
        <v>0.9798</v>
      </c>
      <c r="AB96">
        <v>0.97640000000000005</v>
      </c>
    </row>
    <row r="97" spans="1:28">
      <c r="A97" t="s">
        <v>74</v>
      </c>
      <c r="B97" t="s">
        <v>1064</v>
      </c>
      <c r="C97" t="s">
        <v>1065</v>
      </c>
      <c r="D97" t="s">
        <v>492</v>
      </c>
      <c r="E97" t="s">
        <v>1069</v>
      </c>
      <c r="F97">
        <v>500</v>
      </c>
      <c r="G97" t="s">
        <v>810</v>
      </c>
      <c r="H97" t="s">
        <v>811</v>
      </c>
      <c r="I97" t="s">
        <v>812</v>
      </c>
      <c r="J97" t="s">
        <v>1067</v>
      </c>
      <c r="K97" t="s">
        <v>184</v>
      </c>
      <c r="L97" t="s">
        <v>193</v>
      </c>
      <c r="M97" t="s">
        <v>194</v>
      </c>
      <c r="N97" t="s">
        <v>172</v>
      </c>
      <c r="O97" t="s">
        <v>195</v>
      </c>
      <c r="P97" t="s">
        <v>193</v>
      </c>
      <c r="Q97">
        <v>560</v>
      </c>
      <c r="R97">
        <v>590</v>
      </c>
      <c r="S97">
        <v>0.97150000000000003</v>
      </c>
      <c r="T97">
        <v>0.96960000000000002</v>
      </c>
      <c r="U97">
        <v>0.97089999999999999</v>
      </c>
      <c r="V97">
        <v>0.96989999999999998</v>
      </c>
      <c r="W97">
        <v>0.97040000000000004</v>
      </c>
      <c r="X97">
        <v>0.97419999999999995</v>
      </c>
      <c r="Y97">
        <v>0.97230000000000005</v>
      </c>
      <c r="Z97">
        <v>0.98009999999999997</v>
      </c>
      <c r="AA97">
        <v>0.9798</v>
      </c>
      <c r="AB97">
        <v>0.97640000000000005</v>
      </c>
    </row>
    <row r="98" spans="1:28">
      <c r="A98" t="s">
        <v>74</v>
      </c>
      <c r="B98" t="s">
        <v>1064</v>
      </c>
      <c r="C98" t="s">
        <v>1065</v>
      </c>
      <c r="D98" t="s">
        <v>493</v>
      </c>
      <c r="E98" t="s">
        <v>1070</v>
      </c>
      <c r="F98">
        <v>500</v>
      </c>
      <c r="G98" t="s">
        <v>810</v>
      </c>
      <c r="H98" t="s">
        <v>811</v>
      </c>
      <c r="I98" t="s">
        <v>812</v>
      </c>
      <c r="J98" t="s">
        <v>1067</v>
      </c>
      <c r="K98" t="s">
        <v>184</v>
      </c>
      <c r="L98" t="s">
        <v>193</v>
      </c>
      <c r="M98" t="s">
        <v>194</v>
      </c>
      <c r="N98" t="s">
        <v>172</v>
      </c>
      <c r="O98" t="s">
        <v>195</v>
      </c>
      <c r="P98" t="s">
        <v>193</v>
      </c>
      <c r="Q98">
        <v>560</v>
      </c>
      <c r="R98">
        <v>580</v>
      </c>
      <c r="S98">
        <v>0.97150000000000003</v>
      </c>
      <c r="T98">
        <v>0.96960000000000002</v>
      </c>
      <c r="U98">
        <v>0.97089999999999999</v>
      </c>
      <c r="V98">
        <v>0.96989999999999998</v>
      </c>
      <c r="W98">
        <v>0.97040000000000004</v>
      </c>
      <c r="X98">
        <v>0.97419999999999995</v>
      </c>
      <c r="Y98">
        <v>0.97230000000000005</v>
      </c>
      <c r="Z98">
        <v>0.98009999999999997</v>
      </c>
      <c r="AA98">
        <v>0.9798</v>
      </c>
      <c r="AB98">
        <v>0.97640000000000005</v>
      </c>
    </row>
    <row r="99" spans="1:28">
      <c r="A99" t="s">
        <v>75</v>
      </c>
      <c r="B99" t="s">
        <v>1071</v>
      </c>
      <c r="C99" t="s">
        <v>1072</v>
      </c>
      <c r="D99" t="s">
        <v>483</v>
      </c>
      <c r="E99" t="s">
        <v>1073</v>
      </c>
      <c r="F99">
        <v>500</v>
      </c>
      <c r="G99" t="s">
        <v>810</v>
      </c>
      <c r="H99" t="s">
        <v>811</v>
      </c>
      <c r="I99" t="s">
        <v>812</v>
      </c>
      <c r="J99" t="s">
        <v>1074</v>
      </c>
      <c r="K99" t="s">
        <v>184</v>
      </c>
      <c r="L99" t="s">
        <v>193</v>
      </c>
      <c r="M99" t="s">
        <v>194</v>
      </c>
      <c r="N99" t="s">
        <v>172</v>
      </c>
      <c r="O99" t="s">
        <v>195</v>
      </c>
      <c r="P99" t="s">
        <v>193</v>
      </c>
      <c r="Q99">
        <v>500</v>
      </c>
      <c r="R99">
        <v>600</v>
      </c>
      <c r="S99">
        <v>0.97150000000000003</v>
      </c>
      <c r="T99">
        <v>0.96960000000000002</v>
      </c>
      <c r="U99">
        <v>0.97089999999999999</v>
      </c>
      <c r="V99">
        <v>0.96989999999999998</v>
      </c>
      <c r="W99">
        <v>0.97040000000000004</v>
      </c>
      <c r="X99">
        <v>0.97419999999999995</v>
      </c>
      <c r="Y99">
        <v>0.97230000000000005</v>
      </c>
      <c r="Z99">
        <v>0.98009999999999997</v>
      </c>
      <c r="AA99">
        <v>0.9798</v>
      </c>
      <c r="AB99">
        <v>0.97640000000000005</v>
      </c>
    </row>
    <row r="100" spans="1:28">
      <c r="A100" t="s">
        <v>75</v>
      </c>
      <c r="B100" t="s">
        <v>1071</v>
      </c>
      <c r="C100" t="s">
        <v>1072</v>
      </c>
      <c r="D100" t="s">
        <v>485</v>
      </c>
      <c r="E100" t="s">
        <v>1075</v>
      </c>
      <c r="F100">
        <v>500</v>
      </c>
      <c r="G100" t="s">
        <v>810</v>
      </c>
      <c r="H100" t="s">
        <v>811</v>
      </c>
      <c r="I100" t="s">
        <v>812</v>
      </c>
      <c r="J100" t="s">
        <v>1074</v>
      </c>
      <c r="K100" t="s">
        <v>184</v>
      </c>
      <c r="L100" t="s">
        <v>193</v>
      </c>
      <c r="M100" t="s">
        <v>194</v>
      </c>
      <c r="N100" t="s">
        <v>172</v>
      </c>
      <c r="O100" t="s">
        <v>195</v>
      </c>
      <c r="P100" t="s">
        <v>193</v>
      </c>
      <c r="Q100">
        <v>500</v>
      </c>
      <c r="R100">
        <v>600</v>
      </c>
      <c r="S100">
        <v>0.97150000000000003</v>
      </c>
      <c r="T100">
        <v>0.96960000000000002</v>
      </c>
      <c r="U100">
        <v>0.97089999999999999</v>
      </c>
      <c r="V100">
        <v>0.96989999999999998</v>
      </c>
      <c r="W100">
        <v>0.97040000000000004</v>
      </c>
      <c r="X100">
        <v>0.97419999999999995</v>
      </c>
      <c r="Y100">
        <v>0.97230000000000005</v>
      </c>
      <c r="Z100">
        <v>0.98009999999999997</v>
      </c>
      <c r="AA100">
        <v>0.9798</v>
      </c>
      <c r="AB100">
        <v>0.97640000000000005</v>
      </c>
    </row>
    <row r="101" spans="1:28">
      <c r="A101" t="s">
        <v>76</v>
      </c>
      <c r="B101" t="s">
        <v>1076</v>
      </c>
      <c r="C101" t="s">
        <v>1077</v>
      </c>
      <c r="D101" t="s">
        <v>518</v>
      </c>
      <c r="E101" t="s">
        <v>1078</v>
      </c>
      <c r="F101">
        <v>275</v>
      </c>
      <c r="G101" t="s">
        <v>810</v>
      </c>
      <c r="H101" t="s">
        <v>811</v>
      </c>
      <c r="I101" t="s">
        <v>812</v>
      </c>
      <c r="J101" t="s">
        <v>1079</v>
      </c>
      <c r="K101" t="s">
        <v>184</v>
      </c>
      <c r="L101" t="s">
        <v>193</v>
      </c>
      <c r="M101" t="s">
        <v>194</v>
      </c>
      <c r="N101" t="s">
        <v>172</v>
      </c>
      <c r="O101" t="s">
        <v>195</v>
      </c>
      <c r="P101" t="s">
        <v>193</v>
      </c>
      <c r="Q101">
        <v>90</v>
      </c>
      <c r="R101">
        <v>90</v>
      </c>
      <c r="S101">
        <v>0.97160000000000002</v>
      </c>
      <c r="T101">
        <v>0.97040000000000004</v>
      </c>
      <c r="U101">
        <v>0.97130000000000005</v>
      </c>
      <c r="V101">
        <v>0.96940000000000004</v>
      </c>
      <c r="W101">
        <v>0.96819999999999995</v>
      </c>
      <c r="X101">
        <v>0.97040000000000004</v>
      </c>
    </row>
    <row r="102" spans="1:28">
      <c r="A102" t="s">
        <v>76</v>
      </c>
      <c r="B102" t="s">
        <v>1076</v>
      </c>
      <c r="C102" t="s">
        <v>1077</v>
      </c>
      <c r="D102" t="s">
        <v>1080</v>
      </c>
      <c r="E102" t="s">
        <v>1081</v>
      </c>
      <c r="F102">
        <v>275</v>
      </c>
      <c r="G102" t="s">
        <v>810</v>
      </c>
      <c r="H102" t="s">
        <v>811</v>
      </c>
      <c r="I102" t="s">
        <v>812</v>
      </c>
      <c r="J102" t="s">
        <v>1079</v>
      </c>
      <c r="K102" t="s">
        <v>184</v>
      </c>
      <c r="L102" t="s">
        <v>193</v>
      </c>
      <c r="M102" t="s">
        <v>194</v>
      </c>
      <c r="N102" t="s">
        <v>172</v>
      </c>
      <c r="O102" t="s">
        <v>195</v>
      </c>
      <c r="P102" t="s">
        <v>193</v>
      </c>
      <c r="Q102">
        <v>30</v>
      </c>
      <c r="R102">
        <v>30</v>
      </c>
      <c r="S102">
        <v>0.96319999999999995</v>
      </c>
      <c r="T102">
        <v>0.9607</v>
      </c>
      <c r="U102">
        <v>0.96189999999999998</v>
      </c>
      <c r="V102">
        <v>0.96489999999999998</v>
      </c>
      <c r="W102">
        <v>0.9698</v>
      </c>
      <c r="X102">
        <v>0.97319999999999995</v>
      </c>
    </row>
    <row r="103" spans="1:28">
      <c r="A103" t="s">
        <v>76</v>
      </c>
      <c r="B103" t="s">
        <v>1076</v>
      </c>
      <c r="C103" t="s">
        <v>1077</v>
      </c>
      <c r="D103" t="s">
        <v>1082</v>
      </c>
      <c r="E103" t="s">
        <v>1083</v>
      </c>
      <c r="F103">
        <v>275</v>
      </c>
      <c r="G103" t="s">
        <v>810</v>
      </c>
      <c r="H103" t="s">
        <v>811</v>
      </c>
      <c r="I103" t="s">
        <v>812</v>
      </c>
      <c r="J103" t="s">
        <v>1079</v>
      </c>
      <c r="K103" t="s">
        <v>184</v>
      </c>
      <c r="L103" t="s">
        <v>193</v>
      </c>
      <c r="M103" t="s">
        <v>194</v>
      </c>
      <c r="N103" t="s">
        <v>172</v>
      </c>
      <c r="O103" t="s">
        <v>195</v>
      </c>
      <c r="P103" t="s">
        <v>193</v>
      </c>
      <c r="Q103">
        <v>75</v>
      </c>
      <c r="R103">
        <v>75</v>
      </c>
      <c r="S103">
        <v>0.96319999999999995</v>
      </c>
      <c r="T103">
        <v>0.9607</v>
      </c>
      <c r="U103">
        <v>0.96189999999999998</v>
      </c>
      <c r="V103">
        <v>0.96489999999999998</v>
      </c>
      <c r="W103">
        <v>0.9698</v>
      </c>
      <c r="X103">
        <v>0.97319999999999995</v>
      </c>
    </row>
    <row r="104" spans="1:28">
      <c r="A104" t="s">
        <v>77</v>
      </c>
      <c r="B104" t="s">
        <v>1084</v>
      </c>
      <c r="C104" t="s">
        <v>1058</v>
      </c>
      <c r="D104" t="s">
        <v>429</v>
      </c>
      <c r="E104" t="s">
        <v>1085</v>
      </c>
      <c r="F104">
        <v>220</v>
      </c>
      <c r="G104" t="s">
        <v>830</v>
      </c>
      <c r="H104" t="s">
        <v>811</v>
      </c>
      <c r="I104" t="s">
        <v>812</v>
      </c>
      <c r="J104" t="s">
        <v>1086</v>
      </c>
      <c r="K104" t="s">
        <v>184</v>
      </c>
      <c r="L104" t="s">
        <v>170</v>
      </c>
      <c r="M104" t="s">
        <v>171</v>
      </c>
      <c r="N104" t="s">
        <v>172</v>
      </c>
      <c r="O104" t="s">
        <v>185</v>
      </c>
      <c r="P104" t="s">
        <v>170</v>
      </c>
      <c r="Q104">
        <v>51</v>
      </c>
      <c r="R104">
        <v>65</v>
      </c>
      <c r="S104">
        <v>0.96589999999999998</v>
      </c>
      <c r="T104">
        <v>0.9617</v>
      </c>
      <c r="U104">
        <v>0.96399999999999997</v>
      </c>
      <c r="V104">
        <v>0.96330000000000005</v>
      </c>
      <c r="W104">
        <v>0.9647</v>
      </c>
      <c r="X104">
        <v>0.9667</v>
      </c>
      <c r="Y104">
        <v>0.96409999999999996</v>
      </c>
      <c r="Z104">
        <v>0.98299999999999998</v>
      </c>
      <c r="AA104">
        <v>0.97829999999999995</v>
      </c>
      <c r="AB104">
        <v>0.97499999999999998</v>
      </c>
    </row>
    <row r="105" spans="1:28">
      <c r="A105" t="s">
        <v>77</v>
      </c>
      <c r="B105" t="s">
        <v>1084</v>
      </c>
      <c r="C105" t="s">
        <v>1058</v>
      </c>
      <c r="D105" t="s">
        <v>431</v>
      </c>
      <c r="E105" t="s">
        <v>1087</v>
      </c>
      <c r="F105">
        <v>220</v>
      </c>
      <c r="G105" t="s">
        <v>830</v>
      </c>
      <c r="H105" t="s">
        <v>811</v>
      </c>
      <c r="I105" t="s">
        <v>812</v>
      </c>
      <c r="J105" t="s">
        <v>1086</v>
      </c>
      <c r="K105" t="s">
        <v>184</v>
      </c>
      <c r="L105" t="s">
        <v>170</v>
      </c>
      <c r="M105" t="s">
        <v>171</v>
      </c>
      <c r="N105" t="s">
        <v>172</v>
      </c>
      <c r="O105" t="s">
        <v>185</v>
      </c>
      <c r="P105" t="s">
        <v>170</v>
      </c>
      <c r="Q105">
        <v>51</v>
      </c>
      <c r="R105">
        <v>65</v>
      </c>
      <c r="S105">
        <v>0.96589999999999998</v>
      </c>
      <c r="T105">
        <v>0.9617</v>
      </c>
      <c r="U105">
        <v>0.96399999999999997</v>
      </c>
      <c r="V105">
        <v>0.96330000000000005</v>
      </c>
      <c r="W105">
        <v>0.9647</v>
      </c>
      <c r="X105">
        <v>0.9667</v>
      </c>
      <c r="Y105">
        <v>0.96409999999999996</v>
      </c>
      <c r="Z105">
        <v>0.98299999999999998</v>
      </c>
      <c r="AA105">
        <v>0.97829999999999995</v>
      </c>
      <c r="AB105">
        <v>0.97499999999999998</v>
      </c>
    </row>
    <row r="106" spans="1:28">
      <c r="A106" t="s">
        <v>77</v>
      </c>
      <c r="B106" t="s">
        <v>1084</v>
      </c>
      <c r="C106" t="s">
        <v>1058</v>
      </c>
      <c r="D106" t="s">
        <v>432</v>
      </c>
      <c r="E106" t="s">
        <v>1088</v>
      </c>
      <c r="F106">
        <v>220</v>
      </c>
      <c r="G106" t="s">
        <v>830</v>
      </c>
      <c r="H106" t="s">
        <v>811</v>
      </c>
      <c r="I106" t="s">
        <v>812</v>
      </c>
      <c r="J106" t="s">
        <v>1086</v>
      </c>
      <c r="K106" t="s">
        <v>184</v>
      </c>
      <c r="L106" t="s">
        <v>170</v>
      </c>
      <c r="M106" t="s">
        <v>171</v>
      </c>
      <c r="N106" t="s">
        <v>172</v>
      </c>
      <c r="O106" t="s">
        <v>185</v>
      </c>
      <c r="P106" t="s">
        <v>170</v>
      </c>
      <c r="Q106">
        <v>51</v>
      </c>
      <c r="R106">
        <v>65</v>
      </c>
      <c r="S106">
        <v>0.96589999999999998</v>
      </c>
      <c r="T106">
        <v>0.9617</v>
      </c>
      <c r="U106">
        <v>0.96399999999999997</v>
      </c>
      <c r="V106">
        <v>0.96330000000000005</v>
      </c>
      <c r="W106">
        <v>0.9647</v>
      </c>
      <c r="X106">
        <v>0.9667</v>
      </c>
      <c r="Y106">
        <v>0.96409999999999996</v>
      </c>
      <c r="Z106">
        <v>0.98299999999999998</v>
      </c>
      <c r="AA106">
        <v>0.97829999999999995</v>
      </c>
      <c r="AB106">
        <v>0.97499999999999998</v>
      </c>
    </row>
    <row r="107" spans="1:28">
      <c r="A107" t="s">
        <v>77</v>
      </c>
      <c r="B107" t="s">
        <v>1084</v>
      </c>
      <c r="C107" t="s">
        <v>1058</v>
      </c>
      <c r="D107" t="s">
        <v>433</v>
      </c>
      <c r="E107" t="s">
        <v>1089</v>
      </c>
      <c r="F107">
        <v>220</v>
      </c>
      <c r="G107" t="s">
        <v>830</v>
      </c>
      <c r="H107" t="s">
        <v>811</v>
      </c>
      <c r="I107" t="s">
        <v>812</v>
      </c>
      <c r="J107" t="s">
        <v>1086</v>
      </c>
      <c r="K107" t="s">
        <v>184</v>
      </c>
      <c r="L107" t="s">
        <v>170</v>
      </c>
      <c r="M107" t="s">
        <v>171</v>
      </c>
      <c r="N107" t="s">
        <v>172</v>
      </c>
      <c r="O107" t="s">
        <v>185</v>
      </c>
      <c r="P107" t="s">
        <v>170</v>
      </c>
      <c r="Q107">
        <v>51</v>
      </c>
      <c r="R107">
        <v>65</v>
      </c>
      <c r="S107">
        <v>0.96589999999999998</v>
      </c>
      <c r="T107">
        <v>0.9617</v>
      </c>
      <c r="U107">
        <v>0.96399999999999997</v>
      </c>
      <c r="V107">
        <v>0.96330000000000005</v>
      </c>
      <c r="W107">
        <v>0.9647</v>
      </c>
      <c r="X107">
        <v>0.9667</v>
      </c>
      <c r="Y107">
        <v>0.96409999999999996</v>
      </c>
      <c r="Z107">
        <v>0.98299999999999998</v>
      </c>
      <c r="AA107">
        <v>0.97829999999999995</v>
      </c>
      <c r="AB107">
        <v>0.97499999999999998</v>
      </c>
    </row>
    <row r="108" spans="1:28">
      <c r="A108" t="s">
        <v>78</v>
      </c>
      <c r="B108" t="s">
        <v>1090</v>
      </c>
      <c r="C108" t="s">
        <v>1058</v>
      </c>
      <c r="D108" t="s">
        <v>434</v>
      </c>
      <c r="E108" t="s">
        <v>1091</v>
      </c>
      <c r="F108">
        <v>220</v>
      </c>
      <c r="G108" t="s">
        <v>830</v>
      </c>
      <c r="H108" t="s">
        <v>811</v>
      </c>
      <c r="I108" t="s">
        <v>812</v>
      </c>
      <c r="J108" t="s">
        <v>1086</v>
      </c>
      <c r="K108" t="s">
        <v>184</v>
      </c>
      <c r="L108" t="s">
        <v>170</v>
      </c>
      <c r="M108" t="s">
        <v>171</v>
      </c>
      <c r="N108" t="s">
        <v>172</v>
      </c>
      <c r="O108" t="s">
        <v>185</v>
      </c>
      <c r="P108" t="s">
        <v>170</v>
      </c>
      <c r="Q108">
        <v>76</v>
      </c>
      <c r="R108">
        <v>100</v>
      </c>
      <c r="S108">
        <v>0.96589999999999998</v>
      </c>
      <c r="T108">
        <v>0.9617</v>
      </c>
      <c r="U108">
        <v>0.96399999999999997</v>
      </c>
      <c r="V108">
        <v>0.96330000000000005</v>
      </c>
      <c r="W108">
        <v>0.9647</v>
      </c>
      <c r="X108">
        <v>0.9667</v>
      </c>
      <c r="Y108">
        <v>0.96409999999999996</v>
      </c>
      <c r="Z108">
        <v>0.98299999999999998</v>
      </c>
      <c r="AA108">
        <v>0.97829999999999995</v>
      </c>
      <c r="AB108">
        <v>0.97499999999999998</v>
      </c>
    </row>
    <row r="109" spans="1:28">
      <c r="A109" t="s">
        <v>78</v>
      </c>
      <c r="B109" t="s">
        <v>1090</v>
      </c>
      <c r="C109" t="s">
        <v>1058</v>
      </c>
      <c r="D109" t="s">
        <v>436</v>
      </c>
      <c r="E109" t="s">
        <v>1092</v>
      </c>
      <c r="F109">
        <v>220</v>
      </c>
      <c r="G109" t="s">
        <v>830</v>
      </c>
      <c r="H109" t="s">
        <v>811</v>
      </c>
      <c r="I109" t="s">
        <v>812</v>
      </c>
      <c r="J109" t="s">
        <v>1086</v>
      </c>
      <c r="K109" t="s">
        <v>184</v>
      </c>
      <c r="L109" t="s">
        <v>170</v>
      </c>
      <c r="M109" t="s">
        <v>171</v>
      </c>
      <c r="N109" t="s">
        <v>172</v>
      </c>
      <c r="O109" t="s">
        <v>185</v>
      </c>
      <c r="P109" t="s">
        <v>170</v>
      </c>
      <c r="Q109">
        <v>76</v>
      </c>
      <c r="R109">
        <v>100</v>
      </c>
      <c r="S109">
        <v>0.96589999999999998</v>
      </c>
      <c r="T109">
        <v>0.9617</v>
      </c>
      <c r="U109">
        <v>0.96399999999999997</v>
      </c>
      <c r="V109">
        <v>0.96330000000000005</v>
      </c>
      <c r="W109">
        <v>0.9647</v>
      </c>
      <c r="X109">
        <v>0.9667</v>
      </c>
      <c r="Y109">
        <v>0.96409999999999996</v>
      </c>
      <c r="Z109">
        <v>0.98299999999999998</v>
      </c>
      <c r="AA109">
        <v>0.97829999999999995</v>
      </c>
      <c r="AB109">
        <v>0.97499999999999998</v>
      </c>
    </row>
    <row r="110" spans="1:28">
      <c r="A110" t="s">
        <v>78</v>
      </c>
      <c r="B110" t="s">
        <v>1090</v>
      </c>
      <c r="C110" t="s">
        <v>1058</v>
      </c>
      <c r="D110" t="s">
        <v>437</v>
      </c>
      <c r="E110" t="s">
        <v>1093</v>
      </c>
      <c r="F110">
        <v>220</v>
      </c>
      <c r="G110" t="s">
        <v>830</v>
      </c>
      <c r="H110" t="s">
        <v>811</v>
      </c>
      <c r="I110" t="s">
        <v>812</v>
      </c>
      <c r="J110" t="s">
        <v>1086</v>
      </c>
      <c r="K110" t="s">
        <v>184</v>
      </c>
      <c r="L110" t="s">
        <v>170</v>
      </c>
      <c r="M110" t="s">
        <v>171</v>
      </c>
      <c r="N110" t="s">
        <v>172</v>
      </c>
      <c r="O110" t="s">
        <v>185</v>
      </c>
      <c r="P110" t="s">
        <v>170</v>
      </c>
      <c r="Q110">
        <v>76</v>
      </c>
      <c r="R110">
        <v>100</v>
      </c>
      <c r="S110">
        <v>0.96589999999999998</v>
      </c>
      <c r="T110">
        <v>0.9617</v>
      </c>
      <c r="U110">
        <v>0.96399999999999997</v>
      </c>
      <c r="V110">
        <v>0.96330000000000005</v>
      </c>
      <c r="W110">
        <v>0.9647</v>
      </c>
      <c r="X110">
        <v>0.9667</v>
      </c>
      <c r="Y110">
        <v>0.96409999999999996</v>
      </c>
      <c r="Z110">
        <v>0.98299999999999998</v>
      </c>
      <c r="AA110">
        <v>0.97829999999999995</v>
      </c>
      <c r="AB110">
        <v>0.97499999999999998</v>
      </c>
    </row>
    <row r="111" spans="1:28">
      <c r="A111" t="s">
        <v>79</v>
      </c>
      <c r="B111" t="s">
        <v>713</v>
      </c>
      <c r="C111" t="s">
        <v>1031</v>
      </c>
      <c r="D111" t="s">
        <v>715</v>
      </c>
      <c r="E111" t="s">
        <v>1094</v>
      </c>
      <c r="F111">
        <v>500</v>
      </c>
      <c r="G111" t="s">
        <v>830</v>
      </c>
      <c r="H111" t="s">
        <v>811</v>
      </c>
      <c r="I111" t="s">
        <v>812</v>
      </c>
      <c r="J111" t="s">
        <v>1095</v>
      </c>
      <c r="K111" t="s">
        <v>184</v>
      </c>
      <c r="L111" t="s">
        <v>170</v>
      </c>
      <c r="M111" t="s">
        <v>171</v>
      </c>
      <c r="N111" t="s">
        <v>172</v>
      </c>
      <c r="O111" t="s">
        <v>185</v>
      </c>
      <c r="P111" t="s">
        <v>170</v>
      </c>
      <c r="Q111">
        <v>50</v>
      </c>
      <c r="R111">
        <v>60</v>
      </c>
      <c r="S111">
        <v>0.97150000000000003</v>
      </c>
      <c r="T111">
        <v>0.96960000000000002</v>
      </c>
      <c r="U111">
        <v>0.97089999999999999</v>
      </c>
      <c r="V111">
        <v>0.96989999999999998</v>
      </c>
      <c r="W111">
        <v>0.97040000000000004</v>
      </c>
      <c r="X111">
        <v>0.97419999999999995</v>
      </c>
      <c r="Y111">
        <v>0.97230000000000005</v>
      </c>
      <c r="Z111">
        <v>0.98009999999999997</v>
      </c>
      <c r="AA111">
        <v>0.9798</v>
      </c>
      <c r="AB111">
        <v>0.97640000000000005</v>
      </c>
    </row>
    <row r="112" spans="1:28">
      <c r="A112" t="s">
        <v>80</v>
      </c>
      <c r="B112" t="s">
        <v>1096</v>
      </c>
      <c r="C112" t="s">
        <v>1097</v>
      </c>
      <c r="D112" t="s">
        <v>412</v>
      </c>
      <c r="E112" t="s">
        <v>1098</v>
      </c>
      <c r="F112">
        <v>220</v>
      </c>
      <c r="G112" t="s">
        <v>810</v>
      </c>
      <c r="H112" t="s">
        <v>811</v>
      </c>
      <c r="I112" t="s">
        <v>812</v>
      </c>
      <c r="J112" t="s">
        <v>1099</v>
      </c>
      <c r="K112" t="s">
        <v>184</v>
      </c>
      <c r="L112" t="s">
        <v>193</v>
      </c>
      <c r="M112" t="s">
        <v>194</v>
      </c>
      <c r="N112" t="s">
        <v>172</v>
      </c>
      <c r="O112" t="s">
        <v>195</v>
      </c>
      <c r="P112" t="s">
        <v>193</v>
      </c>
      <c r="Q112">
        <v>200</v>
      </c>
      <c r="R112">
        <v>200</v>
      </c>
      <c r="S112">
        <v>0.96909999999999996</v>
      </c>
      <c r="T112">
        <v>0.96699999999999997</v>
      </c>
      <c r="U112">
        <v>0.96850000000000003</v>
      </c>
      <c r="V112">
        <v>0.96730000000000005</v>
      </c>
      <c r="W112">
        <v>0.96909999999999996</v>
      </c>
      <c r="X112">
        <v>0.97230000000000005</v>
      </c>
    </row>
    <row r="113" spans="1:28">
      <c r="A113" t="s">
        <v>80</v>
      </c>
      <c r="B113" t="s">
        <v>1096</v>
      </c>
      <c r="C113" t="s">
        <v>1097</v>
      </c>
      <c r="D113" t="s">
        <v>414</v>
      </c>
      <c r="E113" t="s">
        <v>1100</v>
      </c>
      <c r="F113">
        <v>220</v>
      </c>
      <c r="G113" t="s">
        <v>810</v>
      </c>
      <c r="H113" t="s">
        <v>811</v>
      </c>
      <c r="I113" t="s">
        <v>812</v>
      </c>
      <c r="J113" t="s">
        <v>1099</v>
      </c>
      <c r="K113" t="s">
        <v>184</v>
      </c>
      <c r="L113" t="s">
        <v>193</v>
      </c>
      <c r="M113" t="s">
        <v>194</v>
      </c>
      <c r="N113" t="s">
        <v>172</v>
      </c>
      <c r="O113" t="s">
        <v>195</v>
      </c>
      <c r="P113" t="s">
        <v>193</v>
      </c>
      <c r="Q113">
        <v>200</v>
      </c>
      <c r="R113">
        <v>200</v>
      </c>
      <c r="S113">
        <v>0.96909999999999996</v>
      </c>
      <c r="T113">
        <v>0.96699999999999997</v>
      </c>
      <c r="U113">
        <v>0.96850000000000003</v>
      </c>
      <c r="V113">
        <v>0.96730000000000005</v>
      </c>
      <c r="W113">
        <v>0.96909999999999996</v>
      </c>
      <c r="X113">
        <v>0.97230000000000005</v>
      </c>
    </row>
    <row r="114" spans="1:28">
      <c r="A114" t="s">
        <v>80</v>
      </c>
      <c r="B114" t="s">
        <v>1096</v>
      </c>
      <c r="C114" t="s">
        <v>1097</v>
      </c>
      <c r="D114" t="s">
        <v>415</v>
      </c>
      <c r="E114" t="s">
        <v>1101</v>
      </c>
      <c r="F114">
        <v>220</v>
      </c>
      <c r="G114" t="s">
        <v>810</v>
      </c>
      <c r="H114" t="s">
        <v>811</v>
      </c>
      <c r="I114" t="s">
        <v>812</v>
      </c>
      <c r="J114" t="s">
        <v>1099</v>
      </c>
      <c r="K114" t="s">
        <v>184</v>
      </c>
      <c r="L114" t="s">
        <v>193</v>
      </c>
      <c r="M114" t="s">
        <v>194</v>
      </c>
      <c r="N114" t="s">
        <v>172</v>
      </c>
      <c r="O114" t="s">
        <v>195</v>
      </c>
      <c r="P114" t="s">
        <v>193</v>
      </c>
      <c r="Q114">
        <v>200</v>
      </c>
      <c r="R114">
        <v>200</v>
      </c>
      <c r="S114">
        <v>0.96909999999999996</v>
      </c>
      <c r="T114">
        <v>0.96699999999999997</v>
      </c>
      <c r="U114">
        <v>0.96850000000000003</v>
      </c>
      <c r="V114">
        <v>0.96730000000000005</v>
      </c>
      <c r="W114">
        <v>0.96909999999999996</v>
      </c>
      <c r="X114">
        <v>0.97230000000000005</v>
      </c>
    </row>
    <row r="115" spans="1:28">
      <c r="A115" t="s">
        <v>80</v>
      </c>
      <c r="B115" t="s">
        <v>1096</v>
      </c>
      <c r="C115" t="s">
        <v>1097</v>
      </c>
      <c r="D115" t="s">
        <v>416</v>
      </c>
      <c r="E115" t="s">
        <v>1102</v>
      </c>
      <c r="F115">
        <v>220</v>
      </c>
      <c r="G115" t="s">
        <v>810</v>
      </c>
      <c r="H115" t="s">
        <v>811</v>
      </c>
      <c r="I115" t="s">
        <v>812</v>
      </c>
      <c r="J115" t="s">
        <v>1099</v>
      </c>
      <c r="K115" t="s">
        <v>184</v>
      </c>
      <c r="L115" t="s">
        <v>193</v>
      </c>
      <c r="M115" t="s">
        <v>194</v>
      </c>
      <c r="N115" t="s">
        <v>172</v>
      </c>
      <c r="O115" t="s">
        <v>195</v>
      </c>
      <c r="P115" t="s">
        <v>193</v>
      </c>
      <c r="Q115">
        <v>200</v>
      </c>
      <c r="R115">
        <v>200</v>
      </c>
      <c r="S115">
        <v>0.96909999999999996</v>
      </c>
      <c r="T115">
        <v>0.96699999999999997</v>
      </c>
      <c r="U115">
        <v>0.96850000000000003</v>
      </c>
      <c r="V115">
        <v>0.96730000000000005</v>
      </c>
      <c r="W115">
        <v>0.96909999999999996</v>
      </c>
      <c r="X115">
        <v>0.97230000000000005</v>
      </c>
    </row>
    <row r="116" spans="1:28">
      <c r="A116" t="s">
        <v>80</v>
      </c>
      <c r="B116" t="s">
        <v>1096</v>
      </c>
      <c r="C116" t="s">
        <v>1097</v>
      </c>
      <c r="D116" t="s">
        <v>417</v>
      </c>
      <c r="E116" t="s">
        <v>1103</v>
      </c>
      <c r="F116">
        <v>220</v>
      </c>
      <c r="G116" t="s">
        <v>810</v>
      </c>
      <c r="H116" t="s">
        <v>811</v>
      </c>
      <c r="I116" t="s">
        <v>812</v>
      </c>
      <c r="J116" t="s">
        <v>1099</v>
      </c>
      <c r="K116" t="s">
        <v>184</v>
      </c>
      <c r="L116" t="s">
        <v>193</v>
      </c>
      <c r="M116" t="s">
        <v>194</v>
      </c>
      <c r="N116" t="s">
        <v>172</v>
      </c>
      <c r="O116" t="s">
        <v>195</v>
      </c>
      <c r="P116" t="s">
        <v>193</v>
      </c>
      <c r="Q116">
        <v>200</v>
      </c>
      <c r="R116">
        <v>200</v>
      </c>
      <c r="S116">
        <v>0.96909999999999996</v>
      </c>
      <c r="T116">
        <v>0.96699999999999997</v>
      </c>
      <c r="U116">
        <v>0.96850000000000003</v>
      </c>
      <c r="V116">
        <v>0.96730000000000005</v>
      </c>
      <c r="W116">
        <v>0.96909999999999996</v>
      </c>
      <c r="X116">
        <v>0.97230000000000005</v>
      </c>
    </row>
    <row r="117" spans="1:28">
      <c r="A117" t="s">
        <v>80</v>
      </c>
      <c r="B117" t="s">
        <v>1096</v>
      </c>
      <c r="C117" t="s">
        <v>1097</v>
      </c>
      <c r="D117" t="s">
        <v>418</v>
      </c>
      <c r="E117" t="s">
        <v>1104</v>
      </c>
      <c r="F117">
        <v>220</v>
      </c>
      <c r="G117" t="s">
        <v>810</v>
      </c>
      <c r="H117" t="s">
        <v>811</v>
      </c>
      <c r="I117" t="s">
        <v>812</v>
      </c>
      <c r="J117" t="s">
        <v>1099</v>
      </c>
      <c r="K117" t="s">
        <v>184</v>
      </c>
      <c r="L117" t="s">
        <v>193</v>
      </c>
      <c r="M117" t="s">
        <v>194</v>
      </c>
      <c r="N117" t="s">
        <v>172</v>
      </c>
      <c r="O117" t="s">
        <v>195</v>
      </c>
      <c r="P117" t="s">
        <v>193</v>
      </c>
      <c r="Q117">
        <v>200</v>
      </c>
      <c r="R117">
        <v>200</v>
      </c>
      <c r="S117">
        <v>0.96909999999999996</v>
      </c>
      <c r="T117">
        <v>0.96699999999999997</v>
      </c>
      <c r="U117">
        <v>0.96850000000000003</v>
      </c>
      <c r="V117">
        <v>0.96730000000000005</v>
      </c>
      <c r="W117">
        <v>0.96909999999999996</v>
      </c>
      <c r="X117">
        <v>0.97230000000000005</v>
      </c>
    </row>
    <row r="118" spans="1:28">
      <c r="A118" t="s">
        <v>80</v>
      </c>
      <c r="B118" t="s">
        <v>1096</v>
      </c>
      <c r="C118" t="s">
        <v>1097</v>
      </c>
      <c r="D118" t="s">
        <v>419</v>
      </c>
      <c r="E118" t="s">
        <v>1105</v>
      </c>
      <c r="F118">
        <v>220</v>
      </c>
      <c r="G118" t="s">
        <v>810</v>
      </c>
      <c r="H118" t="s">
        <v>811</v>
      </c>
      <c r="I118" t="s">
        <v>812</v>
      </c>
      <c r="J118" t="s">
        <v>1099</v>
      </c>
      <c r="K118" t="s">
        <v>184</v>
      </c>
      <c r="L118" t="s">
        <v>193</v>
      </c>
      <c r="M118" t="s">
        <v>194</v>
      </c>
      <c r="N118" t="s">
        <v>172</v>
      </c>
      <c r="O118" t="s">
        <v>195</v>
      </c>
      <c r="P118" t="s">
        <v>193</v>
      </c>
      <c r="Q118">
        <v>200</v>
      </c>
      <c r="R118">
        <v>200</v>
      </c>
      <c r="S118">
        <v>0.96909999999999996</v>
      </c>
      <c r="T118">
        <v>0.96699999999999997</v>
      </c>
      <c r="U118">
        <v>0.96850000000000003</v>
      </c>
      <c r="V118">
        <v>0.96730000000000005</v>
      </c>
      <c r="W118">
        <v>0.96909999999999996</v>
      </c>
      <c r="X118">
        <v>0.97230000000000005</v>
      </c>
    </row>
    <row r="119" spans="1:28">
      <c r="A119" t="s">
        <v>80</v>
      </c>
      <c r="B119" t="s">
        <v>1096</v>
      </c>
      <c r="C119" t="s">
        <v>1097</v>
      </c>
      <c r="D119" t="s">
        <v>420</v>
      </c>
      <c r="E119" t="s">
        <v>1106</v>
      </c>
      <c r="F119">
        <v>220</v>
      </c>
      <c r="G119" t="s">
        <v>810</v>
      </c>
      <c r="H119" t="s">
        <v>811</v>
      </c>
      <c r="I119" t="s">
        <v>812</v>
      </c>
      <c r="J119" t="s">
        <v>1099</v>
      </c>
      <c r="K119" t="s">
        <v>184</v>
      </c>
      <c r="L119" t="s">
        <v>193</v>
      </c>
      <c r="M119" t="s">
        <v>194</v>
      </c>
      <c r="N119" t="s">
        <v>172</v>
      </c>
      <c r="O119" t="s">
        <v>195</v>
      </c>
      <c r="P119" t="s">
        <v>193</v>
      </c>
      <c r="Q119">
        <v>200</v>
      </c>
      <c r="R119">
        <v>200</v>
      </c>
      <c r="S119">
        <v>0.96909999999999996</v>
      </c>
      <c r="T119">
        <v>0.96699999999999997</v>
      </c>
      <c r="U119">
        <v>0.96850000000000003</v>
      </c>
      <c r="V119">
        <v>0.96730000000000005</v>
      </c>
      <c r="W119">
        <v>0.96909999999999996</v>
      </c>
      <c r="X119">
        <v>0.97230000000000005</v>
      </c>
    </row>
    <row r="120" spans="1:28">
      <c r="A120" t="s">
        <v>81</v>
      </c>
      <c r="B120" t="s">
        <v>1107</v>
      </c>
      <c r="C120" t="s">
        <v>1108</v>
      </c>
      <c r="D120" t="s">
        <v>777</v>
      </c>
      <c r="E120" t="s">
        <v>1109</v>
      </c>
      <c r="F120">
        <v>220</v>
      </c>
      <c r="G120" t="s">
        <v>810</v>
      </c>
      <c r="H120" t="s">
        <v>811</v>
      </c>
      <c r="I120" t="s">
        <v>812</v>
      </c>
      <c r="J120" t="s">
        <v>1110</v>
      </c>
      <c r="K120" t="s">
        <v>184</v>
      </c>
      <c r="L120" t="s">
        <v>193</v>
      </c>
      <c r="M120" t="s">
        <v>194</v>
      </c>
      <c r="N120" t="s">
        <v>172</v>
      </c>
      <c r="O120" t="s">
        <v>195</v>
      </c>
      <c r="P120" t="s">
        <v>193</v>
      </c>
      <c r="Q120">
        <v>360</v>
      </c>
      <c r="R120">
        <v>395</v>
      </c>
      <c r="S120">
        <v>0.95820000000000005</v>
      </c>
      <c r="T120">
        <v>0.95609999999999995</v>
      </c>
      <c r="U120">
        <v>0.95599999999999996</v>
      </c>
      <c r="V120">
        <v>0.94969999999999999</v>
      </c>
      <c r="W120">
        <v>0.95379999999999998</v>
      </c>
      <c r="X120">
        <v>0.95889999999999997</v>
      </c>
      <c r="Y120">
        <v>0.95409999999999995</v>
      </c>
      <c r="Z120">
        <v>0.97019999999999995</v>
      </c>
      <c r="AA120">
        <v>0.96960000000000002</v>
      </c>
      <c r="AB120">
        <v>0.96579999999999999</v>
      </c>
    </row>
    <row r="121" spans="1:28">
      <c r="A121" t="s">
        <v>81</v>
      </c>
      <c r="B121" t="s">
        <v>1107</v>
      </c>
      <c r="C121" t="s">
        <v>1108</v>
      </c>
      <c r="D121" t="s">
        <v>779</v>
      </c>
      <c r="E121" t="s">
        <v>1111</v>
      </c>
      <c r="F121">
        <v>220</v>
      </c>
      <c r="G121" t="s">
        <v>810</v>
      </c>
      <c r="H121" t="s">
        <v>811</v>
      </c>
      <c r="I121" t="s">
        <v>812</v>
      </c>
      <c r="J121" t="s">
        <v>1110</v>
      </c>
      <c r="K121" t="s">
        <v>184</v>
      </c>
      <c r="L121" t="s">
        <v>193</v>
      </c>
      <c r="M121" t="s">
        <v>194</v>
      </c>
      <c r="N121" t="s">
        <v>172</v>
      </c>
      <c r="O121" t="s">
        <v>195</v>
      </c>
      <c r="P121" t="s">
        <v>193</v>
      </c>
      <c r="Q121">
        <v>360</v>
      </c>
      <c r="R121">
        <v>380</v>
      </c>
      <c r="S121">
        <v>0.94710000000000005</v>
      </c>
      <c r="T121">
        <v>0.95120000000000005</v>
      </c>
      <c r="U121">
        <v>0.94940000000000002</v>
      </c>
      <c r="V121">
        <v>0.94810000000000005</v>
      </c>
      <c r="W121">
        <v>0.9536</v>
      </c>
      <c r="X121">
        <v>0.95630000000000004</v>
      </c>
      <c r="Y121">
        <v>0.95089999999999997</v>
      </c>
      <c r="Z121">
        <v>0.95579999999999998</v>
      </c>
      <c r="AA121">
        <v>0.95730000000000004</v>
      </c>
      <c r="AB121">
        <v>0.95350000000000001</v>
      </c>
    </row>
    <row r="122" spans="1:28">
      <c r="A122" t="s">
        <v>81</v>
      </c>
      <c r="B122" t="s">
        <v>1107</v>
      </c>
      <c r="C122" t="s">
        <v>1108</v>
      </c>
      <c r="D122" t="s">
        <v>780</v>
      </c>
      <c r="E122" t="s">
        <v>1112</v>
      </c>
      <c r="F122">
        <v>220</v>
      </c>
      <c r="G122" t="s">
        <v>810</v>
      </c>
      <c r="H122" t="s">
        <v>811</v>
      </c>
      <c r="I122" t="s">
        <v>812</v>
      </c>
      <c r="J122" t="s">
        <v>1110</v>
      </c>
      <c r="K122" t="s">
        <v>184</v>
      </c>
      <c r="L122" t="s">
        <v>193</v>
      </c>
      <c r="M122" t="s">
        <v>194</v>
      </c>
      <c r="N122" t="s">
        <v>172</v>
      </c>
      <c r="O122" t="s">
        <v>195</v>
      </c>
      <c r="P122" t="s">
        <v>193</v>
      </c>
      <c r="Q122">
        <v>380</v>
      </c>
      <c r="R122">
        <v>405</v>
      </c>
      <c r="S122">
        <v>0.94710000000000005</v>
      </c>
      <c r="T122">
        <v>0.95120000000000005</v>
      </c>
      <c r="U122">
        <v>0.94940000000000002</v>
      </c>
      <c r="V122">
        <v>0.94810000000000005</v>
      </c>
      <c r="W122">
        <v>0.9536</v>
      </c>
      <c r="X122">
        <v>0.95630000000000004</v>
      </c>
      <c r="Y122">
        <v>0.95089999999999997</v>
      </c>
      <c r="Z122">
        <v>0.95579999999999998</v>
      </c>
      <c r="AA122">
        <v>0.95730000000000004</v>
      </c>
      <c r="AB122">
        <v>0.95350000000000001</v>
      </c>
    </row>
    <row r="123" spans="1:28">
      <c r="A123" t="s">
        <v>81</v>
      </c>
      <c r="B123" t="s">
        <v>1107</v>
      </c>
      <c r="C123" t="s">
        <v>1108</v>
      </c>
      <c r="D123" t="s">
        <v>781</v>
      </c>
      <c r="E123" t="s">
        <v>1113</v>
      </c>
      <c r="F123">
        <v>220</v>
      </c>
      <c r="G123" t="s">
        <v>810</v>
      </c>
      <c r="H123" t="s">
        <v>811</v>
      </c>
      <c r="I123" t="s">
        <v>812</v>
      </c>
      <c r="J123" t="s">
        <v>1110</v>
      </c>
      <c r="K123" t="s">
        <v>184</v>
      </c>
      <c r="L123" t="s">
        <v>193</v>
      </c>
      <c r="M123" t="s">
        <v>194</v>
      </c>
      <c r="N123" t="s">
        <v>172</v>
      </c>
      <c r="O123" t="s">
        <v>195</v>
      </c>
      <c r="P123" t="s">
        <v>193</v>
      </c>
      <c r="Q123">
        <v>380</v>
      </c>
      <c r="R123">
        <v>405</v>
      </c>
      <c r="S123">
        <v>0.94710000000000005</v>
      </c>
      <c r="T123">
        <v>0.95120000000000005</v>
      </c>
      <c r="U123">
        <v>0.94940000000000002</v>
      </c>
      <c r="V123">
        <v>0.94810000000000005</v>
      </c>
      <c r="W123">
        <v>0.9536</v>
      </c>
      <c r="X123">
        <v>0.95630000000000004</v>
      </c>
      <c r="Y123">
        <v>0.95089999999999997</v>
      </c>
      <c r="Z123">
        <v>0.95579999999999998</v>
      </c>
      <c r="AA123">
        <v>0.95730000000000004</v>
      </c>
      <c r="AB123">
        <v>0.95350000000000001</v>
      </c>
    </row>
    <row r="124" spans="1:28">
      <c r="A124" t="s">
        <v>82</v>
      </c>
      <c r="B124" t="s">
        <v>1114</v>
      </c>
      <c r="C124" t="s">
        <v>1115</v>
      </c>
      <c r="D124" t="s">
        <v>236</v>
      </c>
      <c r="E124" t="s">
        <v>1116</v>
      </c>
      <c r="F124">
        <v>66</v>
      </c>
      <c r="G124" t="s">
        <v>830</v>
      </c>
      <c r="H124" t="s">
        <v>811</v>
      </c>
      <c r="I124" t="s">
        <v>812</v>
      </c>
      <c r="J124" t="s">
        <v>1117</v>
      </c>
      <c r="K124" t="s">
        <v>184</v>
      </c>
      <c r="L124" t="s">
        <v>170</v>
      </c>
      <c r="M124" t="s">
        <v>171</v>
      </c>
      <c r="N124" t="s">
        <v>172</v>
      </c>
      <c r="O124" t="s">
        <v>185</v>
      </c>
      <c r="P124" t="s">
        <v>170</v>
      </c>
      <c r="Q124">
        <v>47</v>
      </c>
      <c r="R124">
        <v>47</v>
      </c>
      <c r="S124">
        <v>0.96830000000000005</v>
      </c>
      <c r="T124">
        <v>0.96799999999999997</v>
      </c>
      <c r="U124">
        <v>0.97009999999999996</v>
      </c>
      <c r="V124">
        <v>0.97519999999999996</v>
      </c>
      <c r="W124">
        <v>0.97450000000000003</v>
      </c>
      <c r="X124">
        <v>0.97709999999999997</v>
      </c>
      <c r="Y124">
        <v>0.97450000000000003</v>
      </c>
      <c r="Z124">
        <v>0.98629999999999995</v>
      </c>
      <c r="AA124">
        <v>0.98660000000000003</v>
      </c>
      <c r="AB124">
        <v>0.98819999999999997</v>
      </c>
    </row>
    <row r="125" spans="1:28">
      <c r="A125" t="s">
        <v>82</v>
      </c>
      <c r="B125" t="s">
        <v>1114</v>
      </c>
      <c r="C125" t="s">
        <v>1115</v>
      </c>
      <c r="D125" t="s">
        <v>238</v>
      </c>
      <c r="E125" t="s">
        <v>1118</v>
      </c>
      <c r="F125">
        <v>66</v>
      </c>
      <c r="G125" t="s">
        <v>830</v>
      </c>
      <c r="H125" t="s">
        <v>811</v>
      </c>
      <c r="I125" t="s">
        <v>812</v>
      </c>
      <c r="J125" t="s">
        <v>1117</v>
      </c>
      <c r="K125" t="s">
        <v>184</v>
      </c>
      <c r="L125" t="s">
        <v>170</v>
      </c>
      <c r="M125" t="s">
        <v>171</v>
      </c>
      <c r="N125" t="s">
        <v>172</v>
      </c>
      <c r="O125" t="s">
        <v>185</v>
      </c>
      <c r="P125" t="s">
        <v>170</v>
      </c>
      <c r="Q125">
        <v>47</v>
      </c>
      <c r="R125">
        <v>47</v>
      </c>
      <c r="S125">
        <v>0.96830000000000005</v>
      </c>
      <c r="T125">
        <v>0.96799999999999997</v>
      </c>
      <c r="U125">
        <v>0.97009999999999996</v>
      </c>
      <c r="V125">
        <v>0.97519999999999996</v>
      </c>
      <c r="W125">
        <v>0.97450000000000003</v>
      </c>
      <c r="X125">
        <v>0.97709999999999997</v>
      </c>
      <c r="Y125">
        <v>0.97450000000000003</v>
      </c>
      <c r="Z125">
        <v>0.98629999999999995</v>
      </c>
      <c r="AA125">
        <v>0.98660000000000003</v>
      </c>
      <c r="AB125">
        <v>0.98819999999999997</v>
      </c>
    </row>
    <row r="126" spans="1:28">
      <c r="A126" t="s">
        <v>83</v>
      </c>
      <c r="B126" t="s">
        <v>681</v>
      </c>
      <c r="C126" t="s">
        <v>1119</v>
      </c>
      <c r="D126" t="s">
        <v>681</v>
      </c>
      <c r="E126" t="s">
        <v>1120</v>
      </c>
      <c r="F126">
        <v>66</v>
      </c>
      <c r="G126" t="s">
        <v>823</v>
      </c>
      <c r="H126" t="s">
        <v>811</v>
      </c>
      <c r="I126" t="s">
        <v>804</v>
      </c>
      <c r="J126" t="s">
        <v>1121</v>
      </c>
      <c r="K126" t="s">
        <v>184</v>
      </c>
      <c r="L126" t="s">
        <v>198</v>
      </c>
      <c r="M126" t="s">
        <v>198</v>
      </c>
      <c r="N126" t="s">
        <v>199</v>
      </c>
      <c r="O126" t="s">
        <v>200</v>
      </c>
      <c r="P126" t="s">
        <v>198</v>
      </c>
      <c r="Q126">
        <v>21</v>
      </c>
      <c r="R126">
        <v>21</v>
      </c>
      <c r="S126">
        <v>0.97189999999999999</v>
      </c>
      <c r="T126">
        <v>0.97030000000000005</v>
      </c>
      <c r="U126">
        <v>0.97130000000000005</v>
      </c>
      <c r="V126">
        <v>0.97799999999999998</v>
      </c>
      <c r="W126">
        <v>0.97770000000000001</v>
      </c>
      <c r="X126">
        <v>0.97989999999999999</v>
      </c>
      <c r="Y126">
        <v>0.97589999999999999</v>
      </c>
      <c r="Z126">
        <v>0.98860000000000003</v>
      </c>
      <c r="AA126">
        <v>0.9879</v>
      </c>
      <c r="AB126">
        <v>0.99470000000000003</v>
      </c>
    </row>
    <row r="127" spans="1:28">
      <c r="A127" t="s">
        <v>84</v>
      </c>
      <c r="B127" t="s">
        <v>1122</v>
      </c>
      <c r="C127" t="s">
        <v>1123</v>
      </c>
      <c r="D127" t="s">
        <v>204</v>
      </c>
      <c r="E127" t="s">
        <v>1124</v>
      </c>
      <c r="F127">
        <v>66</v>
      </c>
      <c r="G127" t="s">
        <v>810</v>
      </c>
      <c r="H127" t="s">
        <v>811</v>
      </c>
      <c r="I127" t="s">
        <v>841</v>
      </c>
      <c r="J127" t="s">
        <v>1125</v>
      </c>
      <c r="K127" t="s">
        <v>184</v>
      </c>
      <c r="L127" t="s">
        <v>198</v>
      </c>
      <c r="M127" t="s">
        <v>198</v>
      </c>
      <c r="N127" t="s">
        <v>199</v>
      </c>
      <c r="O127" t="s">
        <v>200</v>
      </c>
      <c r="P127" t="s">
        <v>198</v>
      </c>
      <c r="Q127">
        <v>106.6</v>
      </c>
      <c r="R127">
        <v>120</v>
      </c>
      <c r="W127">
        <v>0.97770000000000001</v>
      </c>
      <c r="X127">
        <v>0.97989999999999999</v>
      </c>
      <c r="Y127">
        <v>0.97589999999999999</v>
      </c>
      <c r="Z127">
        <v>0.98860000000000003</v>
      </c>
      <c r="AA127">
        <v>0.9879</v>
      </c>
      <c r="AB127">
        <v>0.99470000000000003</v>
      </c>
    </row>
    <row r="128" spans="1:28">
      <c r="A128" t="s">
        <v>85</v>
      </c>
      <c r="B128" t="s">
        <v>191</v>
      </c>
      <c r="C128" t="s">
        <v>1126</v>
      </c>
      <c r="D128" t="s">
        <v>191</v>
      </c>
      <c r="E128" t="s">
        <v>1127</v>
      </c>
      <c r="F128">
        <v>220</v>
      </c>
      <c r="G128" t="s">
        <v>810</v>
      </c>
      <c r="H128" t="s">
        <v>811</v>
      </c>
      <c r="I128" t="s">
        <v>812</v>
      </c>
      <c r="J128" t="s">
        <v>1128</v>
      </c>
      <c r="K128" t="s">
        <v>184</v>
      </c>
      <c r="L128" t="s">
        <v>193</v>
      </c>
      <c r="M128" t="s">
        <v>194</v>
      </c>
      <c r="N128" t="s">
        <v>172</v>
      </c>
      <c r="O128" t="s">
        <v>195</v>
      </c>
      <c r="P128" t="s">
        <v>193</v>
      </c>
      <c r="Q128">
        <v>150</v>
      </c>
      <c r="R128">
        <v>150</v>
      </c>
      <c r="S128">
        <v>1.0114000000000001</v>
      </c>
      <c r="T128">
        <v>1.0121</v>
      </c>
      <c r="U128">
        <v>1.0135000000000001</v>
      </c>
      <c r="V128">
        <v>1.0112000000000001</v>
      </c>
      <c r="W128">
        <v>0.9849</v>
      </c>
      <c r="X128">
        <v>0.99150000000000005</v>
      </c>
    </row>
    <row r="129" spans="1:28">
      <c r="A129" t="s">
        <v>86</v>
      </c>
      <c r="B129" t="s">
        <v>1129</v>
      </c>
      <c r="C129" t="s">
        <v>1130</v>
      </c>
      <c r="D129" t="s">
        <v>507</v>
      </c>
      <c r="E129" t="s">
        <v>1131</v>
      </c>
      <c r="F129">
        <v>220</v>
      </c>
      <c r="G129" t="s">
        <v>810</v>
      </c>
      <c r="H129" t="s">
        <v>811</v>
      </c>
      <c r="I129" t="s">
        <v>841</v>
      </c>
      <c r="J129" t="s">
        <v>1132</v>
      </c>
      <c r="K129" t="s">
        <v>184</v>
      </c>
      <c r="L129" t="s">
        <v>198</v>
      </c>
      <c r="M129" t="s">
        <v>198</v>
      </c>
      <c r="N129" t="s">
        <v>199</v>
      </c>
      <c r="O129" t="s">
        <v>200</v>
      </c>
      <c r="P129" t="s">
        <v>198</v>
      </c>
      <c r="Q129">
        <v>131</v>
      </c>
      <c r="R129">
        <v>131</v>
      </c>
      <c r="W129">
        <v>1.0064</v>
      </c>
      <c r="X129">
        <v>1.0033000000000001</v>
      </c>
      <c r="Y129">
        <v>1.0047999999999999</v>
      </c>
      <c r="Z129">
        <v>1.0009999999999999</v>
      </c>
      <c r="AA129">
        <v>0.9909</v>
      </c>
      <c r="AB129">
        <v>0.9587</v>
      </c>
    </row>
    <row r="130" spans="1:28">
      <c r="A130" t="s">
        <v>87</v>
      </c>
      <c r="B130" t="s">
        <v>727</v>
      </c>
      <c r="C130" t="s">
        <v>1133</v>
      </c>
      <c r="D130" t="s">
        <v>727</v>
      </c>
      <c r="E130" t="s">
        <v>1134</v>
      </c>
      <c r="F130">
        <v>220</v>
      </c>
      <c r="G130" t="s">
        <v>823</v>
      </c>
      <c r="H130" t="s">
        <v>811</v>
      </c>
      <c r="I130" t="s">
        <v>804</v>
      </c>
      <c r="J130" t="s">
        <v>1135</v>
      </c>
      <c r="K130" t="s">
        <v>184</v>
      </c>
      <c r="L130" t="s">
        <v>198</v>
      </c>
      <c r="M130" t="s">
        <v>198</v>
      </c>
      <c r="N130" t="s">
        <v>199</v>
      </c>
      <c r="O130" t="s">
        <v>200</v>
      </c>
      <c r="P130" t="s">
        <v>198</v>
      </c>
      <c r="Q130">
        <v>192</v>
      </c>
      <c r="R130">
        <v>192</v>
      </c>
      <c r="S130">
        <v>1.0353000000000001</v>
      </c>
      <c r="T130">
        <v>1.0226</v>
      </c>
      <c r="U130">
        <v>1.0251999999999999</v>
      </c>
      <c r="V130">
        <v>1.0182</v>
      </c>
      <c r="W130">
        <v>1.0157</v>
      </c>
      <c r="X130">
        <v>1.0122</v>
      </c>
      <c r="Y130">
        <v>1.0111000000000001</v>
      </c>
      <c r="Z130">
        <v>0.99970000000000003</v>
      </c>
      <c r="AA130">
        <v>0.97840000000000005</v>
      </c>
      <c r="AB130">
        <v>0.91869999999999996</v>
      </c>
    </row>
    <row r="131" spans="1:28">
      <c r="A131" t="s">
        <v>88</v>
      </c>
      <c r="B131" t="s">
        <v>1136</v>
      </c>
      <c r="C131" t="s">
        <v>1137</v>
      </c>
      <c r="D131" t="s">
        <v>311</v>
      </c>
      <c r="E131" t="s">
        <v>1138</v>
      </c>
      <c r="F131">
        <v>66</v>
      </c>
      <c r="G131" t="s">
        <v>823</v>
      </c>
      <c r="H131" t="s">
        <v>803</v>
      </c>
      <c r="I131" t="s">
        <v>804</v>
      </c>
      <c r="J131" t="s">
        <v>1139</v>
      </c>
      <c r="K131" t="s">
        <v>184</v>
      </c>
      <c r="L131" t="s">
        <v>198</v>
      </c>
      <c r="M131" t="s">
        <v>198</v>
      </c>
      <c r="N131" t="s">
        <v>199</v>
      </c>
      <c r="O131" t="s">
        <v>200</v>
      </c>
      <c r="P131" t="s">
        <v>198</v>
      </c>
      <c r="Q131">
        <v>52.5</v>
      </c>
      <c r="R131">
        <v>53</v>
      </c>
      <c r="AA131">
        <v>0.99570000000000003</v>
      </c>
      <c r="AB131">
        <v>0.91300000000000003</v>
      </c>
    </row>
    <row r="132" spans="1:28">
      <c r="A132" t="s">
        <v>89</v>
      </c>
      <c r="B132" t="s">
        <v>1140</v>
      </c>
      <c r="C132" t="s">
        <v>839</v>
      </c>
      <c r="D132" t="s">
        <v>559</v>
      </c>
      <c r="E132" t="s">
        <v>1141</v>
      </c>
      <c r="F132">
        <v>66</v>
      </c>
      <c r="G132" t="s">
        <v>810</v>
      </c>
      <c r="H132" t="s">
        <v>811</v>
      </c>
      <c r="I132" t="s">
        <v>841</v>
      </c>
      <c r="J132" t="s">
        <v>1142</v>
      </c>
      <c r="K132" t="s">
        <v>184</v>
      </c>
      <c r="L132" t="s">
        <v>198</v>
      </c>
      <c r="M132" t="s">
        <v>198</v>
      </c>
      <c r="N132" t="s">
        <v>199</v>
      </c>
      <c r="O132" t="s">
        <v>200</v>
      </c>
      <c r="P132" t="s">
        <v>198</v>
      </c>
      <c r="Q132">
        <v>67</v>
      </c>
      <c r="R132">
        <v>63</v>
      </c>
      <c r="U132">
        <v>1.0347</v>
      </c>
      <c r="V132">
        <v>1.0284</v>
      </c>
      <c r="W132">
        <v>1.0262</v>
      </c>
      <c r="X132">
        <v>1.03</v>
      </c>
      <c r="Y132">
        <v>1.0339</v>
      </c>
      <c r="Z132">
        <v>1.0322</v>
      </c>
      <c r="AA132">
        <v>1.0148999999999999</v>
      </c>
      <c r="AB132">
        <v>0.99909999999999999</v>
      </c>
    </row>
    <row r="133" spans="1:28">
      <c r="A133" t="s">
        <v>90</v>
      </c>
      <c r="B133" t="s">
        <v>1143</v>
      </c>
      <c r="C133" t="s">
        <v>1144</v>
      </c>
      <c r="D133" t="s">
        <v>516</v>
      </c>
      <c r="E133" t="s">
        <v>1145</v>
      </c>
      <c r="F133">
        <v>66</v>
      </c>
      <c r="G133" t="s">
        <v>823</v>
      </c>
      <c r="H133" t="s">
        <v>811</v>
      </c>
      <c r="I133" t="s">
        <v>804</v>
      </c>
      <c r="J133" t="s">
        <v>1146</v>
      </c>
      <c r="K133" t="s">
        <v>184</v>
      </c>
      <c r="L133" t="s">
        <v>198</v>
      </c>
      <c r="M133" t="s">
        <v>198</v>
      </c>
      <c r="N133" t="s">
        <v>199</v>
      </c>
      <c r="O133" t="s">
        <v>200</v>
      </c>
      <c r="P133" t="s">
        <v>198</v>
      </c>
      <c r="Q133">
        <v>20</v>
      </c>
      <c r="R133">
        <v>20</v>
      </c>
      <c r="U133">
        <v>1.0347</v>
      </c>
      <c r="V133">
        <v>1.0284</v>
      </c>
      <c r="W133">
        <v>1.0262</v>
      </c>
      <c r="X133">
        <v>1.03</v>
      </c>
      <c r="Y133">
        <v>1.0339</v>
      </c>
      <c r="Z133">
        <v>1.0322</v>
      </c>
      <c r="AA133">
        <v>1.0148999999999999</v>
      </c>
      <c r="AB133">
        <v>0.99909999999999999</v>
      </c>
    </row>
    <row r="134" spans="1:28">
      <c r="A134" t="s">
        <v>91</v>
      </c>
      <c r="B134" t="s">
        <v>1147</v>
      </c>
      <c r="C134" t="s">
        <v>839</v>
      </c>
      <c r="D134" t="s">
        <v>494</v>
      </c>
      <c r="E134" t="s">
        <v>1148</v>
      </c>
      <c r="F134">
        <v>500</v>
      </c>
      <c r="G134" t="s">
        <v>810</v>
      </c>
      <c r="H134" t="s">
        <v>811</v>
      </c>
      <c r="I134" t="s">
        <v>841</v>
      </c>
      <c r="J134" t="s">
        <v>1149</v>
      </c>
      <c r="K134" t="s">
        <v>184</v>
      </c>
      <c r="L134" t="s">
        <v>198</v>
      </c>
      <c r="M134" t="s">
        <v>198</v>
      </c>
      <c r="N134" t="s">
        <v>199</v>
      </c>
      <c r="O134" t="s">
        <v>200</v>
      </c>
      <c r="P134" t="s">
        <v>198</v>
      </c>
      <c r="Q134">
        <v>420</v>
      </c>
      <c r="R134">
        <v>420</v>
      </c>
      <c r="U134">
        <v>1.0049999999999999</v>
      </c>
      <c r="V134">
        <v>1.0042</v>
      </c>
      <c r="W134">
        <v>0.99460000000000004</v>
      </c>
      <c r="X134">
        <v>0.99399999999999999</v>
      </c>
      <c r="Y134">
        <v>1.0022</v>
      </c>
      <c r="Z134">
        <v>1.0017</v>
      </c>
      <c r="AA134">
        <v>0.99709999999999999</v>
      </c>
      <c r="AB134">
        <v>0.98209999999999997</v>
      </c>
    </row>
    <row r="135" spans="1:28">
      <c r="A135" t="s">
        <v>92</v>
      </c>
      <c r="B135" t="s">
        <v>1150</v>
      </c>
      <c r="C135" t="s">
        <v>889</v>
      </c>
      <c r="D135" t="s">
        <v>526</v>
      </c>
      <c r="E135" t="s">
        <v>1151</v>
      </c>
      <c r="F135">
        <v>500</v>
      </c>
      <c r="G135" t="s">
        <v>830</v>
      </c>
      <c r="H135" t="s">
        <v>811</v>
      </c>
      <c r="I135" t="s">
        <v>812</v>
      </c>
      <c r="J135" t="s">
        <v>1152</v>
      </c>
      <c r="K135" t="s">
        <v>184</v>
      </c>
      <c r="L135" t="s">
        <v>170</v>
      </c>
      <c r="M135" t="s">
        <v>171</v>
      </c>
      <c r="N135" t="s">
        <v>172</v>
      </c>
      <c r="O135" t="s">
        <v>185</v>
      </c>
      <c r="P135" t="s">
        <v>170</v>
      </c>
      <c r="Q135">
        <v>283</v>
      </c>
      <c r="R135">
        <v>281</v>
      </c>
      <c r="S135">
        <v>0.99770000000000003</v>
      </c>
      <c r="T135">
        <v>0.99750000000000005</v>
      </c>
      <c r="U135">
        <v>0.99709999999999999</v>
      </c>
      <c r="V135">
        <v>0.998</v>
      </c>
      <c r="W135">
        <v>0.99219999999999997</v>
      </c>
      <c r="X135">
        <v>0.99419999999999997</v>
      </c>
      <c r="Y135">
        <v>1.0015000000000001</v>
      </c>
      <c r="Z135">
        <v>1.0049999999999999</v>
      </c>
      <c r="AA135">
        <v>0.99609999999999999</v>
      </c>
      <c r="AB135">
        <v>0.98560000000000003</v>
      </c>
    </row>
    <row r="136" spans="1:28">
      <c r="A136" t="s">
        <v>92</v>
      </c>
      <c r="B136" t="s">
        <v>1150</v>
      </c>
      <c r="C136" t="s">
        <v>889</v>
      </c>
      <c r="D136" t="s">
        <v>528</v>
      </c>
      <c r="E136" t="s">
        <v>1153</v>
      </c>
      <c r="F136">
        <v>500</v>
      </c>
      <c r="G136" t="s">
        <v>830</v>
      </c>
      <c r="H136" t="s">
        <v>811</v>
      </c>
      <c r="I136" t="s">
        <v>812</v>
      </c>
      <c r="J136" t="s">
        <v>1152</v>
      </c>
      <c r="K136" t="s">
        <v>184</v>
      </c>
      <c r="L136" t="s">
        <v>170</v>
      </c>
      <c r="M136" t="s">
        <v>171</v>
      </c>
      <c r="N136" t="s">
        <v>172</v>
      </c>
      <c r="O136" t="s">
        <v>185</v>
      </c>
      <c r="P136" t="s">
        <v>170</v>
      </c>
      <c r="Q136">
        <v>283</v>
      </c>
      <c r="R136">
        <v>281</v>
      </c>
      <c r="S136">
        <v>0.99770000000000003</v>
      </c>
      <c r="T136">
        <v>0.99750000000000005</v>
      </c>
      <c r="U136">
        <v>0.99709999999999999</v>
      </c>
      <c r="V136">
        <v>0.998</v>
      </c>
      <c r="W136">
        <v>0.99219999999999997</v>
      </c>
      <c r="X136">
        <v>0.99419999999999997</v>
      </c>
      <c r="Y136">
        <v>1.0015000000000001</v>
      </c>
      <c r="Z136">
        <v>1.0049999999999999</v>
      </c>
      <c r="AA136">
        <v>0.99609999999999999</v>
      </c>
      <c r="AB136">
        <v>0.98560000000000003</v>
      </c>
    </row>
    <row r="137" spans="1:28">
      <c r="A137" t="s">
        <v>93</v>
      </c>
      <c r="B137" t="s">
        <v>1154</v>
      </c>
      <c r="C137" t="s">
        <v>1155</v>
      </c>
      <c r="D137" t="s">
        <v>324</v>
      </c>
      <c r="E137" t="s">
        <v>1156</v>
      </c>
      <c r="F137">
        <v>66</v>
      </c>
      <c r="G137" t="s">
        <v>823</v>
      </c>
      <c r="H137" t="s">
        <v>811</v>
      </c>
      <c r="I137" t="s">
        <v>804</v>
      </c>
      <c r="J137" t="s">
        <v>1157</v>
      </c>
      <c r="K137" t="s">
        <v>184</v>
      </c>
      <c r="L137" t="s">
        <v>198</v>
      </c>
      <c r="M137" t="s">
        <v>198</v>
      </c>
      <c r="N137" t="s">
        <v>199</v>
      </c>
      <c r="O137" t="s">
        <v>200</v>
      </c>
      <c r="P137" t="s">
        <v>198</v>
      </c>
      <c r="Q137">
        <v>18.2</v>
      </c>
      <c r="R137">
        <v>18</v>
      </c>
      <c r="S137">
        <v>1.0421</v>
      </c>
      <c r="T137">
        <v>1.0356000000000001</v>
      </c>
      <c r="U137">
        <v>1.0347</v>
      </c>
      <c r="V137">
        <v>1.0284</v>
      </c>
      <c r="W137">
        <v>1.0262</v>
      </c>
      <c r="X137">
        <v>1.03</v>
      </c>
      <c r="Y137">
        <v>1.0339</v>
      </c>
      <c r="Z137">
        <v>1.0322</v>
      </c>
      <c r="AA137">
        <v>1.0148999999999999</v>
      </c>
      <c r="AB137">
        <v>0.99909999999999999</v>
      </c>
    </row>
    <row r="138" spans="1:28">
      <c r="A138" t="s">
        <v>94</v>
      </c>
      <c r="B138" t="s">
        <v>1158</v>
      </c>
      <c r="C138" t="s">
        <v>1155</v>
      </c>
      <c r="D138" t="s">
        <v>773</v>
      </c>
      <c r="E138" t="s">
        <v>1159</v>
      </c>
      <c r="F138">
        <v>66</v>
      </c>
      <c r="G138" t="s">
        <v>823</v>
      </c>
      <c r="H138" t="s">
        <v>811</v>
      </c>
      <c r="I138" t="s">
        <v>804</v>
      </c>
      <c r="J138" t="s">
        <v>1160</v>
      </c>
      <c r="K138" t="s">
        <v>184</v>
      </c>
      <c r="L138" t="s">
        <v>198</v>
      </c>
      <c r="M138" t="s">
        <v>198</v>
      </c>
      <c r="N138" t="s">
        <v>199</v>
      </c>
      <c r="O138" t="s">
        <v>200</v>
      </c>
      <c r="P138" t="s">
        <v>198</v>
      </c>
      <c r="Q138">
        <v>30</v>
      </c>
      <c r="R138">
        <v>30</v>
      </c>
      <c r="S138">
        <v>1.0421</v>
      </c>
      <c r="T138">
        <v>1.0356000000000001</v>
      </c>
      <c r="U138">
        <v>1.0347</v>
      </c>
      <c r="V138">
        <v>1.0284</v>
      </c>
      <c r="W138">
        <v>1.0262</v>
      </c>
      <c r="X138">
        <v>1.03</v>
      </c>
      <c r="Y138">
        <v>1.0339</v>
      </c>
      <c r="Z138">
        <v>1.0322</v>
      </c>
      <c r="AA138">
        <v>1.0148999999999999</v>
      </c>
      <c r="AB138">
        <v>0.99909999999999999</v>
      </c>
    </row>
    <row r="139" spans="1:28">
      <c r="A139" t="s">
        <v>95</v>
      </c>
      <c r="B139" t="s">
        <v>579</v>
      </c>
      <c r="C139" t="s">
        <v>1161</v>
      </c>
      <c r="D139" t="s">
        <v>579</v>
      </c>
      <c r="E139" t="s">
        <v>1162</v>
      </c>
      <c r="F139">
        <v>500</v>
      </c>
      <c r="G139" t="s">
        <v>823</v>
      </c>
      <c r="H139" t="s">
        <v>803</v>
      </c>
      <c r="I139" t="s">
        <v>804</v>
      </c>
      <c r="J139" t="s">
        <v>1163</v>
      </c>
      <c r="K139" t="s">
        <v>184</v>
      </c>
      <c r="L139" t="s">
        <v>198</v>
      </c>
      <c r="M139" t="s">
        <v>198</v>
      </c>
      <c r="N139" t="s">
        <v>199</v>
      </c>
      <c r="O139" t="s">
        <v>200</v>
      </c>
      <c r="P139" t="s">
        <v>198</v>
      </c>
      <c r="Q139">
        <v>148</v>
      </c>
      <c r="R139">
        <v>148</v>
      </c>
    </row>
    <row r="140" spans="1:28">
      <c r="A140" t="s">
        <v>96</v>
      </c>
      <c r="B140" t="s">
        <v>579</v>
      </c>
      <c r="C140" t="s">
        <v>1161</v>
      </c>
      <c r="D140" t="s">
        <v>579</v>
      </c>
      <c r="E140" t="s">
        <v>1162</v>
      </c>
      <c r="F140">
        <v>500</v>
      </c>
      <c r="G140" t="s">
        <v>823</v>
      </c>
      <c r="H140" t="s">
        <v>803</v>
      </c>
      <c r="I140" t="s">
        <v>804</v>
      </c>
      <c r="J140" t="s">
        <v>1164</v>
      </c>
      <c r="K140" t="s">
        <v>184</v>
      </c>
      <c r="L140" t="s">
        <v>198</v>
      </c>
      <c r="M140" t="s">
        <v>198</v>
      </c>
      <c r="N140" t="s">
        <v>199</v>
      </c>
      <c r="O140" t="s">
        <v>200</v>
      </c>
      <c r="P140" t="s">
        <v>198</v>
      </c>
      <c r="Q140">
        <v>148</v>
      </c>
      <c r="R140">
        <v>148</v>
      </c>
    </row>
    <row r="141" spans="1:28">
      <c r="A141" t="s">
        <v>97</v>
      </c>
      <c r="B141" t="s">
        <v>1165</v>
      </c>
      <c r="C141" t="s">
        <v>1166</v>
      </c>
      <c r="D141" t="s">
        <v>460</v>
      </c>
      <c r="E141" t="s">
        <v>1167</v>
      </c>
      <c r="F141">
        <v>330</v>
      </c>
      <c r="G141" t="s">
        <v>810</v>
      </c>
      <c r="H141" t="s">
        <v>811</v>
      </c>
      <c r="I141" t="s">
        <v>812</v>
      </c>
      <c r="J141" t="s">
        <v>1169</v>
      </c>
      <c r="K141" t="s">
        <v>176</v>
      </c>
      <c r="L141" t="s">
        <v>193</v>
      </c>
      <c r="M141" t="s">
        <v>280</v>
      </c>
      <c r="N141" t="s">
        <v>172</v>
      </c>
      <c r="O141" t="s">
        <v>195</v>
      </c>
      <c r="P141" t="s">
        <v>193</v>
      </c>
      <c r="Q141">
        <v>500</v>
      </c>
      <c r="R141">
        <v>550</v>
      </c>
      <c r="S141">
        <v>0.95409999999999995</v>
      </c>
      <c r="T141">
        <v>0.95179999999999998</v>
      </c>
      <c r="U141">
        <v>0.9556</v>
      </c>
      <c r="V141">
        <v>0.95879999999999999</v>
      </c>
      <c r="W141">
        <v>0.96630000000000005</v>
      </c>
      <c r="X141">
        <v>0.96760000000000002</v>
      </c>
      <c r="Y141">
        <v>0.95930000000000004</v>
      </c>
      <c r="Z141">
        <v>0.95089999999999997</v>
      </c>
      <c r="AA141">
        <v>0.95369999999999999</v>
      </c>
      <c r="AB141">
        <v>0.95720000000000005</v>
      </c>
    </row>
    <row r="142" spans="1:28">
      <c r="A142" t="s">
        <v>97</v>
      </c>
      <c r="B142" t="s">
        <v>1165</v>
      </c>
      <c r="C142" t="s">
        <v>1166</v>
      </c>
      <c r="D142" t="s">
        <v>462</v>
      </c>
      <c r="E142" t="s">
        <v>1170</v>
      </c>
      <c r="F142">
        <v>330</v>
      </c>
      <c r="G142" t="s">
        <v>810</v>
      </c>
      <c r="H142" t="s">
        <v>811</v>
      </c>
      <c r="I142" t="s">
        <v>812</v>
      </c>
      <c r="J142" t="s">
        <v>1169</v>
      </c>
      <c r="K142" t="s">
        <v>176</v>
      </c>
      <c r="L142" t="s">
        <v>193</v>
      </c>
      <c r="M142" t="s">
        <v>280</v>
      </c>
      <c r="N142" t="s">
        <v>172</v>
      </c>
      <c r="O142" t="s">
        <v>195</v>
      </c>
      <c r="P142" t="s">
        <v>193</v>
      </c>
      <c r="Q142">
        <v>500</v>
      </c>
      <c r="R142">
        <v>550</v>
      </c>
      <c r="S142">
        <v>0.95409999999999995</v>
      </c>
      <c r="T142">
        <v>0.95179999999999998</v>
      </c>
      <c r="U142">
        <v>0.9556</v>
      </c>
      <c r="V142">
        <v>0.95879999999999999</v>
      </c>
      <c r="W142">
        <v>0.96630000000000005</v>
      </c>
      <c r="X142">
        <v>0.96760000000000002</v>
      </c>
      <c r="Y142">
        <v>0.95930000000000004</v>
      </c>
      <c r="Z142">
        <v>0.95089999999999997</v>
      </c>
      <c r="AA142">
        <v>0.95369999999999999</v>
      </c>
      <c r="AB142">
        <v>0.95720000000000005</v>
      </c>
    </row>
    <row r="143" spans="1:28">
      <c r="A143" t="s">
        <v>97</v>
      </c>
      <c r="B143" t="s">
        <v>1165</v>
      </c>
      <c r="C143" t="s">
        <v>1166</v>
      </c>
      <c r="D143" t="s">
        <v>463</v>
      </c>
      <c r="E143" t="s">
        <v>1171</v>
      </c>
      <c r="F143">
        <v>330</v>
      </c>
      <c r="G143" t="s">
        <v>810</v>
      </c>
      <c r="H143" t="s">
        <v>811</v>
      </c>
      <c r="I143" t="s">
        <v>812</v>
      </c>
      <c r="J143" t="s">
        <v>1169</v>
      </c>
      <c r="K143" t="s">
        <v>176</v>
      </c>
      <c r="L143" t="s">
        <v>193</v>
      </c>
      <c r="M143" t="s">
        <v>280</v>
      </c>
      <c r="N143" t="s">
        <v>172</v>
      </c>
      <c r="O143" t="s">
        <v>195</v>
      </c>
      <c r="P143" t="s">
        <v>193</v>
      </c>
      <c r="Q143">
        <v>500</v>
      </c>
      <c r="R143">
        <v>550</v>
      </c>
      <c r="S143">
        <v>0.95409999999999995</v>
      </c>
      <c r="T143">
        <v>0.95179999999999998</v>
      </c>
      <c r="U143">
        <v>0.9556</v>
      </c>
      <c r="V143">
        <v>0.95879999999999999</v>
      </c>
      <c r="W143">
        <v>0.96630000000000005</v>
      </c>
      <c r="X143">
        <v>0.96760000000000002</v>
      </c>
      <c r="Y143">
        <v>0.95930000000000004</v>
      </c>
      <c r="Z143">
        <v>0.95089999999999997</v>
      </c>
      <c r="AA143">
        <v>0.95369999999999999</v>
      </c>
      <c r="AB143">
        <v>0.95720000000000005</v>
      </c>
    </row>
    <row r="144" spans="1:28">
      <c r="A144" t="s">
        <v>97</v>
      </c>
      <c r="B144" t="s">
        <v>1165</v>
      </c>
      <c r="C144" t="s">
        <v>1166</v>
      </c>
      <c r="D144" t="s">
        <v>464</v>
      </c>
      <c r="E144" t="s">
        <v>1172</v>
      </c>
      <c r="F144">
        <v>330</v>
      </c>
      <c r="G144" t="s">
        <v>810</v>
      </c>
      <c r="H144" t="s">
        <v>811</v>
      </c>
      <c r="I144" t="s">
        <v>812</v>
      </c>
      <c r="J144" t="s">
        <v>1169</v>
      </c>
      <c r="K144" t="s">
        <v>176</v>
      </c>
      <c r="L144" t="s">
        <v>193</v>
      </c>
      <c r="M144" t="s">
        <v>280</v>
      </c>
      <c r="N144" t="s">
        <v>172</v>
      </c>
      <c r="O144" t="s">
        <v>195</v>
      </c>
      <c r="P144" t="s">
        <v>193</v>
      </c>
      <c r="Q144">
        <v>500</v>
      </c>
      <c r="R144">
        <v>550</v>
      </c>
      <c r="S144">
        <v>0.95409999999999995</v>
      </c>
      <c r="T144">
        <v>0.95179999999999998</v>
      </c>
      <c r="U144">
        <v>0.9556</v>
      </c>
      <c r="V144">
        <v>0.95879999999999999</v>
      </c>
      <c r="W144">
        <v>0.96630000000000005</v>
      </c>
      <c r="X144">
        <v>0.96760000000000002</v>
      </c>
      <c r="Y144">
        <v>0.95930000000000004</v>
      </c>
      <c r="Z144">
        <v>0.95089999999999997</v>
      </c>
      <c r="AA144">
        <v>0.95369999999999999</v>
      </c>
      <c r="AB144">
        <v>0.95720000000000005</v>
      </c>
    </row>
    <row r="145" spans="1:28">
      <c r="A145" t="s">
        <v>98</v>
      </c>
      <c r="B145" t="s">
        <v>1173</v>
      </c>
      <c r="C145" t="s">
        <v>1166</v>
      </c>
      <c r="D145" t="s">
        <v>278</v>
      </c>
      <c r="E145" t="s">
        <v>1174</v>
      </c>
      <c r="F145">
        <v>330</v>
      </c>
      <c r="G145" t="s">
        <v>810</v>
      </c>
      <c r="H145" t="s">
        <v>811</v>
      </c>
      <c r="I145" t="s">
        <v>812</v>
      </c>
      <c r="J145" t="s">
        <v>1175</v>
      </c>
      <c r="K145" t="s">
        <v>176</v>
      </c>
      <c r="L145" t="s">
        <v>193</v>
      </c>
      <c r="M145" t="s">
        <v>280</v>
      </c>
      <c r="N145" t="s">
        <v>172</v>
      </c>
      <c r="O145" t="s">
        <v>195</v>
      </c>
      <c r="P145" t="s">
        <v>193</v>
      </c>
      <c r="Q145">
        <v>660</v>
      </c>
      <c r="R145">
        <v>700</v>
      </c>
      <c r="S145">
        <v>0.95450000000000002</v>
      </c>
      <c r="T145">
        <v>0.95150000000000001</v>
      </c>
      <c r="U145">
        <v>0.95520000000000005</v>
      </c>
      <c r="V145">
        <v>0.95840000000000003</v>
      </c>
      <c r="W145">
        <v>0.96560000000000001</v>
      </c>
      <c r="X145">
        <v>0.96679999999999999</v>
      </c>
      <c r="Y145">
        <v>0.95899999999999996</v>
      </c>
      <c r="Z145">
        <v>0.95199999999999996</v>
      </c>
      <c r="AA145">
        <v>0.95379999999999998</v>
      </c>
      <c r="AB145">
        <v>0.95679999999999998</v>
      </c>
    </row>
    <row r="146" spans="1:28">
      <c r="A146" t="s">
        <v>98</v>
      </c>
      <c r="B146" t="s">
        <v>1173</v>
      </c>
      <c r="C146" t="s">
        <v>1166</v>
      </c>
      <c r="D146" t="s">
        <v>281</v>
      </c>
      <c r="E146" t="s">
        <v>1176</v>
      </c>
      <c r="F146">
        <v>330</v>
      </c>
      <c r="G146" t="s">
        <v>810</v>
      </c>
      <c r="H146" t="s">
        <v>811</v>
      </c>
      <c r="I146" t="s">
        <v>812</v>
      </c>
      <c r="J146" t="s">
        <v>1175</v>
      </c>
      <c r="K146" t="s">
        <v>176</v>
      </c>
      <c r="L146" t="s">
        <v>193</v>
      </c>
      <c r="M146" t="s">
        <v>280</v>
      </c>
      <c r="N146" t="s">
        <v>172</v>
      </c>
      <c r="O146" t="s">
        <v>195</v>
      </c>
      <c r="P146" t="s">
        <v>193</v>
      </c>
      <c r="Q146">
        <v>660</v>
      </c>
      <c r="R146">
        <v>700</v>
      </c>
      <c r="S146">
        <v>0.95450000000000002</v>
      </c>
      <c r="T146">
        <v>0.95150000000000001</v>
      </c>
      <c r="U146">
        <v>0.95520000000000005</v>
      </c>
      <c r="V146">
        <v>0.95840000000000003</v>
      </c>
      <c r="W146">
        <v>0.96560000000000001</v>
      </c>
      <c r="X146">
        <v>0.96679999999999999</v>
      </c>
      <c r="Y146">
        <v>0.95899999999999996</v>
      </c>
      <c r="Z146">
        <v>0.95199999999999996</v>
      </c>
      <c r="AA146">
        <v>0.95379999999999998</v>
      </c>
      <c r="AB146">
        <v>0.95679999999999998</v>
      </c>
    </row>
    <row r="147" spans="1:28">
      <c r="A147" t="s">
        <v>98</v>
      </c>
      <c r="B147" t="s">
        <v>1173</v>
      </c>
      <c r="C147" t="s">
        <v>1166</v>
      </c>
      <c r="D147" t="s">
        <v>282</v>
      </c>
      <c r="E147" t="s">
        <v>1177</v>
      </c>
      <c r="F147">
        <v>500</v>
      </c>
      <c r="G147" t="s">
        <v>810</v>
      </c>
      <c r="H147" t="s">
        <v>811</v>
      </c>
      <c r="I147" t="s">
        <v>812</v>
      </c>
      <c r="J147" t="s">
        <v>1175</v>
      </c>
      <c r="K147" t="s">
        <v>176</v>
      </c>
      <c r="L147" t="s">
        <v>193</v>
      </c>
      <c r="M147" t="s">
        <v>280</v>
      </c>
      <c r="N147" t="s">
        <v>172</v>
      </c>
      <c r="O147" t="s">
        <v>195</v>
      </c>
      <c r="P147" t="s">
        <v>193</v>
      </c>
      <c r="Q147">
        <v>660</v>
      </c>
      <c r="R147">
        <v>700</v>
      </c>
      <c r="S147">
        <v>0.95579999999999998</v>
      </c>
      <c r="T147">
        <v>0.95299999999999996</v>
      </c>
      <c r="U147">
        <v>0.95579999999999998</v>
      </c>
      <c r="V147">
        <v>0.9587</v>
      </c>
      <c r="W147">
        <v>0.96499999999999997</v>
      </c>
      <c r="X147">
        <v>0.96679999999999999</v>
      </c>
      <c r="Y147">
        <v>0.96030000000000004</v>
      </c>
      <c r="Z147">
        <v>0.95320000000000005</v>
      </c>
      <c r="AA147">
        <v>0.95550000000000002</v>
      </c>
      <c r="AB147">
        <v>0.95809999999999995</v>
      </c>
    </row>
    <row r="148" spans="1:28">
      <c r="A148" t="s">
        <v>98</v>
      </c>
      <c r="B148" t="s">
        <v>1173</v>
      </c>
      <c r="C148" t="s">
        <v>1166</v>
      </c>
      <c r="D148" t="s">
        <v>283</v>
      </c>
      <c r="E148" t="s">
        <v>1178</v>
      </c>
      <c r="F148">
        <v>500</v>
      </c>
      <c r="G148" t="s">
        <v>810</v>
      </c>
      <c r="H148" t="s">
        <v>811</v>
      </c>
      <c r="I148" t="s">
        <v>812</v>
      </c>
      <c r="J148" t="s">
        <v>1175</v>
      </c>
      <c r="K148" t="s">
        <v>176</v>
      </c>
      <c r="L148" t="s">
        <v>193</v>
      </c>
      <c r="M148" t="s">
        <v>280</v>
      </c>
      <c r="N148" t="s">
        <v>172</v>
      </c>
      <c r="O148" t="s">
        <v>195</v>
      </c>
      <c r="P148" t="s">
        <v>193</v>
      </c>
      <c r="Q148">
        <v>660</v>
      </c>
      <c r="R148">
        <v>700</v>
      </c>
      <c r="S148">
        <v>0.95579999999999998</v>
      </c>
      <c r="T148">
        <v>0.95299999999999996</v>
      </c>
      <c r="U148">
        <v>0.95579999999999998</v>
      </c>
      <c r="V148">
        <v>0.9587</v>
      </c>
      <c r="W148">
        <v>0.96499999999999997</v>
      </c>
      <c r="X148">
        <v>0.96679999999999999</v>
      </c>
      <c r="Y148">
        <v>0.96030000000000004</v>
      </c>
      <c r="Z148">
        <v>0.95320000000000005</v>
      </c>
      <c r="AA148">
        <v>0.95550000000000002</v>
      </c>
      <c r="AB148">
        <v>0.95809999999999995</v>
      </c>
    </row>
    <row r="149" spans="1:28">
      <c r="A149" t="s">
        <v>99</v>
      </c>
      <c r="B149" t="s">
        <v>1179</v>
      </c>
      <c r="C149" t="s">
        <v>1166</v>
      </c>
      <c r="D149" t="s">
        <v>409</v>
      </c>
      <c r="E149" t="s">
        <v>1180</v>
      </c>
      <c r="F149">
        <v>33</v>
      </c>
      <c r="G149" t="s">
        <v>810</v>
      </c>
      <c r="H149" t="s">
        <v>811</v>
      </c>
      <c r="I149" t="s">
        <v>812</v>
      </c>
      <c r="J149" t="s">
        <v>1182</v>
      </c>
      <c r="K149" t="s">
        <v>176</v>
      </c>
      <c r="L149" t="s">
        <v>170</v>
      </c>
      <c r="M149" t="s">
        <v>411</v>
      </c>
      <c r="N149" t="s">
        <v>172</v>
      </c>
      <c r="O149" t="s">
        <v>185</v>
      </c>
      <c r="P149" t="s">
        <v>170</v>
      </c>
      <c r="Q149">
        <v>50</v>
      </c>
      <c r="R149">
        <v>50</v>
      </c>
      <c r="S149">
        <v>0.95909999999999995</v>
      </c>
      <c r="T149">
        <v>0.95679999999999998</v>
      </c>
      <c r="U149">
        <v>0.96409999999999996</v>
      </c>
      <c r="V149">
        <v>0.96750000000000003</v>
      </c>
      <c r="W149">
        <v>0.97550000000000003</v>
      </c>
      <c r="X149">
        <v>0.97399999999999998</v>
      </c>
      <c r="Y149">
        <v>0.96789999999999998</v>
      </c>
      <c r="Z149">
        <v>0.95820000000000005</v>
      </c>
      <c r="AA149">
        <v>0.95960000000000001</v>
      </c>
      <c r="AB149">
        <v>0.96389999999999998</v>
      </c>
    </row>
    <row r="150" spans="1:28">
      <c r="A150" t="s">
        <v>100</v>
      </c>
      <c r="B150" t="s">
        <v>1183</v>
      </c>
      <c r="C150" t="s">
        <v>1184</v>
      </c>
      <c r="D150" t="s">
        <v>1183</v>
      </c>
      <c r="E150" t="s">
        <v>1185</v>
      </c>
      <c r="F150">
        <v>132</v>
      </c>
      <c r="G150" t="s">
        <v>823</v>
      </c>
      <c r="H150" t="s">
        <v>811</v>
      </c>
      <c r="I150" t="s">
        <v>804</v>
      </c>
      <c r="J150" t="s">
        <v>1187</v>
      </c>
      <c r="K150" t="s">
        <v>176</v>
      </c>
      <c r="L150" t="s">
        <v>193</v>
      </c>
      <c r="M150" t="s">
        <v>280</v>
      </c>
      <c r="N150" t="s">
        <v>172</v>
      </c>
      <c r="O150" t="s">
        <v>195</v>
      </c>
      <c r="P150" t="s">
        <v>193</v>
      </c>
      <c r="Q150">
        <v>150</v>
      </c>
      <c r="R150">
        <v>150</v>
      </c>
      <c r="S150">
        <v>0.95709999999999995</v>
      </c>
      <c r="T150">
        <v>0.95350000000000001</v>
      </c>
      <c r="U150">
        <v>0.95720000000000005</v>
      </c>
      <c r="V150">
        <v>0.95099999999999996</v>
      </c>
      <c r="W150">
        <v>0.97440000000000004</v>
      </c>
      <c r="X150">
        <v>0.98429999999999995</v>
      </c>
    </row>
    <row r="151" spans="1:28">
      <c r="A151" t="s">
        <v>101</v>
      </c>
      <c r="B151" t="s">
        <v>1188</v>
      </c>
      <c r="C151" t="s">
        <v>889</v>
      </c>
      <c r="D151" t="s">
        <v>360</v>
      </c>
      <c r="E151" t="s">
        <v>1189</v>
      </c>
      <c r="F151">
        <v>330</v>
      </c>
      <c r="G151" t="s">
        <v>810</v>
      </c>
      <c r="H151" t="s">
        <v>811</v>
      </c>
      <c r="I151" t="s">
        <v>812</v>
      </c>
      <c r="J151" t="s">
        <v>1190</v>
      </c>
      <c r="K151" t="s">
        <v>176</v>
      </c>
      <c r="L151" t="s">
        <v>193</v>
      </c>
      <c r="M151" t="s">
        <v>280</v>
      </c>
      <c r="N151" t="s">
        <v>172</v>
      </c>
      <c r="O151" t="s">
        <v>195</v>
      </c>
      <c r="P151" t="s">
        <v>193</v>
      </c>
      <c r="Q151">
        <v>720</v>
      </c>
      <c r="R151">
        <v>750</v>
      </c>
      <c r="S151">
        <v>0.98570000000000002</v>
      </c>
      <c r="T151">
        <v>0.98650000000000004</v>
      </c>
      <c r="U151">
        <v>0.9859</v>
      </c>
      <c r="V151">
        <v>0.98629999999999995</v>
      </c>
      <c r="W151">
        <v>0.98419999999999996</v>
      </c>
      <c r="X151">
        <v>0.98560000000000003</v>
      </c>
      <c r="Y151">
        <v>0.9829</v>
      </c>
      <c r="Z151">
        <v>0.98199999999999998</v>
      </c>
      <c r="AA151">
        <v>0.98280000000000001</v>
      </c>
      <c r="AB151">
        <v>0.98270000000000002</v>
      </c>
    </row>
    <row r="152" spans="1:28">
      <c r="A152" t="s">
        <v>101</v>
      </c>
      <c r="B152" t="s">
        <v>1188</v>
      </c>
      <c r="C152" t="s">
        <v>889</v>
      </c>
      <c r="D152" t="s">
        <v>362</v>
      </c>
      <c r="E152" t="s">
        <v>1191</v>
      </c>
      <c r="F152">
        <v>330</v>
      </c>
      <c r="G152" t="s">
        <v>810</v>
      </c>
      <c r="H152" t="s">
        <v>811</v>
      </c>
      <c r="I152" t="s">
        <v>812</v>
      </c>
      <c r="J152" t="s">
        <v>1190</v>
      </c>
      <c r="K152" t="s">
        <v>176</v>
      </c>
      <c r="L152" t="s">
        <v>193</v>
      </c>
      <c r="M152" t="s">
        <v>280</v>
      </c>
      <c r="N152" t="s">
        <v>172</v>
      </c>
      <c r="O152" t="s">
        <v>195</v>
      </c>
      <c r="P152" t="s">
        <v>193</v>
      </c>
      <c r="Q152">
        <v>720</v>
      </c>
      <c r="R152">
        <v>750</v>
      </c>
      <c r="S152">
        <v>0.98570000000000002</v>
      </c>
      <c r="T152">
        <v>0.98650000000000004</v>
      </c>
      <c r="U152">
        <v>0.9859</v>
      </c>
      <c r="V152">
        <v>0.98629999999999995</v>
      </c>
      <c r="W152">
        <v>0.98419999999999996</v>
      </c>
      <c r="X152">
        <v>0.98560000000000003</v>
      </c>
      <c r="Y152">
        <v>0.9829</v>
      </c>
      <c r="Z152">
        <v>0.98199999999999998</v>
      </c>
      <c r="AA152">
        <v>0.98280000000000001</v>
      </c>
      <c r="AB152">
        <v>0.98270000000000002</v>
      </c>
    </row>
    <row r="153" spans="1:28">
      <c r="A153" t="s">
        <v>101</v>
      </c>
      <c r="B153" t="s">
        <v>1188</v>
      </c>
      <c r="C153" t="s">
        <v>889</v>
      </c>
      <c r="D153" t="s">
        <v>363</v>
      </c>
      <c r="E153" t="s">
        <v>1192</v>
      </c>
      <c r="F153">
        <v>500</v>
      </c>
      <c r="G153" t="s">
        <v>810</v>
      </c>
      <c r="H153" t="s">
        <v>811</v>
      </c>
      <c r="I153" t="s">
        <v>812</v>
      </c>
      <c r="J153" t="s">
        <v>1190</v>
      </c>
      <c r="K153" t="s">
        <v>176</v>
      </c>
      <c r="L153" t="s">
        <v>193</v>
      </c>
      <c r="M153" t="s">
        <v>280</v>
      </c>
      <c r="N153" t="s">
        <v>172</v>
      </c>
      <c r="O153" t="s">
        <v>195</v>
      </c>
      <c r="P153" t="s">
        <v>193</v>
      </c>
      <c r="Q153">
        <v>720</v>
      </c>
      <c r="R153">
        <v>750</v>
      </c>
      <c r="S153">
        <v>0.98750000000000004</v>
      </c>
      <c r="T153">
        <v>0.98819999999999997</v>
      </c>
      <c r="U153">
        <v>0.9859</v>
      </c>
      <c r="V153">
        <v>0.98750000000000004</v>
      </c>
      <c r="W153">
        <v>0.98570000000000002</v>
      </c>
      <c r="X153">
        <v>0.98670000000000002</v>
      </c>
      <c r="Y153">
        <v>0.98460000000000003</v>
      </c>
      <c r="Z153">
        <v>0.98460000000000003</v>
      </c>
      <c r="AA153">
        <v>0.98529999999999995</v>
      </c>
      <c r="AB153">
        <v>0.9839</v>
      </c>
    </row>
    <row r="154" spans="1:28">
      <c r="A154" t="s">
        <v>101</v>
      </c>
      <c r="B154" t="s">
        <v>1188</v>
      </c>
      <c r="C154" t="s">
        <v>889</v>
      </c>
      <c r="D154" t="s">
        <v>364</v>
      </c>
      <c r="E154" t="s">
        <v>1193</v>
      </c>
      <c r="F154">
        <v>500</v>
      </c>
      <c r="G154" t="s">
        <v>810</v>
      </c>
      <c r="H154" t="s">
        <v>811</v>
      </c>
      <c r="I154" t="s">
        <v>812</v>
      </c>
      <c r="J154" t="s">
        <v>1190</v>
      </c>
      <c r="K154" t="s">
        <v>176</v>
      </c>
      <c r="L154" t="s">
        <v>193</v>
      </c>
      <c r="M154" t="s">
        <v>280</v>
      </c>
      <c r="N154" t="s">
        <v>172</v>
      </c>
      <c r="O154" t="s">
        <v>195</v>
      </c>
      <c r="P154" t="s">
        <v>193</v>
      </c>
      <c r="Q154">
        <v>720</v>
      </c>
      <c r="R154">
        <v>750</v>
      </c>
      <c r="S154">
        <v>0.98750000000000004</v>
      </c>
      <c r="T154">
        <v>0.98819999999999997</v>
      </c>
      <c r="U154">
        <v>0.9859</v>
      </c>
      <c r="V154">
        <v>0.98750000000000004</v>
      </c>
      <c r="W154">
        <v>0.98570000000000002</v>
      </c>
      <c r="X154">
        <v>0.98670000000000002</v>
      </c>
      <c r="Y154">
        <v>0.98460000000000003</v>
      </c>
      <c r="Z154">
        <v>0.98460000000000003</v>
      </c>
      <c r="AA154">
        <v>0.98529999999999995</v>
      </c>
      <c r="AB154">
        <v>0.9839</v>
      </c>
    </row>
    <row r="155" spans="1:28">
      <c r="A155" t="s">
        <v>102</v>
      </c>
      <c r="B155" t="s">
        <v>1194</v>
      </c>
      <c r="C155" t="s">
        <v>1031</v>
      </c>
      <c r="D155" t="s">
        <v>306</v>
      </c>
      <c r="E155" t="s">
        <v>1195</v>
      </c>
      <c r="F155">
        <v>330</v>
      </c>
      <c r="G155" t="s">
        <v>830</v>
      </c>
      <c r="H155" t="s">
        <v>811</v>
      </c>
      <c r="I155" t="s">
        <v>812</v>
      </c>
      <c r="J155" t="s">
        <v>1196</v>
      </c>
      <c r="K155" t="s">
        <v>176</v>
      </c>
      <c r="L155" t="s">
        <v>170</v>
      </c>
      <c r="M155" t="s">
        <v>171</v>
      </c>
      <c r="N155" t="s">
        <v>172</v>
      </c>
      <c r="O155" t="s">
        <v>185</v>
      </c>
      <c r="P155" t="s">
        <v>170</v>
      </c>
      <c r="Q155">
        <v>181</v>
      </c>
      <c r="R155">
        <v>181</v>
      </c>
      <c r="S155">
        <v>0.98109999999999997</v>
      </c>
      <c r="T155">
        <v>0.98629999999999995</v>
      </c>
      <c r="U155">
        <v>0.98599999999999999</v>
      </c>
      <c r="V155">
        <v>0.98960000000000004</v>
      </c>
      <c r="W155">
        <v>0.98550000000000004</v>
      </c>
      <c r="X155">
        <v>0.97929999999999995</v>
      </c>
      <c r="Y155">
        <v>0.98719999999999997</v>
      </c>
      <c r="Z155">
        <v>0.98309999999999997</v>
      </c>
      <c r="AA155">
        <v>0.98270000000000002</v>
      </c>
      <c r="AB155">
        <v>0.9839</v>
      </c>
    </row>
    <row r="156" spans="1:28">
      <c r="A156" t="s">
        <v>102</v>
      </c>
      <c r="B156" t="s">
        <v>1194</v>
      </c>
      <c r="C156" t="s">
        <v>1031</v>
      </c>
      <c r="D156" t="s">
        <v>308</v>
      </c>
      <c r="E156" t="s">
        <v>1197</v>
      </c>
      <c r="F156">
        <v>330</v>
      </c>
      <c r="G156" t="s">
        <v>830</v>
      </c>
      <c r="H156" t="s">
        <v>811</v>
      </c>
      <c r="I156" t="s">
        <v>812</v>
      </c>
      <c r="J156" t="s">
        <v>1196</v>
      </c>
      <c r="K156" t="s">
        <v>176</v>
      </c>
      <c r="L156" t="s">
        <v>170</v>
      </c>
      <c r="M156" t="s">
        <v>171</v>
      </c>
      <c r="N156" t="s">
        <v>172</v>
      </c>
      <c r="O156" t="s">
        <v>185</v>
      </c>
      <c r="P156" t="s">
        <v>170</v>
      </c>
      <c r="Q156">
        <v>181</v>
      </c>
      <c r="R156">
        <v>181</v>
      </c>
      <c r="S156">
        <v>0.98109999999999997</v>
      </c>
      <c r="T156">
        <v>0.98629999999999995</v>
      </c>
      <c r="U156">
        <v>0.98599999999999999</v>
      </c>
      <c r="V156">
        <v>0.98960000000000004</v>
      </c>
      <c r="W156">
        <v>0.98550000000000004</v>
      </c>
      <c r="X156">
        <v>0.97929999999999995</v>
      </c>
      <c r="Y156">
        <v>0.98719999999999997</v>
      </c>
      <c r="Z156">
        <v>0.98309999999999997</v>
      </c>
      <c r="AA156">
        <v>0.98270000000000002</v>
      </c>
      <c r="AB156">
        <v>0.9839</v>
      </c>
    </row>
    <row r="157" spans="1:28">
      <c r="A157" t="s">
        <v>102</v>
      </c>
      <c r="B157" t="s">
        <v>1194</v>
      </c>
      <c r="C157" t="s">
        <v>1031</v>
      </c>
      <c r="D157" t="s">
        <v>309</v>
      </c>
      <c r="E157" t="s">
        <v>1198</v>
      </c>
      <c r="F157">
        <v>330</v>
      </c>
      <c r="G157" t="s">
        <v>830</v>
      </c>
      <c r="H157" t="s">
        <v>811</v>
      </c>
      <c r="I157" t="s">
        <v>812</v>
      </c>
      <c r="J157" t="s">
        <v>1196</v>
      </c>
      <c r="K157" t="s">
        <v>176</v>
      </c>
      <c r="L157" t="s">
        <v>170</v>
      </c>
      <c r="M157" t="s">
        <v>171</v>
      </c>
      <c r="N157" t="s">
        <v>172</v>
      </c>
      <c r="O157" t="s">
        <v>185</v>
      </c>
      <c r="P157" t="s">
        <v>170</v>
      </c>
      <c r="Q157">
        <v>181</v>
      </c>
      <c r="R157">
        <v>181</v>
      </c>
      <c r="S157">
        <v>0.98109999999999997</v>
      </c>
      <c r="T157">
        <v>0.98629999999999995</v>
      </c>
      <c r="U157">
        <v>0.98599999999999999</v>
      </c>
      <c r="V157">
        <v>0.98960000000000004</v>
      </c>
      <c r="W157">
        <v>0.98550000000000004</v>
      </c>
      <c r="X157">
        <v>0.97929999999999995</v>
      </c>
      <c r="Y157">
        <v>0.98719999999999997</v>
      </c>
      <c r="Z157">
        <v>0.98309999999999997</v>
      </c>
      <c r="AA157">
        <v>0.98270000000000002</v>
      </c>
      <c r="AB157">
        <v>0.9839</v>
      </c>
    </row>
    <row r="158" spans="1:28">
      <c r="A158" t="s">
        <v>102</v>
      </c>
      <c r="B158" t="s">
        <v>1194</v>
      </c>
      <c r="C158" t="s">
        <v>1031</v>
      </c>
      <c r="D158" t="s">
        <v>310</v>
      </c>
      <c r="E158" t="s">
        <v>1199</v>
      </c>
      <c r="F158">
        <v>330</v>
      </c>
      <c r="G158" t="s">
        <v>830</v>
      </c>
      <c r="H158" t="s">
        <v>811</v>
      </c>
      <c r="I158" t="s">
        <v>812</v>
      </c>
      <c r="J158" t="s">
        <v>1196</v>
      </c>
      <c r="K158" t="s">
        <v>176</v>
      </c>
      <c r="L158" t="s">
        <v>170</v>
      </c>
      <c r="M158" t="s">
        <v>171</v>
      </c>
      <c r="N158" t="s">
        <v>172</v>
      </c>
      <c r="O158" t="s">
        <v>185</v>
      </c>
      <c r="P158" t="s">
        <v>170</v>
      </c>
      <c r="Q158">
        <v>181</v>
      </c>
      <c r="R158">
        <v>181</v>
      </c>
      <c r="S158">
        <v>0.98109999999999997</v>
      </c>
      <c r="T158">
        <v>0.98629999999999995</v>
      </c>
      <c r="U158">
        <v>0.98599999999999999</v>
      </c>
      <c r="V158">
        <v>0.98960000000000004</v>
      </c>
      <c r="W158">
        <v>0.98550000000000004</v>
      </c>
      <c r="X158">
        <v>0.97929999999999995</v>
      </c>
      <c r="Y158">
        <v>0.98719999999999997</v>
      </c>
      <c r="Z158">
        <v>0.98309999999999997</v>
      </c>
      <c r="AA158">
        <v>0.98270000000000002</v>
      </c>
      <c r="AB158">
        <v>0.9839</v>
      </c>
    </row>
    <row r="159" spans="1:28">
      <c r="A159" t="s">
        <v>103</v>
      </c>
      <c r="B159" t="s">
        <v>1200</v>
      </c>
      <c r="C159" t="s">
        <v>1201</v>
      </c>
      <c r="D159" t="s">
        <v>710</v>
      </c>
      <c r="E159" t="s">
        <v>1202</v>
      </c>
      <c r="F159">
        <v>330</v>
      </c>
      <c r="G159" t="s">
        <v>810</v>
      </c>
      <c r="H159" t="s">
        <v>811</v>
      </c>
      <c r="I159" t="s">
        <v>812</v>
      </c>
      <c r="J159" t="s">
        <v>1203</v>
      </c>
      <c r="K159" t="s">
        <v>176</v>
      </c>
      <c r="L159" t="s">
        <v>193</v>
      </c>
      <c r="M159" t="s">
        <v>280</v>
      </c>
      <c r="N159" t="s">
        <v>172</v>
      </c>
      <c r="O159" t="s">
        <v>195</v>
      </c>
      <c r="P159" t="s">
        <v>193</v>
      </c>
      <c r="Q159">
        <v>660</v>
      </c>
      <c r="R159">
        <v>680</v>
      </c>
      <c r="S159">
        <v>0.98540000000000005</v>
      </c>
      <c r="T159">
        <v>0.98760000000000003</v>
      </c>
      <c r="U159">
        <v>0.98770000000000002</v>
      </c>
      <c r="V159">
        <v>0.98939999999999995</v>
      </c>
      <c r="W159">
        <v>0.98650000000000004</v>
      </c>
      <c r="X159">
        <v>0.98770000000000002</v>
      </c>
      <c r="Y159">
        <v>0.98529999999999995</v>
      </c>
      <c r="Z159">
        <v>0.98450000000000004</v>
      </c>
      <c r="AA159">
        <v>0.98509999999999998</v>
      </c>
      <c r="AB159">
        <v>0.98550000000000004</v>
      </c>
    </row>
    <row r="160" spans="1:28">
      <c r="A160" t="s">
        <v>103</v>
      </c>
      <c r="B160" t="s">
        <v>1200</v>
      </c>
      <c r="C160" t="s">
        <v>1201</v>
      </c>
      <c r="D160" t="s">
        <v>712</v>
      </c>
      <c r="E160" t="s">
        <v>1204</v>
      </c>
      <c r="F160">
        <v>330</v>
      </c>
      <c r="G160" t="s">
        <v>810</v>
      </c>
      <c r="H160" t="s">
        <v>811</v>
      </c>
      <c r="I160" t="s">
        <v>812</v>
      </c>
      <c r="J160" t="s">
        <v>1203</v>
      </c>
      <c r="K160" t="s">
        <v>176</v>
      </c>
      <c r="L160" t="s">
        <v>193</v>
      </c>
      <c r="M160" t="s">
        <v>280</v>
      </c>
      <c r="N160" t="s">
        <v>172</v>
      </c>
      <c r="O160" t="s">
        <v>195</v>
      </c>
      <c r="P160" t="s">
        <v>193</v>
      </c>
      <c r="Q160">
        <v>660</v>
      </c>
      <c r="R160">
        <v>680</v>
      </c>
      <c r="S160">
        <v>0.98540000000000005</v>
      </c>
      <c r="T160">
        <v>0.98760000000000003</v>
      </c>
      <c r="U160">
        <v>0.98770000000000002</v>
      </c>
      <c r="V160">
        <v>0.98939999999999995</v>
      </c>
      <c r="W160">
        <v>0.98650000000000004</v>
      </c>
      <c r="X160">
        <v>0.98770000000000002</v>
      </c>
      <c r="Y160">
        <v>0.98529999999999995</v>
      </c>
      <c r="Z160">
        <v>0.98450000000000004</v>
      </c>
      <c r="AA160">
        <v>0.98509999999999998</v>
      </c>
      <c r="AB160">
        <v>0.98550000000000004</v>
      </c>
    </row>
    <row r="161" spans="1:28">
      <c r="A161" t="s">
        <v>104</v>
      </c>
      <c r="B161" t="s">
        <v>1205</v>
      </c>
      <c r="C161" t="s">
        <v>843</v>
      </c>
      <c r="D161" t="s">
        <v>529</v>
      </c>
      <c r="E161" t="s">
        <v>1206</v>
      </c>
      <c r="F161">
        <v>330</v>
      </c>
      <c r="G161" t="s">
        <v>810</v>
      </c>
      <c r="H161" t="s">
        <v>811</v>
      </c>
      <c r="I161" t="s">
        <v>812</v>
      </c>
      <c r="J161" t="s">
        <v>1207</v>
      </c>
      <c r="K161" t="s">
        <v>176</v>
      </c>
      <c r="L161" t="s">
        <v>193</v>
      </c>
      <c r="M161" t="s">
        <v>280</v>
      </c>
      <c r="N161" t="s">
        <v>172</v>
      </c>
      <c r="O161" t="s">
        <v>195</v>
      </c>
      <c r="P161" t="s">
        <v>193</v>
      </c>
      <c r="Q161">
        <v>700</v>
      </c>
      <c r="R161">
        <v>700</v>
      </c>
      <c r="S161">
        <v>0.97030000000000005</v>
      </c>
      <c r="T161">
        <v>0.96499999999999997</v>
      </c>
      <c r="U161">
        <v>0.96289999999999998</v>
      </c>
      <c r="V161">
        <v>0.96799999999999997</v>
      </c>
      <c r="W161">
        <v>0.9698</v>
      </c>
      <c r="X161">
        <v>0.97440000000000004</v>
      </c>
      <c r="Y161">
        <v>0.97529999999999994</v>
      </c>
      <c r="Z161">
        <v>0.97250000000000003</v>
      </c>
      <c r="AA161">
        <v>0.9738</v>
      </c>
      <c r="AB161">
        <v>0.97109999999999996</v>
      </c>
    </row>
    <row r="162" spans="1:28">
      <c r="A162" t="s">
        <v>104</v>
      </c>
      <c r="B162" t="s">
        <v>1205</v>
      </c>
      <c r="C162" t="s">
        <v>843</v>
      </c>
      <c r="D162" t="s">
        <v>531</v>
      </c>
      <c r="E162" t="s">
        <v>1208</v>
      </c>
      <c r="F162">
        <v>330</v>
      </c>
      <c r="G162" t="s">
        <v>810</v>
      </c>
      <c r="H162" t="s">
        <v>811</v>
      </c>
      <c r="I162" t="s">
        <v>812</v>
      </c>
      <c r="J162" t="s">
        <v>1207</v>
      </c>
      <c r="K162" t="s">
        <v>176</v>
      </c>
      <c r="L162" t="s">
        <v>193</v>
      </c>
      <c r="M162" t="s">
        <v>280</v>
      </c>
      <c r="N162" t="s">
        <v>172</v>
      </c>
      <c r="O162" t="s">
        <v>195</v>
      </c>
      <c r="P162" t="s">
        <v>193</v>
      </c>
      <c r="Q162">
        <v>700</v>
      </c>
      <c r="R162">
        <v>700</v>
      </c>
      <c r="S162">
        <v>0.97030000000000005</v>
      </c>
      <c r="T162">
        <v>0.96499999999999997</v>
      </c>
      <c r="U162">
        <v>0.96289999999999998</v>
      </c>
      <c r="V162">
        <v>0.96799999999999997</v>
      </c>
      <c r="W162">
        <v>0.9698</v>
      </c>
      <c r="X162">
        <v>0.97440000000000004</v>
      </c>
      <c r="Y162">
        <v>0.97529999999999994</v>
      </c>
      <c r="Z162">
        <v>0.97250000000000003</v>
      </c>
      <c r="AA162">
        <v>0.9738</v>
      </c>
      <c r="AB162">
        <v>0.97109999999999996</v>
      </c>
    </row>
    <row r="163" spans="1:28">
      <c r="A163" t="s">
        <v>105</v>
      </c>
      <c r="B163" t="s">
        <v>1209</v>
      </c>
      <c r="C163" t="s">
        <v>1210</v>
      </c>
      <c r="D163" t="s">
        <v>625</v>
      </c>
      <c r="E163" t="s">
        <v>1211</v>
      </c>
      <c r="F163">
        <v>33</v>
      </c>
      <c r="G163" t="s">
        <v>810</v>
      </c>
      <c r="H163" t="s">
        <v>803</v>
      </c>
      <c r="I163" t="s">
        <v>812</v>
      </c>
      <c r="J163" t="s">
        <v>1212</v>
      </c>
      <c r="K163" t="s">
        <v>176</v>
      </c>
      <c r="L163" t="s">
        <v>170</v>
      </c>
      <c r="M163" t="s">
        <v>171</v>
      </c>
      <c r="N163" t="s">
        <v>172</v>
      </c>
      <c r="O163" t="s">
        <v>216</v>
      </c>
      <c r="P163" t="s">
        <v>170</v>
      </c>
      <c r="Q163">
        <v>160</v>
      </c>
      <c r="R163">
        <v>175</v>
      </c>
      <c r="S163">
        <v>1.0021</v>
      </c>
      <c r="T163">
        <v>1.004</v>
      </c>
      <c r="U163">
        <v>1.0053000000000001</v>
      </c>
      <c r="V163">
        <v>1.0057</v>
      </c>
      <c r="W163">
        <v>1.0025999999999999</v>
      </c>
      <c r="X163">
        <v>1.0018</v>
      </c>
      <c r="Z163">
        <v>0.99790000000000001</v>
      </c>
      <c r="AA163">
        <v>1</v>
      </c>
      <c r="AB163">
        <v>1.0019</v>
      </c>
    </row>
    <row r="164" spans="1:28">
      <c r="A164" t="s">
        <v>106</v>
      </c>
      <c r="B164" t="s">
        <v>1213</v>
      </c>
      <c r="C164" t="s">
        <v>843</v>
      </c>
      <c r="D164" t="s">
        <v>654</v>
      </c>
      <c r="E164" t="s">
        <v>1214</v>
      </c>
      <c r="F164">
        <v>132</v>
      </c>
      <c r="G164" t="s">
        <v>810</v>
      </c>
      <c r="H164" t="s">
        <v>811</v>
      </c>
      <c r="I164" t="s">
        <v>812</v>
      </c>
      <c r="J164" t="s">
        <v>1215</v>
      </c>
      <c r="K164" t="s">
        <v>176</v>
      </c>
      <c r="L164" t="s">
        <v>170</v>
      </c>
      <c r="M164" t="s">
        <v>171</v>
      </c>
      <c r="N164" t="s">
        <v>172</v>
      </c>
      <c r="O164" t="s">
        <v>216</v>
      </c>
      <c r="P164" t="s">
        <v>170</v>
      </c>
      <c r="Q164">
        <v>460</v>
      </c>
      <c r="R164">
        <v>460</v>
      </c>
      <c r="S164">
        <v>0.99460000000000004</v>
      </c>
      <c r="T164">
        <v>0.99619999999999997</v>
      </c>
      <c r="U164">
        <v>0.99339999999999995</v>
      </c>
      <c r="V164">
        <v>0.98599999999999999</v>
      </c>
      <c r="W164">
        <v>0.9839</v>
      </c>
      <c r="X164">
        <v>0.99119999999999997</v>
      </c>
      <c r="Y164">
        <v>0.99670000000000003</v>
      </c>
      <c r="Z164">
        <v>1.0013000000000001</v>
      </c>
      <c r="AA164">
        <v>1.0001</v>
      </c>
      <c r="AB164">
        <v>0.99109999999999998</v>
      </c>
    </row>
    <row r="165" spans="1:28">
      <c r="A165" t="s">
        <v>107</v>
      </c>
      <c r="B165" t="s">
        <v>1216</v>
      </c>
      <c r="C165" t="s">
        <v>889</v>
      </c>
      <c r="D165" t="s">
        <v>620</v>
      </c>
      <c r="E165" t="s">
        <v>1217</v>
      </c>
      <c r="F165">
        <v>330</v>
      </c>
      <c r="G165" t="s">
        <v>830</v>
      </c>
      <c r="H165" t="s">
        <v>811</v>
      </c>
      <c r="I165" t="s">
        <v>812</v>
      </c>
      <c r="J165" t="s">
        <v>1218</v>
      </c>
      <c r="K165" t="s">
        <v>176</v>
      </c>
      <c r="L165" t="s">
        <v>210</v>
      </c>
      <c r="M165" t="s">
        <v>211</v>
      </c>
      <c r="N165" t="s">
        <v>199</v>
      </c>
      <c r="O165" t="s">
        <v>212</v>
      </c>
      <c r="P165" t="s">
        <v>210</v>
      </c>
      <c r="Q165">
        <v>240</v>
      </c>
      <c r="R165">
        <v>240</v>
      </c>
      <c r="S165">
        <v>1.0134000000000001</v>
      </c>
      <c r="T165">
        <v>0.96709999999999996</v>
      </c>
      <c r="U165">
        <v>0.9798</v>
      </c>
      <c r="V165">
        <v>0.98380000000000001</v>
      </c>
      <c r="W165">
        <v>0.97370000000000001</v>
      </c>
      <c r="X165">
        <v>0.98380000000000001</v>
      </c>
      <c r="Y165">
        <v>0.99039999999999995</v>
      </c>
      <c r="Z165">
        <v>0.99309999999999998</v>
      </c>
      <c r="AA165">
        <v>0.99809999999999999</v>
      </c>
      <c r="AB165">
        <v>0.98050000000000004</v>
      </c>
    </row>
    <row r="166" spans="1:28">
      <c r="A166" t="s">
        <v>108</v>
      </c>
      <c r="B166" t="s">
        <v>1216</v>
      </c>
      <c r="C166" t="s">
        <v>889</v>
      </c>
      <c r="D166" t="s">
        <v>620</v>
      </c>
      <c r="E166" t="s">
        <v>1217</v>
      </c>
      <c r="F166">
        <v>330</v>
      </c>
      <c r="G166" t="s">
        <v>830</v>
      </c>
      <c r="H166" t="s">
        <v>811</v>
      </c>
      <c r="I166" t="s">
        <v>812</v>
      </c>
      <c r="J166" t="s">
        <v>1221</v>
      </c>
      <c r="K166" t="s">
        <v>176</v>
      </c>
      <c r="L166" t="s">
        <v>210</v>
      </c>
      <c r="M166" t="s">
        <v>211</v>
      </c>
      <c r="N166" t="s">
        <v>199</v>
      </c>
      <c r="O166" t="s">
        <v>212</v>
      </c>
      <c r="P166" t="s">
        <v>210</v>
      </c>
      <c r="Q166">
        <v>240</v>
      </c>
      <c r="R166">
        <v>240</v>
      </c>
      <c r="S166">
        <v>1.0134000000000001</v>
      </c>
      <c r="T166">
        <v>0.96709999999999996</v>
      </c>
      <c r="U166">
        <v>0.9798</v>
      </c>
      <c r="V166">
        <v>0.98380000000000001</v>
      </c>
      <c r="W166">
        <v>0.97370000000000001</v>
      </c>
      <c r="X166">
        <v>0.98380000000000001</v>
      </c>
      <c r="Y166">
        <v>0.99039999999999995</v>
      </c>
      <c r="Z166">
        <v>0.99309999999999998</v>
      </c>
      <c r="AA166">
        <v>0.99809999999999999</v>
      </c>
      <c r="AB166">
        <v>0.98050000000000004</v>
      </c>
    </row>
    <row r="167" spans="1:28">
      <c r="A167" t="s">
        <v>109</v>
      </c>
      <c r="B167" t="s">
        <v>1222</v>
      </c>
      <c r="C167" t="s">
        <v>1223</v>
      </c>
      <c r="D167" t="s">
        <v>656</v>
      </c>
      <c r="E167" t="s">
        <v>1224</v>
      </c>
      <c r="F167">
        <v>132</v>
      </c>
      <c r="G167" t="s">
        <v>810</v>
      </c>
      <c r="H167" t="s">
        <v>811</v>
      </c>
      <c r="I167" t="s">
        <v>841</v>
      </c>
      <c r="J167" t="s">
        <v>1225</v>
      </c>
      <c r="K167" t="s">
        <v>176</v>
      </c>
      <c r="L167" t="s">
        <v>198</v>
      </c>
      <c r="M167" t="s">
        <v>198</v>
      </c>
      <c r="N167" t="s">
        <v>199</v>
      </c>
      <c r="O167" t="s">
        <v>200</v>
      </c>
      <c r="P167" t="s">
        <v>198</v>
      </c>
      <c r="Q167">
        <v>106.8</v>
      </c>
      <c r="R167">
        <v>106.8</v>
      </c>
      <c r="W167">
        <v>0.97619999999999996</v>
      </c>
      <c r="X167">
        <v>0.98440000000000005</v>
      </c>
      <c r="Y167">
        <v>0.99219999999999997</v>
      </c>
      <c r="Z167">
        <v>0.99980000000000002</v>
      </c>
      <c r="AA167">
        <v>0.99770000000000003</v>
      </c>
      <c r="AB167">
        <v>1.0119</v>
      </c>
    </row>
    <row r="168" spans="1:28">
      <c r="A168" t="s">
        <v>110</v>
      </c>
      <c r="B168" t="s">
        <v>1226</v>
      </c>
      <c r="C168" t="s">
        <v>1227</v>
      </c>
      <c r="D168" t="s">
        <v>390</v>
      </c>
      <c r="E168" t="s">
        <v>1228</v>
      </c>
      <c r="F168">
        <v>330</v>
      </c>
      <c r="G168" t="s">
        <v>810</v>
      </c>
      <c r="H168" t="s">
        <v>811</v>
      </c>
      <c r="I168" t="s">
        <v>841</v>
      </c>
      <c r="J168" t="s">
        <v>1229</v>
      </c>
      <c r="K168" t="s">
        <v>176</v>
      </c>
      <c r="L168" t="s">
        <v>198</v>
      </c>
      <c r="M168" t="s">
        <v>198</v>
      </c>
      <c r="N168" t="s">
        <v>199</v>
      </c>
      <c r="O168" t="s">
        <v>200</v>
      </c>
      <c r="P168" t="s">
        <v>198</v>
      </c>
      <c r="Q168">
        <v>166</v>
      </c>
      <c r="R168">
        <v>172</v>
      </c>
      <c r="W168">
        <v>0.9667</v>
      </c>
      <c r="X168">
        <v>0.97699999999999998</v>
      </c>
      <c r="Y168">
        <v>0.9909</v>
      </c>
      <c r="Z168">
        <v>1.0009999999999999</v>
      </c>
      <c r="AA168">
        <v>0.99590000000000001</v>
      </c>
      <c r="AB168">
        <v>0.97170000000000001</v>
      </c>
    </row>
    <row r="169" spans="1:28">
      <c r="A169" t="s">
        <v>111</v>
      </c>
      <c r="B169" t="s">
        <v>1230</v>
      </c>
      <c r="C169" t="s">
        <v>1231</v>
      </c>
      <c r="D169" t="s">
        <v>392</v>
      </c>
      <c r="E169" t="s">
        <v>1232</v>
      </c>
      <c r="F169">
        <v>132</v>
      </c>
      <c r="G169" t="s">
        <v>810</v>
      </c>
      <c r="H169" t="s">
        <v>811</v>
      </c>
      <c r="I169" t="s">
        <v>841</v>
      </c>
      <c r="J169" t="s">
        <v>1233</v>
      </c>
      <c r="K169" t="s">
        <v>176</v>
      </c>
      <c r="L169" t="s">
        <v>198</v>
      </c>
      <c r="M169" t="s">
        <v>198</v>
      </c>
      <c r="N169" t="s">
        <v>198</v>
      </c>
      <c r="O169" t="s">
        <v>200</v>
      </c>
      <c r="P169" t="s">
        <v>198</v>
      </c>
      <c r="Q169">
        <v>47</v>
      </c>
      <c r="R169">
        <v>47</v>
      </c>
      <c r="S169">
        <v>0.97499999999999998</v>
      </c>
      <c r="T169">
        <v>0.97260000000000002</v>
      </c>
      <c r="U169">
        <v>0.98519999999999996</v>
      </c>
      <c r="V169">
        <v>0.98599999999999999</v>
      </c>
      <c r="W169">
        <v>0.96089999999999998</v>
      </c>
      <c r="X169">
        <v>0.97419999999999995</v>
      </c>
      <c r="Y169">
        <v>0.99139999999999995</v>
      </c>
      <c r="Z169">
        <v>1.0135000000000001</v>
      </c>
      <c r="AA169">
        <v>1.0054000000000001</v>
      </c>
      <c r="AB169">
        <v>0.95499999999999996</v>
      </c>
    </row>
    <row r="170" spans="1:28">
      <c r="A170" t="s">
        <v>112</v>
      </c>
      <c r="B170" t="s">
        <v>1234</v>
      </c>
      <c r="C170" t="s">
        <v>889</v>
      </c>
      <c r="D170" t="s">
        <v>338</v>
      </c>
      <c r="E170" t="s">
        <v>1235</v>
      </c>
      <c r="F170">
        <v>132</v>
      </c>
      <c r="G170" t="s">
        <v>823</v>
      </c>
      <c r="H170" t="s">
        <v>811</v>
      </c>
      <c r="I170" t="s">
        <v>804</v>
      </c>
      <c r="J170" t="s">
        <v>1236</v>
      </c>
      <c r="K170" t="s">
        <v>176</v>
      </c>
      <c r="L170" t="s">
        <v>198</v>
      </c>
      <c r="M170" t="s">
        <v>198</v>
      </c>
      <c r="N170" t="s">
        <v>199</v>
      </c>
      <c r="O170" t="s">
        <v>200</v>
      </c>
      <c r="P170" t="s">
        <v>198</v>
      </c>
      <c r="Q170">
        <v>30</v>
      </c>
      <c r="R170">
        <v>30</v>
      </c>
      <c r="S170">
        <v>0.97499999999999998</v>
      </c>
      <c r="T170">
        <v>0.97260000000000002</v>
      </c>
      <c r="U170">
        <v>0.98519999999999996</v>
      </c>
      <c r="V170">
        <v>0.98599999999999999</v>
      </c>
      <c r="W170">
        <v>0.96089999999999998</v>
      </c>
      <c r="X170">
        <v>0.97419999999999995</v>
      </c>
      <c r="Y170">
        <v>0.99139999999999995</v>
      </c>
      <c r="Z170">
        <v>1.0135000000000001</v>
      </c>
      <c r="AA170">
        <v>1.0054000000000001</v>
      </c>
      <c r="AB170">
        <v>0.95499999999999996</v>
      </c>
    </row>
    <row r="171" spans="1:28">
      <c r="A171" t="s">
        <v>113</v>
      </c>
      <c r="B171" t="s">
        <v>1237</v>
      </c>
      <c r="C171" t="s">
        <v>1238</v>
      </c>
      <c r="D171" t="s">
        <v>756</v>
      </c>
      <c r="E171" t="s">
        <v>1239</v>
      </c>
      <c r="F171">
        <v>330</v>
      </c>
      <c r="G171" t="s">
        <v>810</v>
      </c>
      <c r="H171" t="s">
        <v>811</v>
      </c>
      <c r="I171" t="s">
        <v>841</v>
      </c>
      <c r="J171" t="s">
        <v>1240</v>
      </c>
      <c r="K171" t="s">
        <v>176</v>
      </c>
      <c r="L171" t="s">
        <v>198</v>
      </c>
      <c r="M171" t="s">
        <v>198</v>
      </c>
      <c r="N171" t="s">
        <v>199</v>
      </c>
      <c r="O171" t="s">
        <v>200</v>
      </c>
      <c r="P171" t="s">
        <v>198</v>
      </c>
      <c r="Q171">
        <v>48</v>
      </c>
      <c r="R171">
        <v>48</v>
      </c>
      <c r="S171">
        <v>1.0012000000000001</v>
      </c>
      <c r="T171">
        <v>0.99199999999999999</v>
      </c>
      <c r="U171">
        <v>0.98450000000000004</v>
      </c>
      <c r="V171">
        <v>0.98799999999999999</v>
      </c>
      <c r="W171">
        <v>0.96179999999999999</v>
      </c>
      <c r="X171">
        <v>0.9748</v>
      </c>
      <c r="Y171">
        <v>0.99309999999999998</v>
      </c>
      <c r="Z171">
        <v>1.0163</v>
      </c>
      <c r="AA171">
        <v>1.01</v>
      </c>
      <c r="AB171">
        <v>0.97419999999999995</v>
      </c>
    </row>
    <row r="172" spans="1:28">
      <c r="A172" t="s">
        <v>114</v>
      </c>
      <c r="B172" t="s">
        <v>293</v>
      </c>
      <c r="C172" t="s">
        <v>1241</v>
      </c>
      <c r="D172" t="s">
        <v>293</v>
      </c>
      <c r="E172" t="s">
        <v>1242</v>
      </c>
      <c r="F172">
        <v>330</v>
      </c>
      <c r="G172" t="s">
        <v>823</v>
      </c>
      <c r="H172" t="s">
        <v>811</v>
      </c>
      <c r="I172" t="s">
        <v>804</v>
      </c>
      <c r="J172" t="s">
        <v>1243</v>
      </c>
      <c r="K172" t="s">
        <v>176</v>
      </c>
      <c r="L172" t="s">
        <v>198</v>
      </c>
      <c r="M172" t="s">
        <v>198</v>
      </c>
      <c r="N172" t="s">
        <v>199</v>
      </c>
      <c r="O172" t="s">
        <v>200</v>
      </c>
      <c r="P172" t="s">
        <v>198</v>
      </c>
      <c r="Q172">
        <v>140</v>
      </c>
      <c r="R172">
        <v>140</v>
      </c>
      <c r="S172">
        <v>1.0012000000000001</v>
      </c>
      <c r="T172">
        <v>0.99199999999999999</v>
      </c>
      <c r="U172">
        <v>0.98450000000000004</v>
      </c>
      <c r="V172">
        <v>0.98799999999999999</v>
      </c>
      <c r="W172">
        <v>0.96179999999999999</v>
      </c>
      <c r="X172">
        <v>0.9748</v>
      </c>
      <c r="Y172">
        <v>0.99309999999999998</v>
      </c>
      <c r="Z172">
        <v>1.0163</v>
      </c>
      <c r="AA172">
        <v>1.01</v>
      </c>
      <c r="AB172">
        <v>0.97419999999999995</v>
      </c>
    </row>
    <row r="173" spans="1:28">
      <c r="A173" t="s">
        <v>115</v>
      </c>
      <c r="B173" t="s">
        <v>1244</v>
      </c>
      <c r="C173" t="s">
        <v>1245</v>
      </c>
      <c r="D173" t="s">
        <v>612</v>
      </c>
      <c r="E173" t="s">
        <v>1246</v>
      </c>
      <c r="F173">
        <v>11</v>
      </c>
      <c r="G173" t="s">
        <v>823</v>
      </c>
      <c r="H173" t="s">
        <v>811</v>
      </c>
      <c r="I173" t="s">
        <v>804</v>
      </c>
      <c r="J173" t="s">
        <v>1249</v>
      </c>
      <c r="K173" t="s">
        <v>176</v>
      </c>
      <c r="L173" t="s">
        <v>219</v>
      </c>
      <c r="M173" t="s">
        <v>219</v>
      </c>
      <c r="N173" t="s">
        <v>199</v>
      </c>
      <c r="O173" t="s">
        <v>268</v>
      </c>
      <c r="P173" t="s">
        <v>219</v>
      </c>
      <c r="Q173">
        <v>20</v>
      </c>
      <c r="R173">
        <v>20</v>
      </c>
      <c r="W173">
        <v>0.96419999999999995</v>
      </c>
      <c r="X173">
        <v>0.98280000000000001</v>
      </c>
      <c r="Y173">
        <v>1.0095000000000001</v>
      </c>
      <c r="Z173">
        <v>1.0362</v>
      </c>
      <c r="AA173">
        <v>1.0178</v>
      </c>
      <c r="AB173">
        <v>0.97050000000000003</v>
      </c>
    </row>
    <row r="174" spans="1:28">
      <c r="A174" t="s">
        <v>116</v>
      </c>
      <c r="B174" t="s">
        <v>274</v>
      </c>
      <c r="C174" t="s">
        <v>1250</v>
      </c>
      <c r="D174" t="s">
        <v>274</v>
      </c>
      <c r="E174" t="s">
        <v>1251</v>
      </c>
      <c r="F174">
        <v>132</v>
      </c>
      <c r="G174" t="s">
        <v>823</v>
      </c>
      <c r="H174" t="s">
        <v>811</v>
      </c>
      <c r="I174" t="s">
        <v>804</v>
      </c>
      <c r="J174" t="s">
        <v>1252</v>
      </c>
      <c r="K174" t="s">
        <v>176</v>
      </c>
      <c r="L174" t="s">
        <v>210</v>
      </c>
      <c r="M174" t="s">
        <v>211</v>
      </c>
      <c r="N174" t="s">
        <v>199</v>
      </c>
      <c r="O174" t="s">
        <v>212</v>
      </c>
      <c r="P174" t="s">
        <v>210</v>
      </c>
      <c r="Q174">
        <v>27</v>
      </c>
      <c r="R174">
        <v>28</v>
      </c>
      <c r="S174">
        <v>1.0106999999999999</v>
      </c>
      <c r="T174">
        <v>1.0116000000000001</v>
      </c>
      <c r="U174">
        <v>0.98160000000000003</v>
      </c>
      <c r="V174">
        <v>0.99019999999999997</v>
      </c>
      <c r="W174">
        <v>0.94810000000000005</v>
      </c>
      <c r="X174">
        <v>0.95889999999999997</v>
      </c>
      <c r="Y174">
        <v>0.99150000000000005</v>
      </c>
      <c r="Z174">
        <v>1.0275000000000001</v>
      </c>
      <c r="AA174">
        <v>1.0124</v>
      </c>
      <c r="AB174">
        <v>0.97250000000000003</v>
      </c>
    </row>
    <row r="175" spans="1:28">
      <c r="A175" t="s">
        <v>117</v>
      </c>
      <c r="B175" t="s">
        <v>1253</v>
      </c>
      <c r="C175" t="s">
        <v>1254</v>
      </c>
      <c r="D175" t="s">
        <v>705</v>
      </c>
      <c r="E175" t="s">
        <v>1255</v>
      </c>
      <c r="F175">
        <v>132</v>
      </c>
      <c r="G175" t="s">
        <v>830</v>
      </c>
      <c r="H175" t="s">
        <v>811</v>
      </c>
      <c r="I175" t="s">
        <v>812</v>
      </c>
      <c r="J175" t="s">
        <v>1256</v>
      </c>
      <c r="K175" t="s">
        <v>176</v>
      </c>
      <c r="L175" t="s">
        <v>170</v>
      </c>
      <c r="M175" t="s">
        <v>171</v>
      </c>
      <c r="N175" t="s">
        <v>172</v>
      </c>
      <c r="O175" t="s">
        <v>185</v>
      </c>
      <c r="P175" t="s">
        <v>170</v>
      </c>
      <c r="Q175">
        <v>166</v>
      </c>
      <c r="R175">
        <v>166</v>
      </c>
      <c r="S175">
        <v>0.94059999999999999</v>
      </c>
      <c r="T175">
        <v>0.96519999999999995</v>
      </c>
      <c r="U175">
        <v>0.96650000000000003</v>
      </c>
      <c r="V175">
        <v>0.91890000000000005</v>
      </c>
      <c r="W175">
        <v>0.86750000000000005</v>
      </c>
      <c r="X175">
        <v>0.89700000000000002</v>
      </c>
      <c r="Y175">
        <v>0.92910000000000004</v>
      </c>
      <c r="Z175">
        <v>1.0086999999999999</v>
      </c>
      <c r="AA175">
        <v>0.96089999999999998</v>
      </c>
      <c r="AB175">
        <v>0.88390000000000002</v>
      </c>
    </row>
    <row r="176" spans="1:28">
      <c r="A176" t="s">
        <v>117</v>
      </c>
      <c r="B176" t="s">
        <v>1253</v>
      </c>
      <c r="C176" t="s">
        <v>1254</v>
      </c>
      <c r="D176" t="s">
        <v>707</v>
      </c>
      <c r="E176" t="s">
        <v>1257</v>
      </c>
      <c r="F176">
        <v>132</v>
      </c>
      <c r="G176" t="s">
        <v>830</v>
      </c>
      <c r="H176" t="s">
        <v>811</v>
      </c>
      <c r="I176" t="s">
        <v>812</v>
      </c>
      <c r="J176" t="s">
        <v>1256</v>
      </c>
      <c r="K176" t="s">
        <v>176</v>
      </c>
      <c r="L176" t="s">
        <v>170</v>
      </c>
      <c r="M176" t="s">
        <v>171</v>
      </c>
      <c r="N176" t="s">
        <v>172</v>
      </c>
      <c r="O176" t="s">
        <v>185</v>
      </c>
      <c r="P176" t="s">
        <v>170</v>
      </c>
      <c r="Q176">
        <v>166</v>
      </c>
      <c r="R176">
        <v>166</v>
      </c>
      <c r="S176">
        <v>0.94059999999999999</v>
      </c>
      <c r="T176">
        <v>0.96519999999999995</v>
      </c>
      <c r="U176">
        <v>0.96650000000000003</v>
      </c>
      <c r="V176">
        <v>0.91890000000000005</v>
      </c>
      <c r="W176">
        <v>0.86750000000000005</v>
      </c>
      <c r="X176">
        <v>0.89700000000000002</v>
      </c>
      <c r="Y176">
        <v>0.92910000000000004</v>
      </c>
      <c r="Z176">
        <v>1.0086999999999999</v>
      </c>
      <c r="AA176">
        <v>0.96089999999999998</v>
      </c>
      <c r="AB176">
        <v>0.88390000000000002</v>
      </c>
    </row>
    <row r="177" spans="1:28">
      <c r="A177" t="s">
        <v>117</v>
      </c>
      <c r="B177" t="s">
        <v>1253</v>
      </c>
      <c r="C177" t="s">
        <v>1254</v>
      </c>
      <c r="D177" t="s">
        <v>708</v>
      </c>
      <c r="E177" t="s">
        <v>1258</v>
      </c>
      <c r="F177">
        <v>132</v>
      </c>
      <c r="G177" t="s">
        <v>830</v>
      </c>
      <c r="H177" t="s">
        <v>811</v>
      </c>
      <c r="I177" t="s">
        <v>812</v>
      </c>
      <c r="J177" t="s">
        <v>1256</v>
      </c>
      <c r="K177" t="s">
        <v>176</v>
      </c>
      <c r="L177" t="s">
        <v>170</v>
      </c>
      <c r="M177" t="s">
        <v>171</v>
      </c>
      <c r="N177" t="s">
        <v>172</v>
      </c>
      <c r="O177" t="s">
        <v>185</v>
      </c>
      <c r="P177" t="s">
        <v>170</v>
      </c>
      <c r="Q177">
        <v>166</v>
      </c>
      <c r="R177">
        <v>166</v>
      </c>
      <c r="S177">
        <v>0.94059999999999999</v>
      </c>
      <c r="T177">
        <v>0.96519999999999995</v>
      </c>
      <c r="U177">
        <v>0.96650000000000003</v>
      </c>
      <c r="V177">
        <v>0.91890000000000005</v>
      </c>
      <c r="W177">
        <v>0.86750000000000005</v>
      </c>
      <c r="X177">
        <v>0.89700000000000002</v>
      </c>
      <c r="Y177">
        <v>0.92910000000000004</v>
      </c>
      <c r="Z177">
        <v>1.0086999999999999</v>
      </c>
      <c r="AA177">
        <v>0.96089999999999998</v>
      </c>
      <c r="AB177">
        <v>0.88390000000000002</v>
      </c>
    </row>
    <row r="178" spans="1:28">
      <c r="A178" t="s">
        <v>117</v>
      </c>
      <c r="B178" t="s">
        <v>1253</v>
      </c>
      <c r="C178" t="s">
        <v>1254</v>
      </c>
      <c r="D178" t="s">
        <v>709</v>
      </c>
      <c r="E178" t="s">
        <v>1259</v>
      </c>
      <c r="F178">
        <v>132</v>
      </c>
      <c r="G178" t="s">
        <v>830</v>
      </c>
      <c r="H178" t="s">
        <v>811</v>
      </c>
      <c r="I178" t="s">
        <v>812</v>
      </c>
      <c r="J178" t="s">
        <v>1256</v>
      </c>
      <c r="K178" t="s">
        <v>176</v>
      </c>
      <c r="L178" t="s">
        <v>170</v>
      </c>
      <c r="M178" t="s">
        <v>171</v>
      </c>
      <c r="N178" t="s">
        <v>172</v>
      </c>
      <c r="O178" t="s">
        <v>185</v>
      </c>
      <c r="P178" t="s">
        <v>170</v>
      </c>
      <c r="Q178">
        <v>166</v>
      </c>
      <c r="R178">
        <v>166</v>
      </c>
      <c r="S178">
        <v>0.94059999999999999</v>
      </c>
      <c r="T178">
        <v>0.96519999999999995</v>
      </c>
      <c r="U178">
        <v>0.96650000000000003</v>
      </c>
      <c r="V178">
        <v>0.91890000000000005</v>
      </c>
      <c r="W178">
        <v>0.86750000000000005</v>
      </c>
      <c r="X178">
        <v>0.89700000000000002</v>
      </c>
      <c r="Y178">
        <v>0.92910000000000004</v>
      </c>
      <c r="Z178">
        <v>1.0086999999999999</v>
      </c>
      <c r="AA178">
        <v>0.96089999999999998</v>
      </c>
      <c r="AB178">
        <v>0.88390000000000002</v>
      </c>
    </row>
    <row r="179" spans="1:28">
      <c r="A179" t="s">
        <v>118</v>
      </c>
      <c r="B179" t="s">
        <v>1260</v>
      </c>
      <c r="C179" t="s">
        <v>1031</v>
      </c>
      <c r="D179" t="s">
        <v>241</v>
      </c>
      <c r="E179" t="s">
        <v>1261</v>
      </c>
      <c r="F179">
        <v>132</v>
      </c>
      <c r="G179" t="s">
        <v>810</v>
      </c>
      <c r="H179" t="s">
        <v>811</v>
      </c>
      <c r="I179" t="s">
        <v>812</v>
      </c>
      <c r="J179" t="s">
        <v>1263</v>
      </c>
      <c r="K179" t="s">
        <v>176</v>
      </c>
      <c r="L179" t="s">
        <v>210</v>
      </c>
      <c r="M179" t="s">
        <v>211</v>
      </c>
      <c r="N179" t="s">
        <v>199</v>
      </c>
      <c r="O179" t="s">
        <v>212</v>
      </c>
      <c r="P179" t="s">
        <v>210</v>
      </c>
      <c r="Q179">
        <v>70</v>
      </c>
      <c r="R179">
        <v>80</v>
      </c>
      <c r="S179">
        <v>1.0129999999999999</v>
      </c>
      <c r="T179">
        <v>1.0112000000000001</v>
      </c>
      <c r="U179">
        <v>0.97089999999999999</v>
      </c>
      <c r="V179">
        <v>0.98480000000000001</v>
      </c>
      <c r="W179">
        <v>0.93679999999999997</v>
      </c>
      <c r="X179">
        <v>0.94310000000000005</v>
      </c>
      <c r="Y179">
        <v>0.98150000000000004</v>
      </c>
      <c r="Z179">
        <v>1.0506</v>
      </c>
      <c r="AA179">
        <v>0.99</v>
      </c>
      <c r="AB179">
        <v>0.94769999999999999</v>
      </c>
    </row>
    <row r="180" spans="1:28">
      <c r="A180" t="s">
        <v>119</v>
      </c>
      <c r="B180" t="s">
        <v>1264</v>
      </c>
      <c r="C180" t="s">
        <v>1031</v>
      </c>
      <c r="D180" t="s">
        <v>696</v>
      </c>
      <c r="E180" t="s">
        <v>1265</v>
      </c>
      <c r="F180">
        <v>330</v>
      </c>
      <c r="G180" t="s">
        <v>810</v>
      </c>
      <c r="H180" t="s">
        <v>811</v>
      </c>
      <c r="I180" t="s">
        <v>812</v>
      </c>
      <c r="J180" t="s">
        <v>1266</v>
      </c>
      <c r="K180" t="s">
        <v>176</v>
      </c>
      <c r="L180" t="s">
        <v>210</v>
      </c>
      <c r="M180" t="s">
        <v>211</v>
      </c>
      <c r="N180" t="s">
        <v>199</v>
      </c>
      <c r="O180" t="s">
        <v>212</v>
      </c>
      <c r="P180" t="s">
        <v>210</v>
      </c>
      <c r="Q180">
        <v>1500</v>
      </c>
      <c r="R180">
        <v>1800</v>
      </c>
      <c r="S180">
        <v>1.0092000000000001</v>
      </c>
      <c r="T180">
        <v>0.93220000000000003</v>
      </c>
      <c r="U180">
        <v>0.92330000000000001</v>
      </c>
      <c r="V180">
        <v>0.97289999999999999</v>
      </c>
      <c r="W180">
        <v>0.93089999999999995</v>
      </c>
      <c r="X180">
        <v>0.94650000000000001</v>
      </c>
      <c r="Y180">
        <v>0.98970000000000002</v>
      </c>
      <c r="Z180">
        <v>1.0155000000000001</v>
      </c>
      <c r="AA180">
        <v>0.99539999999999995</v>
      </c>
      <c r="AB180">
        <v>0.93889999999999996</v>
      </c>
    </row>
    <row r="181" spans="1:28">
      <c r="A181" t="s">
        <v>120</v>
      </c>
      <c r="B181" t="s">
        <v>1267</v>
      </c>
      <c r="C181" t="s">
        <v>1031</v>
      </c>
      <c r="D181" t="s">
        <v>1268</v>
      </c>
      <c r="E181" t="s">
        <v>1269</v>
      </c>
      <c r="F181">
        <v>330</v>
      </c>
      <c r="G181" t="s">
        <v>810</v>
      </c>
      <c r="H181" t="s">
        <v>811</v>
      </c>
      <c r="I181" t="s">
        <v>812</v>
      </c>
      <c r="J181" t="s">
        <v>1270</v>
      </c>
      <c r="K181" t="s">
        <v>176</v>
      </c>
      <c r="L181" t="s">
        <v>210</v>
      </c>
      <c r="M181" t="s">
        <v>211</v>
      </c>
      <c r="N181" t="s">
        <v>199</v>
      </c>
      <c r="O181" t="s">
        <v>212</v>
      </c>
      <c r="P181" t="s">
        <v>210</v>
      </c>
      <c r="Q181">
        <v>71</v>
      </c>
      <c r="R181">
        <v>71</v>
      </c>
    </row>
    <row r="182" spans="1:28">
      <c r="A182" t="s">
        <v>120</v>
      </c>
      <c r="B182" t="s">
        <v>1267</v>
      </c>
      <c r="C182" t="s">
        <v>1031</v>
      </c>
      <c r="D182" t="s">
        <v>1271</v>
      </c>
      <c r="E182" t="s">
        <v>1272</v>
      </c>
      <c r="F182">
        <v>330</v>
      </c>
      <c r="G182" t="s">
        <v>810</v>
      </c>
      <c r="H182" t="s">
        <v>811</v>
      </c>
      <c r="I182" t="s">
        <v>812</v>
      </c>
      <c r="J182" t="s">
        <v>1270</v>
      </c>
      <c r="K182" t="s">
        <v>176</v>
      </c>
      <c r="L182" t="s">
        <v>210</v>
      </c>
      <c r="M182" t="s">
        <v>211</v>
      </c>
      <c r="N182" t="s">
        <v>199</v>
      </c>
      <c r="O182" t="s">
        <v>212</v>
      </c>
      <c r="P182" t="s">
        <v>210</v>
      </c>
      <c r="Q182">
        <v>71</v>
      </c>
      <c r="R182">
        <v>71</v>
      </c>
    </row>
    <row r="183" spans="1:28">
      <c r="A183" t="s">
        <v>120</v>
      </c>
      <c r="B183" t="s">
        <v>1267</v>
      </c>
      <c r="C183" t="s">
        <v>1031</v>
      </c>
      <c r="D183" t="s">
        <v>1273</v>
      </c>
      <c r="E183" t="s">
        <v>1274</v>
      </c>
      <c r="F183">
        <v>330</v>
      </c>
      <c r="G183" t="s">
        <v>810</v>
      </c>
      <c r="H183" t="s">
        <v>811</v>
      </c>
      <c r="I183" t="s">
        <v>812</v>
      </c>
      <c r="J183" t="s">
        <v>1270</v>
      </c>
      <c r="K183" t="s">
        <v>176</v>
      </c>
      <c r="L183" t="s">
        <v>210</v>
      </c>
      <c r="M183" t="s">
        <v>211</v>
      </c>
      <c r="N183" t="s">
        <v>199</v>
      </c>
      <c r="O183" t="s">
        <v>212</v>
      </c>
      <c r="P183" t="s">
        <v>210</v>
      </c>
      <c r="Q183">
        <v>71</v>
      </c>
      <c r="R183">
        <v>71</v>
      </c>
    </row>
    <row r="184" spans="1:28">
      <c r="A184" t="s">
        <v>120</v>
      </c>
      <c r="B184" t="s">
        <v>1267</v>
      </c>
      <c r="C184" t="s">
        <v>1031</v>
      </c>
      <c r="D184" t="s">
        <v>1275</v>
      </c>
      <c r="E184" t="s">
        <v>1276</v>
      </c>
      <c r="F184">
        <v>330</v>
      </c>
      <c r="G184" t="s">
        <v>810</v>
      </c>
      <c r="H184" t="s">
        <v>811</v>
      </c>
      <c r="I184" t="s">
        <v>812</v>
      </c>
      <c r="J184" t="s">
        <v>1270</v>
      </c>
      <c r="K184" t="s">
        <v>176</v>
      </c>
      <c r="L184" t="s">
        <v>210</v>
      </c>
      <c r="M184" t="s">
        <v>211</v>
      </c>
      <c r="N184" t="s">
        <v>199</v>
      </c>
      <c r="O184" t="s">
        <v>212</v>
      </c>
      <c r="P184" t="s">
        <v>210</v>
      </c>
      <c r="Q184">
        <v>71</v>
      </c>
      <c r="R184">
        <v>71</v>
      </c>
    </row>
    <row r="185" spans="1:28">
      <c r="A185" t="s">
        <v>121</v>
      </c>
      <c r="B185" t="s">
        <v>1277</v>
      </c>
      <c r="C185" t="s">
        <v>1031</v>
      </c>
      <c r="D185" t="s">
        <v>703</v>
      </c>
      <c r="E185" t="s">
        <v>1278</v>
      </c>
      <c r="F185">
        <v>330</v>
      </c>
      <c r="G185" t="s">
        <v>810</v>
      </c>
      <c r="H185" t="s">
        <v>811</v>
      </c>
      <c r="I185" t="s">
        <v>812</v>
      </c>
      <c r="J185" t="s">
        <v>1279</v>
      </c>
      <c r="K185" t="s">
        <v>176</v>
      </c>
      <c r="L185" t="s">
        <v>210</v>
      </c>
      <c r="M185" t="s">
        <v>211</v>
      </c>
      <c r="N185" t="s">
        <v>199</v>
      </c>
      <c r="O185" t="s">
        <v>212</v>
      </c>
      <c r="P185" t="s">
        <v>210</v>
      </c>
      <c r="Q185">
        <v>616</v>
      </c>
      <c r="R185">
        <v>665</v>
      </c>
      <c r="S185">
        <v>0.9768</v>
      </c>
      <c r="T185">
        <v>0.97089999999999999</v>
      </c>
      <c r="U185">
        <v>0.94530000000000003</v>
      </c>
      <c r="V185">
        <v>0.97829999999999995</v>
      </c>
      <c r="W185">
        <v>0.93630000000000002</v>
      </c>
      <c r="X185">
        <v>0.95379999999999998</v>
      </c>
      <c r="Y185">
        <v>0.99429999999999996</v>
      </c>
      <c r="Z185">
        <v>1.0356000000000001</v>
      </c>
      <c r="AA185">
        <v>1.0112000000000001</v>
      </c>
      <c r="AB185">
        <v>0.95940000000000003</v>
      </c>
    </row>
    <row r="186" spans="1:28">
      <c r="A186" t="s">
        <v>122</v>
      </c>
      <c r="B186" t="s">
        <v>1280</v>
      </c>
      <c r="C186" t="s">
        <v>1031</v>
      </c>
      <c r="D186" t="s">
        <v>393</v>
      </c>
      <c r="E186" t="s">
        <v>1281</v>
      </c>
      <c r="F186">
        <v>132</v>
      </c>
      <c r="G186" t="s">
        <v>830</v>
      </c>
      <c r="H186" t="s">
        <v>811</v>
      </c>
      <c r="I186" t="s">
        <v>812</v>
      </c>
      <c r="J186" t="s">
        <v>1282</v>
      </c>
      <c r="K186" t="s">
        <v>176</v>
      </c>
      <c r="L186" t="s">
        <v>210</v>
      </c>
      <c r="M186" t="s">
        <v>211</v>
      </c>
      <c r="N186" t="s">
        <v>199</v>
      </c>
      <c r="O186" t="s">
        <v>212</v>
      </c>
      <c r="P186" t="s">
        <v>210</v>
      </c>
      <c r="Q186">
        <v>60</v>
      </c>
      <c r="R186">
        <v>80</v>
      </c>
      <c r="S186">
        <v>0.97160000000000002</v>
      </c>
      <c r="T186">
        <v>0.93989999999999996</v>
      </c>
      <c r="U186">
        <v>0.94840000000000002</v>
      </c>
      <c r="V186">
        <v>0.94279999999999997</v>
      </c>
      <c r="W186">
        <v>0.89870000000000005</v>
      </c>
      <c r="X186">
        <v>0.88819999999999999</v>
      </c>
      <c r="Y186">
        <v>0.93710000000000004</v>
      </c>
      <c r="Z186">
        <v>0.96579999999999999</v>
      </c>
      <c r="AA186">
        <v>0.95369999999999999</v>
      </c>
      <c r="AB186">
        <v>0.90710000000000002</v>
      </c>
    </row>
    <row r="187" spans="1:28">
      <c r="A187" t="s">
        <v>123</v>
      </c>
      <c r="B187" t="s">
        <v>1283</v>
      </c>
      <c r="C187" t="s">
        <v>1284</v>
      </c>
      <c r="D187" t="s">
        <v>247</v>
      </c>
      <c r="E187" t="s">
        <v>1285</v>
      </c>
      <c r="F187">
        <v>132</v>
      </c>
      <c r="G187" t="s">
        <v>810</v>
      </c>
      <c r="H187" t="s">
        <v>811</v>
      </c>
      <c r="I187" t="s">
        <v>841</v>
      </c>
      <c r="J187" t="s">
        <v>1286</v>
      </c>
      <c r="K187" t="s">
        <v>176</v>
      </c>
      <c r="L187" t="s">
        <v>198</v>
      </c>
      <c r="M187" t="s">
        <v>198</v>
      </c>
      <c r="N187" t="s">
        <v>199</v>
      </c>
      <c r="O187" t="s">
        <v>200</v>
      </c>
      <c r="P187" t="s">
        <v>198</v>
      </c>
      <c r="Q187">
        <v>113</v>
      </c>
      <c r="R187">
        <v>113</v>
      </c>
      <c r="Y187">
        <v>0.98819999999999997</v>
      </c>
      <c r="Z187">
        <v>1.0166999999999999</v>
      </c>
      <c r="AA187">
        <v>1.0067999999999999</v>
      </c>
      <c r="AB187">
        <v>0.96060000000000001</v>
      </c>
    </row>
    <row r="188" spans="1:28">
      <c r="A188" t="s">
        <v>124</v>
      </c>
      <c r="B188" t="s">
        <v>3798</v>
      </c>
      <c r="C188" t="s">
        <v>1250</v>
      </c>
      <c r="D188" t="s">
        <v>407</v>
      </c>
      <c r="E188" t="s">
        <v>1287</v>
      </c>
      <c r="F188">
        <v>132</v>
      </c>
      <c r="G188" t="s">
        <v>830</v>
      </c>
      <c r="H188" t="s">
        <v>811</v>
      </c>
      <c r="I188" t="s">
        <v>812</v>
      </c>
      <c r="J188" t="s">
        <v>1288</v>
      </c>
      <c r="K188" t="s">
        <v>176</v>
      </c>
      <c r="L188" t="s">
        <v>210</v>
      </c>
      <c r="M188" t="s">
        <v>211</v>
      </c>
      <c r="N188" t="s">
        <v>199</v>
      </c>
      <c r="O188" t="s">
        <v>212</v>
      </c>
      <c r="P188" t="s">
        <v>210</v>
      </c>
      <c r="Q188">
        <v>29</v>
      </c>
      <c r="R188">
        <v>70</v>
      </c>
      <c r="S188">
        <v>1.0583</v>
      </c>
      <c r="T188">
        <v>0.99670000000000003</v>
      </c>
      <c r="U188">
        <v>0.97040000000000004</v>
      </c>
      <c r="V188">
        <v>0.98809999999999998</v>
      </c>
      <c r="W188">
        <v>0.92320000000000002</v>
      </c>
      <c r="X188">
        <v>0.94830000000000003</v>
      </c>
      <c r="Y188">
        <v>1.002</v>
      </c>
      <c r="Z188">
        <v>1.1054999999999999</v>
      </c>
      <c r="AA188">
        <v>1.0674999999999999</v>
      </c>
      <c r="AB188">
        <v>0.9778</v>
      </c>
    </row>
    <row r="189" spans="1:28">
      <c r="A189" t="s">
        <v>4398</v>
      </c>
      <c r="B189" t="s">
        <v>1289</v>
      </c>
      <c r="C189" t="s">
        <v>839</v>
      </c>
      <c r="D189" t="s">
        <v>554</v>
      </c>
      <c r="E189" t="s">
        <v>1290</v>
      </c>
      <c r="F189">
        <v>132</v>
      </c>
      <c r="G189" t="s">
        <v>810</v>
      </c>
      <c r="H189" t="s">
        <v>811</v>
      </c>
      <c r="I189" t="s">
        <v>841</v>
      </c>
      <c r="J189" t="s">
        <v>1291</v>
      </c>
      <c r="K189" t="s">
        <v>176</v>
      </c>
      <c r="L189" t="s">
        <v>219</v>
      </c>
      <c r="M189" t="s">
        <v>219</v>
      </c>
      <c r="N189" t="s">
        <v>199</v>
      </c>
      <c r="O189" t="s">
        <v>268</v>
      </c>
      <c r="P189" t="s">
        <v>219</v>
      </c>
      <c r="Q189">
        <v>102</v>
      </c>
      <c r="R189">
        <v>102</v>
      </c>
      <c r="W189">
        <v>0.98750000000000004</v>
      </c>
      <c r="X189">
        <v>0.99029999999999996</v>
      </c>
      <c r="Y189">
        <v>0.9909</v>
      </c>
      <c r="Z189">
        <v>0.98309999999999997</v>
      </c>
      <c r="AA189">
        <v>0.98240000000000005</v>
      </c>
      <c r="AB189">
        <v>0.98499999999999999</v>
      </c>
    </row>
    <row r="190" spans="1:28">
      <c r="A190" t="s">
        <v>126</v>
      </c>
      <c r="B190" t="s">
        <v>1292</v>
      </c>
      <c r="C190" t="s">
        <v>1293</v>
      </c>
      <c r="D190" t="s">
        <v>368</v>
      </c>
      <c r="E190" t="s">
        <v>1294</v>
      </c>
      <c r="F190">
        <v>22</v>
      </c>
      <c r="G190" t="s">
        <v>823</v>
      </c>
      <c r="H190" t="s">
        <v>811</v>
      </c>
      <c r="I190" t="s">
        <v>804</v>
      </c>
      <c r="J190" t="s">
        <v>1295</v>
      </c>
      <c r="K190" t="s">
        <v>176</v>
      </c>
      <c r="L190" t="s">
        <v>188</v>
      </c>
      <c r="M190" t="s">
        <v>188</v>
      </c>
      <c r="N190" t="s">
        <v>172</v>
      </c>
      <c r="O190" t="s">
        <v>185</v>
      </c>
      <c r="P190" t="s">
        <v>188</v>
      </c>
      <c r="Q190">
        <v>50</v>
      </c>
      <c r="R190">
        <v>50</v>
      </c>
      <c r="S190">
        <v>1.1426000000000001</v>
      </c>
      <c r="T190">
        <v>1.1027</v>
      </c>
      <c r="U190">
        <v>1.1026</v>
      </c>
      <c r="V190">
        <v>1.0806</v>
      </c>
      <c r="W190">
        <v>0.99780000000000002</v>
      </c>
      <c r="X190">
        <v>1.048</v>
      </c>
      <c r="Y190">
        <v>1.1714</v>
      </c>
      <c r="Z190">
        <v>1.2841</v>
      </c>
      <c r="AA190">
        <v>1.0603</v>
      </c>
      <c r="AB190">
        <v>0.86880000000000002</v>
      </c>
    </row>
    <row r="191" spans="1:28">
      <c r="A191" t="s">
        <v>127</v>
      </c>
      <c r="B191" t="s">
        <v>1296</v>
      </c>
      <c r="C191" t="s">
        <v>1297</v>
      </c>
      <c r="D191" t="s">
        <v>221</v>
      </c>
      <c r="E191" t="s">
        <v>1298</v>
      </c>
      <c r="F191">
        <v>132</v>
      </c>
      <c r="G191" t="s">
        <v>830</v>
      </c>
      <c r="H191" t="s">
        <v>811</v>
      </c>
      <c r="I191" t="s">
        <v>812</v>
      </c>
      <c r="J191" t="s">
        <v>1300</v>
      </c>
      <c r="K191" t="s">
        <v>215</v>
      </c>
      <c r="L191" t="s">
        <v>210</v>
      </c>
      <c r="M191" t="s">
        <v>211</v>
      </c>
      <c r="N191" t="s">
        <v>199</v>
      </c>
      <c r="O191" t="s">
        <v>223</v>
      </c>
      <c r="P191" t="s">
        <v>210</v>
      </c>
      <c r="Q191">
        <v>30</v>
      </c>
      <c r="R191">
        <v>33</v>
      </c>
      <c r="S191">
        <v>1.0922000000000001</v>
      </c>
      <c r="T191">
        <v>1.0934999999999999</v>
      </c>
      <c r="U191">
        <v>1.1134999999999999</v>
      </c>
      <c r="V191">
        <v>1.0924</v>
      </c>
      <c r="W191">
        <v>1.0883</v>
      </c>
      <c r="X191">
        <v>1.0677000000000001</v>
      </c>
      <c r="Y191">
        <v>1.0529999999999999</v>
      </c>
      <c r="Z191">
        <v>1.0238</v>
      </c>
      <c r="AA191">
        <v>0.93459999999999999</v>
      </c>
      <c r="AB191">
        <v>0.91300000000000003</v>
      </c>
    </row>
    <row r="192" spans="1:28">
      <c r="A192" t="s">
        <v>127</v>
      </c>
      <c r="B192" t="s">
        <v>1296</v>
      </c>
      <c r="C192" t="s">
        <v>1297</v>
      </c>
      <c r="D192" t="s">
        <v>224</v>
      </c>
      <c r="E192" t="s">
        <v>1301</v>
      </c>
      <c r="F192">
        <v>132</v>
      </c>
      <c r="G192" t="s">
        <v>830</v>
      </c>
      <c r="H192" t="s">
        <v>811</v>
      </c>
      <c r="I192" t="s">
        <v>812</v>
      </c>
      <c r="J192" t="s">
        <v>1300</v>
      </c>
      <c r="K192" t="s">
        <v>215</v>
      </c>
      <c r="L192" t="s">
        <v>210</v>
      </c>
      <c r="M192" t="s">
        <v>211</v>
      </c>
      <c r="N192" t="s">
        <v>199</v>
      </c>
      <c r="O192" t="s">
        <v>223</v>
      </c>
      <c r="P192" t="s">
        <v>210</v>
      </c>
      <c r="Q192">
        <v>30</v>
      </c>
      <c r="R192">
        <v>33</v>
      </c>
      <c r="S192">
        <v>1.0922000000000001</v>
      </c>
      <c r="T192">
        <v>1.0934999999999999</v>
      </c>
      <c r="U192">
        <v>1.1134999999999999</v>
      </c>
      <c r="V192">
        <v>1.0924</v>
      </c>
      <c r="W192">
        <v>1.0883</v>
      </c>
      <c r="X192">
        <v>1.0677000000000001</v>
      </c>
      <c r="Y192">
        <v>1.0529999999999999</v>
      </c>
      <c r="Z192">
        <v>1.0238</v>
      </c>
      <c r="AA192">
        <v>0.93459999999999999</v>
      </c>
      <c r="AB192">
        <v>0.91300000000000003</v>
      </c>
    </row>
    <row r="193" spans="1:28">
      <c r="A193" t="s">
        <v>128</v>
      </c>
      <c r="B193" t="s">
        <v>1302</v>
      </c>
      <c r="C193" t="s">
        <v>1297</v>
      </c>
      <c r="D193" t="s">
        <v>442</v>
      </c>
      <c r="E193" t="s">
        <v>1303</v>
      </c>
      <c r="F193">
        <v>132</v>
      </c>
      <c r="G193" t="s">
        <v>830</v>
      </c>
      <c r="H193" t="s">
        <v>811</v>
      </c>
      <c r="I193" t="s">
        <v>812</v>
      </c>
      <c r="J193" t="s">
        <v>1304</v>
      </c>
      <c r="K193" t="s">
        <v>215</v>
      </c>
      <c r="L193" t="s">
        <v>210</v>
      </c>
      <c r="M193" t="s">
        <v>211</v>
      </c>
      <c r="N193" t="s">
        <v>199</v>
      </c>
      <c r="O193" t="s">
        <v>223</v>
      </c>
      <c r="P193" t="s">
        <v>210</v>
      </c>
      <c r="Q193">
        <v>21</v>
      </c>
      <c r="R193">
        <v>22</v>
      </c>
      <c r="S193">
        <v>1.0802</v>
      </c>
      <c r="T193">
        <v>1.06</v>
      </c>
      <c r="U193">
        <v>1.1144000000000001</v>
      </c>
      <c r="V193">
        <v>1.0884</v>
      </c>
      <c r="W193">
        <v>1.087</v>
      </c>
      <c r="X193">
        <v>1.069</v>
      </c>
      <c r="Y193">
        <v>1.0495000000000001</v>
      </c>
      <c r="Z193">
        <v>1.0181</v>
      </c>
      <c r="AA193">
        <v>0.95230000000000004</v>
      </c>
      <c r="AB193">
        <v>0.92700000000000005</v>
      </c>
    </row>
    <row r="194" spans="1:28">
      <c r="A194" t="s">
        <v>128</v>
      </c>
      <c r="B194" t="s">
        <v>1302</v>
      </c>
      <c r="C194" t="s">
        <v>1297</v>
      </c>
      <c r="D194" t="s">
        <v>444</v>
      </c>
      <c r="E194" t="s">
        <v>1305</v>
      </c>
      <c r="F194">
        <v>132</v>
      </c>
      <c r="G194" t="s">
        <v>830</v>
      </c>
      <c r="H194" t="s">
        <v>811</v>
      </c>
      <c r="I194" t="s">
        <v>812</v>
      </c>
      <c r="J194" t="s">
        <v>1304</v>
      </c>
      <c r="K194" t="s">
        <v>215</v>
      </c>
      <c r="L194" t="s">
        <v>210</v>
      </c>
      <c r="M194" t="s">
        <v>211</v>
      </c>
      <c r="N194" t="s">
        <v>199</v>
      </c>
      <c r="O194" t="s">
        <v>223</v>
      </c>
      <c r="P194" t="s">
        <v>210</v>
      </c>
      <c r="Q194">
        <v>21</v>
      </c>
      <c r="R194">
        <v>22</v>
      </c>
      <c r="S194">
        <v>1.0802</v>
      </c>
      <c r="T194">
        <v>1.06</v>
      </c>
      <c r="U194">
        <v>1.1144000000000001</v>
      </c>
      <c r="V194">
        <v>1.0884</v>
      </c>
      <c r="W194">
        <v>1.087</v>
      </c>
      <c r="X194">
        <v>1.069</v>
      </c>
      <c r="Y194">
        <v>1.0495000000000001</v>
      </c>
      <c r="Z194">
        <v>1.0181</v>
      </c>
      <c r="AA194">
        <v>0.95230000000000004</v>
      </c>
      <c r="AB194">
        <v>0.92700000000000005</v>
      </c>
    </row>
    <row r="195" spans="1:28">
      <c r="A195" t="s">
        <v>128</v>
      </c>
      <c r="B195" t="s">
        <v>1302</v>
      </c>
      <c r="C195" t="s">
        <v>1297</v>
      </c>
      <c r="D195" t="s">
        <v>445</v>
      </c>
      <c r="E195" t="s">
        <v>1306</v>
      </c>
      <c r="F195">
        <v>132</v>
      </c>
      <c r="G195" t="s">
        <v>830</v>
      </c>
      <c r="H195" t="s">
        <v>811</v>
      </c>
      <c r="I195" t="s">
        <v>812</v>
      </c>
      <c r="J195" t="s">
        <v>1304</v>
      </c>
      <c r="K195" t="s">
        <v>215</v>
      </c>
      <c r="L195" t="s">
        <v>210</v>
      </c>
      <c r="M195" t="s">
        <v>211</v>
      </c>
      <c r="N195" t="s">
        <v>199</v>
      </c>
      <c r="O195" t="s">
        <v>223</v>
      </c>
      <c r="P195" t="s">
        <v>210</v>
      </c>
      <c r="Q195">
        <v>21</v>
      </c>
      <c r="R195">
        <v>22</v>
      </c>
      <c r="S195">
        <v>1.0802</v>
      </c>
      <c r="T195">
        <v>1.06</v>
      </c>
      <c r="U195">
        <v>1.1144000000000001</v>
      </c>
      <c r="V195">
        <v>1.0884</v>
      </c>
      <c r="W195">
        <v>1.087</v>
      </c>
      <c r="X195">
        <v>1.069</v>
      </c>
      <c r="Y195">
        <v>1.0495000000000001</v>
      </c>
      <c r="Z195">
        <v>1.0181</v>
      </c>
      <c r="AA195">
        <v>0.95230000000000004</v>
      </c>
      <c r="AB195">
        <v>0.92700000000000005</v>
      </c>
    </row>
    <row r="196" spans="1:28">
      <c r="A196" t="s">
        <v>128</v>
      </c>
      <c r="B196" t="s">
        <v>1302</v>
      </c>
      <c r="C196" t="s">
        <v>1297</v>
      </c>
      <c r="D196" t="s">
        <v>446</v>
      </c>
      <c r="E196" t="s">
        <v>1307</v>
      </c>
      <c r="F196">
        <v>132</v>
      </c>
      <c r="G196" t="s">
        <v>830</v>
      </c>
      <c r="H196" t="s">
        <v>811</v>
      </c>
      <c r="I196" t="s">
        <v>812</v>
      </c>
      <c r="J196" t="s">
        <v>1304</v>
      </c>
      <c r="K196" t="s">
        <v>215</v>
      </c>
      <c r="L196" t="s">
        <v>210</v>
      </c>
      <c r="M196" t="s">
        <v>211</v>
      </c>
      <c r="N196" t="s">
        <v>199</v>
      </c>
      <c r="O196" t="s">
        <v>223</v>
      </c>
      <c r="P196" t="s">
        <v>210</v>
      </c>
      <c r="Q196">
        <v>21</v>
      </c>
      <c r="R196">
        <v>22</v>
      </c>
      <c r="S196">
        <v>1.0802</v>
      </c>
      <c r="T196">
        <v>1.06</v>
      </c>
      <c r="U196">
        <v>1.1144000000000001</v>
      </c>
      <c r="V196">
        <v>1.0884</v>
      </c>
      <c r="W196">
        <v>1.087</v>
      </c>
      <c r="X196">
        <v>1.069</v>
      </c>
      <c r="Y196">
        <v>1.0495000000000001</v>
      </c>
      <c r="Z196">
        <v>1.0181</v>
      </c>
      <c r="AA196">
        <v>0.95230000000000004</v>
      </c>
      <c r="AB196">
        <v>0.92700000000000005</v>
      </c>
    </row>
    <row r="197" spans="1:28">
      <c r="A197" t="s">
        <v>129</v>
      </c>
      <c r="B197" t="s">
        <v>770</v>
      </c>
      <c r="C197" t="s">
        <v>839</v>
      </c>
      <c r="D197" t="s">
        <v>770</v>
      </c>
      <c r="E197" t="s">
        <v>1308</v>
      </c>
      <c r="F197">
        <v>132</v>
      </c>
      <c r="G197" t="s">
        <v>830</v>
      </c>
      <c r="H197" t="s">
        <v>811</v>
      </c>
      <c r="I197" t="s">
        <v>812</v>
      </c>
      <c r="J197" t="s">
        <v>1309</v>
      </c>
      <c r="K197" t="s">
        <v>215</v>
      </c>
      <c r="L197" t="s">
        <v>170</v>
      </c>
      <c r="M197" t="s">
        <v>171</v>
      </c>
      <c r="N197" t="s">
        <v>172</v>
      </c>
      <c r="O197" t="s">
        <v>185</v>
      </c>
      <c r="P197" t="s">
        <v>170</v>
      </c>
      <c r="Q197">
        <v>160</v>
      </c>
      <c r="R197">
        <v>174</v>
      </c>
      <c r="S197">
        <v>1.0406</v>
      </c>
      <c r="T197">
        <v>1.02</v>
      </c>
      <c r="U197">
        <v>1.0524</v>
      </c>
      <c r="V197">
        <v>1.0368999999999999</v>
      </c>
      <c r="W197">
        <v>1.0291999999999999</v>
      </c>
      <c r="X197">
        <v>1.0337000000000001</v>
      </c>
      <c r="Y197">
        <v>1.0073000000000001</v>
      </c>
      <c r="Z197">
        <v>1.0035000000000001</v>
      </c>
      <c r="AA197">
        <v>0.93459999999999999</v>
      </c>
      <c r="AB197">
        <v>0.91900000000000004</v>
      </c>
    </row>
    <row r="198" spans="1:28">
      <c r="A198" t="s">
        <v>129</v>
      </c>
      <c r="B198" t="s">
        <v>770</v>
      </c>
      <c r="C198" t="s">
        <v>839</v>
      </c>
      <c r="D198" t="s">
        <v>772</v>
      </c>
      <c r="E198" t="s">
        <v>1310</v>
      </c>
      <c r="F198">
        <v>66</v>
      </c>
      <c r="G198" t="s">
        <v>810</v>
      </c>
      <c r="H198" t="s">
        <v>811</v>
      </c>
      <c r="I198" t="s">
        <v>812</v>
      </c>
      <c r="J198" t="s">
        <v>1309</v>
      </c>
      <c r="K198" t="s">
        <v>215</v>
      </c>
      <c r="L198" t="s">
        <v>170</v>
      </c>
      <c r="M198" t="s">
        <v>171</v>
      </c>
      <c r="N198" t="s">
        <v>172</v>
      </c>
      <c r="O198" t="s">
        <v>185</v>
      </c>
      <c r="P198" t="s">
        <v>170</v>
      </c>
      <c r="Q198">
        <v>82</v>
      </c>
      <c r="R198">
        <v>84</v>
      </c>
      <c r="S198">
        <v>1.0504</v>
      </c>
      <c r="T198">
        <v>1.0309999999999999</v>
      </c>
      <c r="U198">
        <v>1.0633999999999999</v>
      </c>
      <c r="V198">
        <v>1.0444</v>
      </c>
      <c r="W198">
        <v>1.0285</v>
      </c>
      <c r="X198">
        <v>1.0427999999999999</v>
      </c>
      <c r="Y198">
        <v>0.99919999999999998</v>
      </c>
      <c r="Z198">
        <v>0.9778</v>
      </c>
      <c r="AA198">
        <v>0.94950000000000001</v>
      </c>
      <c r="AB198">
        <v>0.95740000000000003</v>
      </c>
    </row>
    <row r="199" spans="1:28">
      <c r="A199" t="s">
        <v>130</v>
      </c>
      <c r="B199" t="s">
        <v>1311</v>
      </c>
      <c r="C199" t="s">
        <v>889</v>
      </c>
      <c r="D199" t="s">
        <v>535</v>
      </c>
      <c r="E199" t="s">
        <v>1312</v>
      </c>
      <c r="F199">
        <v>132</v>
      </c>
      <c r="G199" t="s">
        <v>830</v>
      </c>
      <c r="H199" t="s">
        <v>811</v>
      </c>
      <c r="I199" t="s">
        <v>812</v>
      </c>
      <c r="J199" t="s">
        <v>1313</v>
      </c>
      <c r="K199" t="s">
        <v>215</v>
      </c>
      <c r="L199" t="s">
        <v>170</v>
      </c>
      <c r="M199" t="s">
        <v>411</v>
      </c>
      <c r="N199" t="s">
        <v>172</v>
      </c>
      <c r="O199" t="s">
        <v>185</v>
      </c>
      <c r="P199" t="s">
        <v>170</v>
      </c>
      <c r="Q199">
        <v>146</v>
      </c>
      <c r="R199">
        <v>152</v>
      </c>
      <c r="S199">
        <v>1.0228999999999999</v>
      </c>
      <c r="T199">
        <v>0.97719999999999996</v>
      </c>
      <c r="U199">
        <v>0.98129999999999995</v>
      </c>
      <c r="V199">
        <v>1.0421</v>
      </c>
      <c r="W199">
        <v>1.0041</v>
      </c>
      <c r="X199">
        <v>1.0156000000000001</v>
      </c>
      <c r="Y199">
        <v>0.98340000000000005</v>
      </c>
      <c r="Z199">
        <v>0.99639999999999995</v>
      </c>
      <c r="AA199">
        <v>0.88419999999999999</v>
      </c>
      <c r="AB199">
        <v>0.91190000000000004</v>
      </c>
    </row>
    <row r="200" spans="1:28">
      <c r="A200" t="s">
        <v>130</v>
      </c>
      <c r="B200" t="s">
        <v>1311</v>
      </c>
      <c r="C200" t="s">
        <v>889</v>
      </c>
      <c r="D200" t="s">
        <v>537</v>
      </c>
      <c r="E200" t="s">
        <v>1314</v>
      </c>
      <c r="F200">
        <v>132</v>
      </c>
      <c r="G200" t="s">
        <v>830</v>
      </c>
      <c r="H200" t="s">
        <v>811</v>
      </c>
      <c r="I200" t="s">
        <v>812</v>
      </c>
      <c r="J200" t="s">
        <v>1313</v>
      </c>
      <c r="K200" t="s">
        <v>215</v>
      </c>
      <c r="L200" t="s">
        <v>170</v>
      </c>
      <c r="M200" t="s">
        <v>411</v>
      </c>
      <c r="N200" t="s">
        <v>172</v>
      </c>
      <c r="O200" t="s">
        <v>185</v>
      </c>
      <c r="P200" t="s">
        <v>170</v>
      </c>
      <c r="Q200">
        <v>146</v>
      </c>
      <c r="R200">
        <v>152</v>
      </c>
      <c r="S200">
        <v>1.0228999999999999</v>
      </c>
      <c r="T200">
        <v>0.97719999999999996</v>
      </c>
      <c r="U200">
        <v>0.98129999999999995</v>
      </c>
      <c r="V200">
        <v>1.0421</v>
      </c>
      <c r="W200">
        <v>1.0041</v>
      </c>
      <c r="X200">
        <v>1.0156000000000001</v>
      </c>
      <c r="Y200">
        <v>0.98340000000000005</v>
      </c>
      <c r="Z200">
        <v>0.99639999999999995</v>
      </c>
      <c r="AA200">
        <v>0.88419999999999999</v>
      </c>
      <c r="AB200">
        <v>0.91190000000000004</v>
      </c>
    </row>
    <row r="201" spans="1:28">
      <c r="A201" t="s">
        <v>130</v>
      </c>
      <c r="B201" t="s">
        <v>1311</v>
      </c>
      <c r="C201" t="s">
        <v>889</v>
      </c>
      <c r="D201" t="s">
        <v>538</v>
      </c>
      <c r="E201" t="s">
        <v>1315</v>
      </c>
      <c r="F201">
        <v>132</v>
      </c>
      <c r="G201" t="s">
        <v>830</v>
      </c>
      <c r="H201" t="s">
        <v>811</v>
      </c>
      <c r="I201" t="s">
        <v>812</v>
      </c>
      <c r="J201" t="s">
        <v>1313</v>
      </c>
      <c r="K201" t="s">
        <v>215</v>
      </c>
      <c r="L201" t="s">
        <v>170</v>
      </c>
      <c r="M201" t="s">
        <v>411</v>
      </c>
      <c r="N201" t="s">
        <v>172</v>
      </c>
      <c r="O201" t="s">
        <v>185</v>
      </c>
      <c r="P201" t="s">
        <v>170</v>
      </c>
      <c r="Q201">
        <v>131</v>
      </c>
      <c r="R201">
        <v>139</v>
      </c>
      <c r="S201">
        <v>1.0228999999999999</v>
      </c>
      <c r="T201">
        <v>0.97719999999999996</v>
      </c>
      <c r="U201">
        <v>0.98129999999999995</v>
      </c>
      <c r="V201">
        <v>1.0421</v>
      </c>
      <c r="W201">
        <v>1.0041</v>
      </c>
      <c r="X201">
        <v>1.0156000000000001</v>
      </c>
      <c r="Y201">
        <v>0.98340000000000005</v>
      </c>
      <c r="Z201">
        <v>0.99639999999999995</v>
      </c>
      <c r="AA201">
        <v>0.88419999999999999</v>
      </c>
      <c r="AB201">
        <v>0.91190000000000004</v>
      </c>
    </row>
    <row r="202" spans="1:28">
      <c r="A202" t="s">
        <v>131</v>
      </c>
      <c r="B202" t="s">
        <v>423</v>
      </c>
      <c r="C202" t="s">
        <v>1316</v>
      </c>
      <c r="D202" t="s">
        <v>423</v>
      </c>
      <c r="E202" t="s">
        <v>1317</v>
      </c>
      <c r="F202">
        <v>132</v>
      </c>
      <c r="G202" t="s">
        <v>823</v>
      </c>
      <c r="H202" t="s">
        <v>803</v>
      </c>
      <c r="I202" t="s">
        <v>804</v>
      </c>
      <c r="J202" t="s">
        <v>1319</v>
      </c>
      <c r="K202" t="s">
        <v>215</v>
      </c>
      <c r="L202" t="s">
        <v>286</v>
      </c>
      <c r="M202" t="s">
        <v>287</v>
      </c>
      <c r="N202" t="s">
        <v>172</v>
      </c>
      <c r="O202" t="s">
        <v>195</v>
      </c>
      <c r="P202" t="s">
        <v>286</v>
      </c>
      <c r="Q202">
        <v>50</v>
      </c>
      <c r="R202">
        <v>51</v>
      </c>
      <c r="AA202">
        <v>0.96599999999999997</v>
      </c>
      <c r="AB202">
        <v>0.94230000000000003</v>
      </c>
    </row>
    <row r="203" spans="1:28">
      <c r="A203" t="s">
        <v>132</v>
      </c>
      <c r="B203" t="s">
        <v>1320</v>
      </c>
      <c r="C203" t="s">
        <v>1297</v>
      </c>
      <c r="D203" t="s">
        <v>495</v>
      </c>
      <c r="E203" t="s">
        <v>1321</v>
      </c>
      <c r="F203">
        <v>33</v>
      </c>
      <c r="G203" t="s">
        <v>830</v>
      </c>
      <c r="H203" t="s">
        <v>811</v>
      </c>
      <c r="I203" t="s">
        <v>812</v>
      </c>
      <c r="J203" t="s">
        <v>1322</v>
      </c>
      <c r="K203" t="s">
        <v>215</v>
      </c>
      <c r="L203" t="s">
        <v>188</v>
      </c>
      <c r="M203" t="s">
        <v>188</v>
      </c>
      <c r="N203" t="s">
        <v>172</v>
      </c>
      <c r="O203" t="s">
        <v>185</v>
      </c>
      <c r="P203" t="s">
        <v>188</v>
      </c>
      <c r="Q203">
        <v>30</v>
      </c>
      <c r="R203">
        <v>34</v>
      </c>
      <c r="S203">
        <v>1.0327</v>
      </c>
      <c r="T203">
        <v>1.0353000000000001</v>
      </c>
      <c r="U203">
        <v>1.0673999999999999</v>
      </c>
      <c r="V203">
        <v>1.0491999999999999</v>
      </c>
      <c r="W203">
        <v>1.0305</v>
      </c>
      <c r="X203">
        <v>1.0549999999999999</v>
      </c>
      <c r="Y203">
        <v>0.97370000000000001</v>
      </c>
      <c r="Z203">
        <v>0.9577</v>
      </c>
      <c r="AA203">
        <v>0.88629999999999998</v>
      </c>
      <c r="AB203">
        <v>0.89570000000000005</v>
      </c>
    </row>
    <row r="204" spans="1:28">
      <c r="A204" t="s">
        <v>133</v>
      </c>
      <c r="B204" t="s">
        <v>213</v>
      </c>
      <c r="C204" t="s">
        <v>1323</v>
      </c>
      <c r="D204" t="s">
        <v>213</v>
      </c>
      <c r="E204" t="s">
        <v>1324</v>
      </c>
      <c r="F204">
        <v>132</v>
      </c>
      <c r="G204" t="s">
        <v>830</v>
      </c>
      <c r="H204" t="s">
        <v>811</v>
      </c>
      <c r="I204" t="s">
        <v>812</v>
      </c>
      <c r="J204" t="s">
        <v>1325</v>
      </c>
      <c r="K204" t="s">
        <v>215</v>
      </c>
      <c r="L204" t="s">
        <v>170</v>
      </c>
      <c r="M204" t="s">
        <v>171</v>
      </c>
      <c r="N204" t="s">
        <v>172</v>
      </c>
      <c r="O204" t="s">
        <v>216</v>
      </c>
      <c r="P204" t="s">
        <v>170</v>
      </c>
      <c r="Q204">
        <v>37</v>
      </c>
      <c r="R204">
        <v>37</v>
      </c>
      <c r="S204">
        <v>0.99629999999999996</v>
      </c>
      <c r="T204">
        <v>0.98719999999999997</v>
      </c>
      <c r="U204">
        <v>1.0235000000000001</v>
      </c>
      <c r="V204">
        <v>0.99850000000000005</v>
      </c>
      <c r="W204">
        <v>0.98709999999999998</v>
      </c>
      <c r="X204">
        <v>0.99350000000000005</v>
      </c>
      <c r="Y204">
        <v>0.97770000000000001</v>
      </c>
      <c r="Z204">
        <v>0.95069999999999999</v>
      </c>
      <c r="AA204">
        <v>0.90290000000000004</v>
      </c>
      <c r="AB204">
        <v>0.77129999999999999</v>
      </c>
    </row>
    <row r="205" spans="1:28">
      <c r="A205" t="s">
        <v>134</v>
      </c>
      <c r="B205" t="s">
        <v>1326</v>
      </c>
      <c r="C205" t="s">
        <v>1297</v>
      </c>
      <c r="D205" t="s">
        <v>636</v>
      </c>
      <c r="E205" t="s">
        <v>1327</v>
      </c>
      <c r="F205">
        <v>275</v>
      </c>
      <c r="G205" t="s">
        <v>810</v>
      </c>
      <c r="H205" t="s">
        <v>811</v>
      </c>
      <c r="I205" t="s">
        <v>812</v>
      </c>
      <c r="J205" t="s">
        <v>1328</v>
      </c>
      <c r="K205" t="s">
        <v>215</v>
      </c>
      <c r="L205" t="s">
        <v>193</v>
      </c>
      <c r="M205" t="s">
        <v>280</v>
      </c>
      <c r="N205" t="s">
        <v>172</v>
      </c>
      <c r="O205" t="s">
        <v>195</v>
      </c>
      <c r="P205" t="s">
        <v>193</v>
      </c>
      <c r="Q205">
        <v>365</v>
      </c>
      <c r="R205">
        <v>385</v>
      </c>
      <c r="S205">
        <v>0.98150000000000004</v>
      </c>
      <c r="T205">
        <v>0.95840000000000003</v>
      </c>
      <c r="U205">
        <v>0.98760000000000003</v>
      </c>
      <c r="V205">
        <v>0.97399999999999998</v>
      </c>
      <c r="W205">
        <v>0.96930000000000005</v>
      </c>
      <c r="X205">
        <v>0.97840000000000005</v>
      </c>
      <c r="Y205">
        <v>0.95609999999999995</v>
      </c>
      <c r="Z205">
        <v>0.93289999999999995</v>
      </c>
      <c r="AA205">
        <v>0.90749999999999997</v>
      </c>
      <c r="AB205">
        <v>0.90129999999999999</v>
      </c>
    </row>
    <row r="206" spans="1:28">
      <c r="A206" t="s">
        <v>134</v>
      </c>
      <c r="B206" t="s">
        <v>1326</v>
      </c>
      <c r="C206" t="s">
        <v>1297</v>
      </c>
      <c r="D206" t="s">
        <v>638</v>
      </c>
      <c r="E206" t="s">
        <v>1329</v>
      </c>
      <c r="F206">
        <v>275</v>
      </c>
      <c r="G206" t="s">
        <v>810</v>
      </c>
      <c r="H206" t="s">
        <v>811</v>
      </c>
      <c r="I206" t="s">
        <v>812</v>
      </c>
      <c r="J206" t="s">
        <v>1328</v>
      </c>
      <c r="K206" t="s">
        <v>215</v>
      </c>
      <c r="L206" t="s">
        <v>193</v>
      </c>
      <c r="M206" t="s">
        <v>280</v>
      </c>
      <c r="N206" t="s">
        <v>172</v>
      </c>
      <c r="O206" t="s">
        <v>195</v>
      </c>
      <c r="P206" t="s">
        <v>193</v>
      </c>
      <c r="Q206">
        <v>365</v>
      </c>
      <c r="R206">
        <v>385</v>
      </c>
      <c r="S206">
        <v>0.98150000000000004</v>
      </c>
      <c r="T206">
        <v>0.95840000000000003</v>
      </c>
      <c r="U206">
        <v>0.98760000000000003</v>
      </c>
      <c r="V206">
        <v>0.97399999999999998</v>
      </c>
      <c r="W206">
        <v>0.96930000000000005</v>
      </c>
      <c r="X206">
        <v>0.97840000000000005</v>
      </c>
      <c r="Y206">
        <v>0.95609999999999995</v>
      </c>
      <c r="Z206">
        <v>0.93289999999999995</v>
      </c>
      <c r="AA206">
        <v>0.90749999999999997</v>
      </c>
      <c r="AB206">
        <v>0.90129999999999999</v>
      </c>
    </row>
    <row r="207" spans="1:28">
      <c r="A207" t="s">
        <v>134</v>
      </c>
      <c r="B207" t="s">
        <v>1326</v>
      </c>
      <c r="C207" t="s">
        <v>1297</v>
      </c>
      <c r="D207" t="s">
        <v>639</v>
      </c>
      <c r="E207" t="s">
        <v>1330</v>
      </c>
      <c r="F207">
        <v>275</v>
      </c>
      <c r="G207" t="s">
        <v>810</v>
      </c>
      <c r="H207" t="s">
        <v>811</v>
      </c>
      <c r="I207" t="s">
        <v>812</v>
      </c>
      <c r="J207" t="s">
        <v>1328</v>
      </c>
      <c r="K207" t="s">
        <v>215</v>
      </c>
      <c r="L207" t="s">
        <v>193</v>
      </c>
      <c r="M207" t="s">
        <v>280</v>
      </c>
      <c r="N207" t="s">
        <v>172</v>
      </c>
      <c r="O207" t="s">
        <v>195</v>
      </c>
      <c r="P207" t="s">
        <v>193</v>
      </c>
      <c r="Q207">
        <v>365</v>
      </c>
      <c r="R207">
        <v>385</v>
      </c>
      <c r="S207">
        <v>0.98150000000000004</v>
      </c>
      <c r="T207">
        <v>0.95840000000000003</v>
      </c>
      <c r="U207">
        <v>0.98760000000000003</v>
      </c>
      <c r="V207">
        <v>0.97399999999999998</v>
      </c>
      <c r="W207">
        <v>0.96930000000000005</v>
      </c>
      <c r="X207">
        <v>0.97840000000000005</v>
      </c>
      <c r="Y207">
        <v>0.95609999999999995</v>
      </c>
      <c r="Z207">
        <v>0.93289999999999995</v>
      </c>
      <c r="AA207">
        <v>0.90749999999999997</v>
      </c>
      <c r="AB207">
        <v>0.90129999999999999</v>
      </c>
    </row>
    <row r="208" spans="1:28">
      <c r="A208" t="s">
        <v>134</v>
      </c>
      <c r="B208" t="s">
        <v>1326</v>
      </c>
      <c r="C208" t="s">
        <v>1297</v>
      </c>
      <c r="D208" t="s">
        <v>640</v>
      </c>
      <c r="E208" t="s">
        <v>1331</v>
      </c>
      <c r="F208">
        <v>275</v>
      </c>
      <c r="G208" t="s">
        <v>810</v>
      </c>
      <c r="H208" t="s">
        <v>811</v>
      </c>
      <c r="I208" t="s">
        <v>812</v>
      </c>
      <c r="J208" t="s">
        <v>1328</v>
      </c>
      <c r="K208" t="s">
        <v>215</v>
      </c>
      <c r="L208" t="s">
        <v>193</v>
      </c>
      <c r="M208" t="s">
        <v>280</v>
      </c>
      <c r="N208" t="s">
        <v>172</v>
      </c>
      <c r="O208" t="s">
        <v>195</v>
      </c>
      <c r="P208" t="s">
        <v>193</v>
      </c>
      <c r="Q208">
        <v>365</v>
      </c>
      <c r="R208">
        <v>385</v>
      </c>
      <c r="S208">
        <v>0.98150000000000004</v>
      </c>
      <c r="T208">
        <v>0.95840000000000003</v>
      </c>
      <c r="U208">
        <v>0.98760000000000003</v>
      </c>
      <c r="V208">
        <v>0.97399999999999998</v>
      </c>
      <c r="W208">
        <v>0.96930000000000005</v>
      </c>
      <c r="X208">
        <v>0.97840000000000005</v>
      </c>
      <c r="Y208">
        <v>0.95609999999999995</v>
      </c>
      <c r="Z208">
        <v>0.93289999999999995</v>
      </c>
      <c r="AA208">
        <v>0.90749999999999997</v>
      </c>
      <c r="AB208">
        <v>0.90129999999999999</v>
      </c>
    </row>
    <row r="209" spans="1:28">
      <c r="A209" t="s">
        <v>135</v>
      </c>
      <c r="B209" t="s">
        <v>1332</v>
      </c>
      <c r="C209" t="s">
        <v>1333</v>
      </c>
      <c r="D209" t="s">
        <v>775</v>
      </c>
      <c r="E209" t="s">
        <v>1334</v>
      </c>
      <c r="F209">
        <v>132</v>
      </c>
      <c r="G209" t="s">
        <v>810</v>
      </c>
      <c r="H209" t="s">
        <v>811</v>
      </c>
      <c r="I209" t="s">
        <v>812</v>
      </c>
      <c r="J209" t="s">
        <v>1335</v>
      </c>
      <c r="K209" t="s">
        <v>215</v>
      </c>
      <c r="L209" t="s">
        <v>170</v>
      </c>
      <c r="M209" t="s">
        <v>171</v>
      </c>
      <c r="N209" t="s">
        <v>172</v>
      </c>
      <c r="O209" t="s">
        <v>216</v>
      </c>
      <c r="P209" t="s">
        <v>170</v>
      </c>
      <c r="Q209">
        <v>154</v>
      </c>
      <c r="R209">
        <v>180</v>
      </c>
      <c r="S209">
        <v>0.98829999999999996</v>
      </c>
      <c r="T209">
        <v>0.95930000000000004</v>
      </c>
      <c r="U209">
        <v>0.99339999999999995</v>
      </c>
      <c r="V209">
        <v>0.98719999999999997</v>
      </c>
      <c r="W209">
        <v>0.98370000000000002</v>
      </c>
      <c r="X209">
        <v>0.9879</v>
      </c>
      <c r="Y209">
        <v>0.96930000000000005</v>
      </c>
      <c r="Z209">
        <v>0.94350000000000001</v>
      </c>
      <c r="AA209">
        <v>0.92449999999999999</v>
      </c>
      <c r="AB209">
        <v>0.91849999999999998</v>
      </c>
    </row>
    <row r="210" spans="1:28">
      <c r="A210" t="s">
        <v>136</v>
      </c>
      <c r="B210" t="s">
        <v>1336</v>
      </c>
      <c r="C210" t="s">
        <v>1337</v>
      </c>
      <c r="D210" t="s">
        <v>383</v>
      </c>
      <c r="E210" t="s">
        <v>1338</v>
      </c>
      <c r="F210">
        <v>275</v>
      </c>
      <c r="G210" t="s">
        <v>810</v>
      </c>
      <c r="H210" t="s">
        <v>811</v>
      </c>
      <c r="I210" t="s">
        <v>812</v>
      </c>
      <c r="J210" t="s">
        <v>1339</v>
      </c>
      <c r="K210" t="s">
        <v>215</v>
      </c>
      <c r="L210" t="s">
        <v>193</v>
      </c>
      <c r="M210" t="s">
        <v>280</v>
      </c>
      <c r="N210" t="s">
        <v>172</v>
      </c>
      <c r="O210" t="s">
        <v>195</v>
      </c>
      <c r="P210" t="s">
        <v>193</v>
      </c>
      <c r="Q210">
        <v>280</v>
      </c>
      <c r="R210">
        <v>285</v>
      </c>
      <c r="S210">
        <v>0.98180000000000001</v>
      </c>
      <c r="T210">
        <v>0.96309999999999996</v>
      </c>
      <c r="U210">
        <v>0.9919</v>
      </c>
      <c r="V210">
        <v>0.98209999999999997</v>
      </c>
      <c r="W210">
        <v>0.98070000000000002</v>
      </c>
      <c r="X210">
        <v>0.98680000000000001</v>
      </c>
      <c r="Y210">
        <v>0.96619999999999995</v>
      </c>
      <c r="Z210">
        <v>0.94310000000000005</v>
      </c>
      <c r="AA210">
        <v>0.92400000000000004</v>
      </c>
      <c r="AB210">
        <v>0.91810000000000003</v>
      </c>
    </row>
    <row r="211" spans="1:28">
      <c r="A211" t="s">
        <v>136</v>
      </c>
      <c r="B211" t="s">
        <v>1336</v>
      </c>
      <c r="C211" t="s">
        <v>1337</v>
      </c>
      <c r="D211" t="s">
        <v>385</v>
      </c>
      <c r="E211" t="s">
        <v>1340</v>
      </c>
      <c r="F211">
        <v>275</v>
      </c>
      <c r="G211" t="s">
        <v>810</v>
      </c>
      <c r="H211" t="s">
        <v>811</v>
      </c>
      <c r="I211" t="s">
        <v>812</v>
      </c>
      <c r="J211" t="s">
        <v>1339</v>
      </c>
      <c r="K211" t="s">
        <v>215</v>
      </c>
      <c r="L211" t="s">
        <v>193</v>
      </c>
      <c r="M211" t="s">
        <v>280</v>
      </c>
      <c r="N211" t="s">
        <v>172</v>
      </c>
      <c r="O211" t="s">
        <v>195</v>
      </c>
      <c r="P211" t="s">
        <v>193</v>
      </c>
      <c r="Q211">
        <v>280</v>
      </c>
      <c r="R211">
        <v>285</v>
      </c>
      <c r="S211">
        <v>0.98180000000000001</v>
      </c>
      <c r="T211">
        <v>0.96309999999999996</v>
      </c>
      <c r="U211">
        <v>0.9919</v>
      </c>
      <c r="V211">
        <v>0.98209999999999997</v>
      </c>
      <c r="W211">
        <v>0.98070000000000002</v>
      </c>
      <c r="X211">
        <v>0.98680000000000001</v>
      </c>
      <c r="Y211">
        <v>0.96619999999999995</v>
      </c>
      <c r="Z211">
        <v>0.94310000000000005</v>
      </c>
      <c r="AA211">
        <v>0.92400000000000004</v>
      </c>
      <c r="AB211">
        <v>0.91810000000000003</v>
      </c>
    </row>
    <row r="212" spans="1:28">
      <c r="A212" t="s">
        <v>136</v>
      </c>
      <c r="B212" t="s">
        <v>1336</v>
      </c>
      <c r="C212" t="s">
        <v>1337</v>
      </c>
      <c r="D212" t="s">
        <v>386</v>
      </c>
      <c r="E212" t="s">
        <v>1341</v>
      </c>
      <c r="F212">
        <v>132</v>
      </c>
      <c r="G212" t="s">
        <v>810</v>
      </c>
      <c r="H212" t="s">
        <v>811</v>
      </c>
      <c r="I212" t="s">
        <v>812</v>
      </c>
      <c r="J212" t="s">
        <v>1339</v>
      </c>
      <c r="K212" t="s">
        <v>215</v>
      </c>
      <c r="L212" t="s">
        <v>193</v>
      </c>
      <c r="M212" t="s">
        <v>280</v>
      </c>
      <c r="N212" t="s">
        <v>172</v>
      </c>
      <c r="O212" t="s">
        <v>195</v>
      </c>
      <c r="P212" t="s">
        <v>193</v>
      </c>
      <c r="Q212">
        <v>280</v>
      </c>
      <c r="R212">
        <v>285</v>
      </c>
      <c r="S212">
        <v>0.97860000000000003</v>
      </c>
      <c r="T212">
        <v>0.96120000000000005</v>
      </c>
      <c r="U212">
        <v>0.98850000000000005</v>
      </c>
      <c r="V212">
        <v>0.97609999999999997</v>
      </c>
      <c r="W212">
        <v>0.97770000000000001</v>
      </c>
      <c r="X212">
        <v>0.98550000000000004</v>
      </c>
      <c r="Y212">
        <v>0.96030000000000004</v>
      </c>
      <c r="Z212">
        <v>0.94020000000000004</v>
      </c>
      <c r="AA212">
        <v>0.92059999999999997</v>
      </c>
      <c r="AB212">
        <v>0.91759999999999997</v>
      </c>
    </row>
    <row r="213" spans="1:28">
      <c r="A213" t="s">
        <v>136</v>
      </c>
      <c r="B213" t="s">
        <v>1336</v>
      </c>
      <c r="C213" t="s">
        <v>1337</v>
      </c>
      <c r="D213" t="s">
        <v>387</v>
      </c>
      <c r="E213" t="s">
        <v>1342</v>
      </c>
      <c r="F213">
        <v>132</v>
      </c>
      <c r="G213" t="s">
        <v>810</v>
      </c>
      <c r="H213" t="s">
        <v>811</v>
      </c>
      <c r="I213" t="s">
        <v>812</v>
      </c>
      <c r="J213" t="s">
        <v>1339</v>
      </c>
      <c r="K213" t="s">
        <v>215</v>
      </c>
      <c r="L213" t="s">
        <v>193</v>
      </c>
      <c r="M213" t="s">
        <v>280</v>
      </c>
      <c r="N213" t="s">
        <v>172</v>
      </c>
      <c r="O213" t="s">
        <v>195</v>
      </c>
      <c r="P213" t="s">
        <v>193</v>
      </c>
      <c r="Q213">
        <v>280</v>
      </c>
      <c r="R213">
        <v>285</v>
      </c>
      <c r="S213">
        <v>0.97860000000000003</v>
      </c>
      <c r="T213">
        <v>0.96120000000000005</v>
      </c>
      <c r="U213">
        <v>0.98850000000000005</v>
      </c>
      <c r="V213">
        <v>0.97609999999999997</v>
      </c>
      <c r="W213">
        <v>0.97770000000000001</v>
      </c>
      <c r="X213">
        <v>0.98550000000000004</v>
      </c>
      <c r="Y213">
        <v>0.96030000000000004</v>
      </c>
      <c r="Z213">
        <v>0.94020000000000004</v>
      </c>
      <c r="AA213">
        <v>0.92059999999999997</v>
      </c>
      <c r="AB213">
        <v>0.91759999999999997</v>
      </c>
    </row>
    <row r="214" spans="1:28">
      <c r="A214" t="s">
        <v>136</v>
      </c>
      <c r="B214" t="s">
        <v>1336</v>
      </c>
      <c r="C214" t="s">
        <v>1337</v>
      </c>
      <c r="D214" t="s">
        <v>388</v>
      </c>
      <c r="E214" t="s">
        <v>1343</v>
      </c>
      <c r="F214">
        <v>275</v>
      </c>
      <c r="G214" t="s">
        <v>810</v>
      </c>
      <c r="H214" t="s">
        <v>811</v>
      </c>
      <c r="I214" t="s">
        <v>812</v>
      </c>
      <c r="J214" t="s">
        <v>1339</v>
      </c>
      <c r="K214" t="s">
        <v>215</v>
      </c>
      <c r="L214" t="s">
        <v>193</v>
      </c>
      <c r="M214" t="s">
        <v>280</v>
      </c>
      <c r="N214" t="s">
        <v>172</v>
      </c>
      <c r="O214" t="s">
        <v>195</v>
      </c>
      <c r="P214" t="s">
        <v>193</v>
      </c>
      <c r="Q214">
        <v>280</v>
      </c>
      <c r="R214">
        <v>285</v>
      </c>
      <c r="S214">
        <v>0.98180000000000001</v>
      </c>
      <c r="T214">
        <v>0.96309999999999996</v>
      </c>
      <c r="U214">
        <v>0.9919</v>
      </c>
      <c r="V214">
        <v>0.98209999999999997</v>
      </c>
      <c r="W214">
        <v>0.98070000000000002</v>
      </c>
      <c r="X214">
        <v>0.98680000000000001</v>
      </c>
      <c r="Y214">
        <v>0.96619999999999995</v>
      </c>
      <c r="Z214">
        <v>0.94310000000000005</v>
      </c>
      <c r="AA214">
        <v>0.92400000000000004</v>
      </c>
      <c r="AB214">
        <v>0.91810000000000003</v>
      </c>
    </row>
    <row r="215" spans="1:28">
      <c r="A215" t="s">
        <v>136</v>
      </c>
      <c r="B215" t="s">
        <v>1336</v>
      </c>
      <c r="C215" t="s">
        <v>1337</v>
      </c>
      <c r="D215" t="s">
        <v>389</v>
      </c>
      <c r="E215" t="s">
        <v>1344</v>
      </c>
      <c r="F215">
        <v>275</v>
      </c>
      <c r="G215" t="s">
        <v>810</v>
      </c>
      <c r="H215" t="s">
        <v>811</v>
      </c>
      <c r="I215" t="s">
        <v>812</v>
      </c>
      <c r="J215" t="s">
        <v>1339</v>
      </c>
      <c r="K215" t="s">
        <v>215</v>
      </c>
      <c r="L215" t="s">
        <v>193</v>
      </c>
      <c r="M215" t="s">
        <v>280</v>
      </c>
      <c r="N215" t="s">
        <v>172</v>
      </c>
      <c r="O215" t="s">
        <v>195</v>
      </c>
      <c r="P215" t="s">
        <v>193</v>
      </c>
      <c r="Q215">
        <v>280</v>
      </c>
      <c r="R215">
        <v>285</v>
      </c>
      <c r="S215">
        <v>0.98180000000000001</v>
      </c>
      <c r="T215">
        <v>0.96309999999999996</v>
      </c>
      <c r="U215">
        <v>0.9919</v>
      </c>
      <c r="V215">
        <v>0.98209999999999997</v>
      </c>
      <c r="W215">
        <v>0.98070000000000002</v>
      </c>
      <c r="X215">
        <v>0.98680000000000001</v>
      </c>
      <c r="Y215">
        <v>0.96619999999999995</v>
      </c>
      <c r="Z215">
        <v>0.94310000000000005</v>
      </c>
      <c r="AA215">
        <v>0.92400000000000004</v>
      </c>
      <c r="AB215">
        <v>0.91810000000000003</v>
      </c>
    </row>
    <row r="216" spans="1:28">
      <c r="A216" t="s">
        <v>137</v>
      </c>
      <c r="B216" t="s">
        <v>1345</v>
      </c>
      <c r="C216" t="s">
        <v>1337</v>
      </c>
      <c r="D216" t="s">
        <v>1463</v>
      </c>
      <c r="E216" t="s">
        <v>1350</v>
      </c>
      <c r="F216">
        <v>275</v>
      </c>
      <c r="G216" t="s">
        <v>810</v>
      </c>
      <c r="H216" t="s">
        <v>811</v>
      </c>
      <c r="I216" t="s">
        <v>812</v>
      </c>
      <c r="J216" t="s">
        <v>1348</v>
      </c>
      <c r="K216" t="s">
        <v>215</v>
      </c>
      <c r="L216" t="s">
        <v>193</v>
      </c>
      <c r="M216" t="s">
        <v>280</v>
      </c>
      <c r="N216" t="s">
        <v>172</v>
      </c>
      <c r="O216" t="s">
        <v>195</v>
      </c>
      <c r="P216" t="s">
        <v>193</v>
      </c>
      <c r="Q216">
        <v>350</v>
      </c>
      <c r="R216">
        <v>385</v>
      </c>
    </row>
    <row r="217" spans="1:28">
      <c r="A217" t="s">
        <v>137</v>
      </c>
      <c r="B217" t="s">
        <v>1345</v>
      </c>
      <c r="C217" t="s">
        <v>1337</v>
      </c>
      <c r="D217" t="s">
        <v>1464</v>
      </c>
      <c r="E217" t="s">
        <v>1351</v>
      </c>
      <c r="F217">
        <v>275</v>
      </c>
      <c r="G217" t="s">
        <v>810</v>
      </c>
      <c r="H217" t="s">
        <v>811</v>
      </c>
      <c r="I217" t="s">
        <v>812</v>
      </c>
      <c r="J217" t="s">
        <v>1348</v>
      </c>
      <c r="K217" t="s">
        <v>215</v>
      </c>
      <c r="L217" t="s">
        <v>193</v>
      </c>
      <c r="M217" t="s">
        <v>280</v>
      </c>
      <c r="N217" t="s">
        <v>172</v>
      </c>
      <c r="O217" t="s">
        <v>195</v>
      </c>
      <c r="P217" t="s">
        <v>193</v>
      </c>
      <c r="Q217">
        <v>350</v>
      </c>
      <c r="R217">
        <v>385</v>
      </c>
      <c r="S217">
        <v>0.96819999999999995</v>
      </c>
      <c r="T217">
        <v>0.93020000000000003</v>
      </c>
    </row>
    <row r="218" spans="1:28">
      <c r="A218" t="s">
        <v>138</v>
      </c>
      <c r="B218" t="s">
        <v>1345</v>
      </c>
      <c r="C218" t="s">
        <v>1337</v>
      </c>
      <c r="D218" t="s">
        <v>290</v>
      </c>
      <c r="E218" t="s">
        <v>1350</v>
      </c>
      <c r="F218">
        <v>275</v>
      </c>
      <c r="G218" t="s">
        <v>810</v>
      </c>
      <c r="H218" t="s">
        <v>811</v>
      </c>
      <c r="I218" t="s">
        <v>812</v>
      </c>
      <c r="J218" t="s">
        <v>1352</v>
      </c>
      <c r="K218" t="s">
        <v>215</v>
      </c>
      <c r="L218" t="s">
        <v>193</v>
      </c>
      <c r="M218" t="s">
        <v>280</v>
      </c>
      <c r="N218" t="s">
        <v>172</v>
      </c>
      <c r="O218" t="s">
        <v>195</v>
      </c>
      <c r="P218" t="s">
        <v>193</v>
      </c>
      <c r="Q218">
        <v>350</v>
      </c>
      <c r="R218">
        <v>385</v>
      </c>
      <c r="S218">
        <v>0.94340000000000002</v>
      </c>
      <c r="T218">
        <v>0.92849999999999999</v>
      </c>
      <c r="U218">
        <v>0.94710000000000005</v>
      </c>
      <c r="V218">
        <v>0.95269999999999999</v>
      </c>
      <c r="W218">
        <v>0.95250000000000001</v>
      </c>
      <c r="X218">
        <v>0.96709999999999996</v>
      </c>
      <c r="Y218">
        <v>0.9456</v>
      </c>
      <c r="Z218">
        <v>0.92349999999999999</v>
      </c>
      <c r="AA218">
        <v>0.90690000000000004</v>
      </c>
      <c r="AB218">
        <v>0.89880000000000004</v>
      </c>
    </row>
    <row r="219" spans="1:28">
      <c r="A219" t="s">
        <v>138</v>
      </c>
      <c r="B219" t="s">
        <v>1345</v>
      </c>
      <c r="C219" t="s">
        <v>1337</v>
      </c>
      <c r="D219" t="s">
        <v>292</v>
      </c>
      <c r="E219" t="s">
        <v>1351</v>
      </c>
      <c r="F219">
        <v>275</v>
      </c>
      <c r="G219" t="s">
        <v>810</v>
      </c>
      <c r="H219" t="s">
        <v>811</v>
      </c>
      <c r="I219" t="s">
        <v>812</v>
      </c>
      <c r="J219" t="s">
        <v>1352</v>
      </c>
      <c r="K219" t="s">
        <v>215</v>
      </c>
      <c r="L219" t="s">
        <v>193</v>
      </c>
      <c r="M219" t="s">
        <v>280</v>
      </c>
      <c r="N219" t="s">
        <v>172</v>
      </c>
      <c r="O219" t="s">
        <v>195</v>
      </c>
      <c r="P219" t="s">
        <v>193</v>
      </c>
      <c r="Q219">
        <v>350</v>
      </c>
      <c r="R219">
        <v>385</v>
      </c>
      <c r="S219">
        <v>0.94340000000000002</v>
      </c>
      <c r="T219">
        <v>0.92849999999999999</v>
      </c>
      <c r="U219">
        <v>0.94710000000000005</v>
      </c>
      <c r="V219">
        <v>0.95269999999999999</v>
      </c>
      <c r="W219">
        <v>0.95250000000000001</v>
      </c>
      <c r="X219">
        <v>0.96709999999999996</v>
      </c>
      <c r="Y219">
        <v>0.9456</v>
      </c>
      <c r="Z219">
        <v>0.92349999999999999</v>
      </c>
      <c r="AA219">
        <v>0.90690000000000004</v>
      </c>
      <c r="AB219">
        <v>0.89880000000000004</v>
      </c>
    </row>
    <row r="220" spans="1:28">
      <c r="A220" t="s">
        <v>139</v>
      </c>
      <c r="B220" t="s">
        <v>1353</v>
      </c>
      <c r="C220" t="s">
        <v>1354</v>
      </c>
      <c r="D220" t="s">
        <v>332</v>
      </c>
      <c r="E220" t="s">
        <v>1355</v>
      </c>
      <c r="F220">
        <v>275</v>
      </c>
      <c r="G220" t="s">
        <v>810</v>
      </c>
      <c r="H220" t="s">
        <v>811</v>
      </c>
      <c r="I220" t="s">
        <v>812</v>
      </c>
      <c r="J220" t="s">
        <v>1352</v>
      </c>
      <c r="K220" t="s">
        <v>215</v>
      </c>
      <c r="L220" t="s">
        <v>193</v>
      </c>
      <c r="M220" t="s">
        <v>280</v>
      </c>
      <c r="N220" t="s">
        <v>172</v>
      </c>
      <c r="O220" t="s">
        <v>334</v>
      </c>
      <c r="P220" t="s">
        <v>193</v>
      </c>
      <c r="Q220">
        <v>420</v>
      </c>
      <c r="R220">
        <v>500</v>
      </c>
      <c r="S220">
        <v>0.94520000000000004</v>
      </c>
      <c r="T220">
        <v>0.92689999999999995</v>
      </c>
      <c r="U220">
        <v>0.9476</v>
      </c>
      <c r="V220">
        <v>0.95150000000000001</v>
      </c>
      <c r="W220">
        <v>0.95250000000000001</v>
      </c>
      <c r="X220">
        <v>0.96479999999999999</v>
      </c>
      <c r="Y220">
        <v>0.94099999999999995</v>
      </c>
      <c r="Z220">
        <v>0.92110000000000003</v>
      </c>
      <c r="AA220">
        <v>0.90800000000000003</v>
      </c>
      <c r="AB220">
        <v>0.89629999999999999</v>
      </c>
    </row>
    <row r="221" spans="1:28">
      <c r="A221" t="s">
        <v>139</v>
      </c>
      <c r="B221" t="s">
        <v>1353</v>
      </c>
      <c r="C221" t="s">
        <v>1354</v>
      </c>
      <c r="D221" t="s">
        <v>335</v>
      </c>
      <c r="E221" t="s">
        <v>1357</v>
      </c>
      <c r="F221">
        <v>275</v>
      </c>
      <c r="G221" t="s">
        <v>810</v>
      </c>
      <c r="H221" t="s">
        <v>811</v>
      </c>
      <c r="I221" t="s">
        <v>812</v>
      </c>
      <c r="J221" t="s">
        <v>1352</v>
      </c>
      <c r="K221" t="s">
        <v>215</v>
      </c>
      <c r="L221" t="s">
        <v>193</v>
      </c>
      <c r="M221" t="s">
        <v>280</v>
      </c>
      <c r="N221" t="s">
        <v>172</v>
      </c>
      <c r="O221" t="s">
        <v>334</v>
      </c>
      <c r="P221" t="s">
        <v>193</v>
      </c>
      <c r="Q221">
        <v>420</v>
      </c>
      <c r="R221">
        <v>500</v>
      </c>
      <c r="S221">
        <v>0.94520000000000004</v>
      </c>
      <c r="T221">
        <v>0.92689999999999995</v>
      </c>
      <c r="U221">
        <v>0.9476</v>
      </c>
      <c r="V221">
        <v>0.95150000000000001</v>
      </c>
      <c r="W221">
        <v>0.95250000000000001</v>
      </c>
      <c r="X221">
        <v>0.96479999999999999</v>
      </c>
      <c r="Y221">
        <v>0.94099999999999995</v>
      </c>
      <c r="Z221">
        <v>0.92110000000000003</v>
      </c>
      <c r="AA221">
        <v>0.90800000000000003</v>
      </c>
      <c r="AB221">
        <v>0.89629999999999999</v>
      </c>
    </row>
    <row r="222" spans="1:28">
      <c r="A222" t="s">
        <v>140</v>
      </c>
      <c r="B222" t="s">
        <v>1358</v>
      </c>
      <c r="C222" t="s">
        <v>889</v>
      </c>
      <c r="D222" t="s">
        <v>607</v>
      </c>
      <c r="E222" t="s">
        <v>1359</v>
      </c>
      <c r="F222">
        <v>132</v>
      </c>
      <c r="G222" t="s">
        <v>830</v>
      </c>
      <c r="H222" t="s">
        <v>811</v>
      </c>
      <c r="I222" t="s">
        <v>812</v>
      </c>
      <c r="J222" t="s">
        <v>1360</v>
      </c>
      <c r="K222" t="s">
        <v>215</v>
      </c>
      <c r="L222" t="s">
        <v>170</v>
      </c>
      <c r="M222" t="s">
        <v>171</v>
      </c>
      <c r="N222" t="s">
        <v>172</v>
      </c>
      <c r="O222" t="s">
        <v>185</v>
      </c>
      <c r="P222" t="s">
        <v>170</v>
      </c>
      <c r="Q222">
        <v>40</v>
      </c>
      <c r="R222">
        <v>42</v>
      </c>
      <c r="S222">
        <v>0.96540000000000004</v>
      </c>
      <c r="T222">
        <v>0.96330000000000005</v>
      </c>
      <c r="U222">
        <v>0.86399999999999999</v>
      </c>
      <c r="V222">
        <v>0.93469999999999998</v>
      </c>
      <c r="W222">
        <v>0.94040000000000001</v>
      </c>
      <c r="X222">
        <v>0.95909999999999995</v>
      </c>
      <c r="Y222">
        <v>0.96289999999999998</v>
      </c>
      <c r="Z222">
        <v>0.96230000000000004</v>
      </c>
      <c r="AA222">
        <v>0.97289999999999999</v>
      </c>
      <c r="AB222">
        <v>0.85370000000000001</v>
      </c>
    </row>
    <row r="223" spans="1:28">
      <c r="A223" t="s">
        <v>140</v>
      </c>
      <c r="B223" t="s">
        <v>1358</v>
      </c>
      <c r="C223" t="s">
        <v>889</v>
      </c>
      <c r="D223" t="s">
        <v>609</v>
      </c>
      <c r="E223" t="s">
        <v>1361</v>
      </c>
      <c r="F223">
        <v>132</v>
      </c>
      <c r="G223" t="s">
        <v>830</v>
      </c>
      <c r="H223" t="s">
        <v>811</v>
      </c>
      <c r="I223" t="s">
        <v>812</v>
      </c>
      <c r="J223" t="s">
        <v>1360</v>
      </c>
      <c r="K223" t="s">
        <v>215</v>
      </c>
      <c r="L223" t="s">
        <v>170</v>
      </c>
      <c r="M223" t="s">
        <v>171</v>
      </c>
      <c r="N223" t="s">
        <v>172</v>
      </c>
      <c r="O223" t="s">
        <v>185</v>
      </c>
      <c r="P223" t="s">
        <v>170</v>
      </c>
      <c r="Q223">
        <v>40</v>
      </c>
      <c r="R223">
        <v>42</v>
      </c>
      <c r="S223">
        <v>0.96540000000000004</v>
      </c>
      <c r="T223">
        <v>0.96330000000000005</v>
      </c>
      <c r="U223">
        <v>0.86399999999999999</v>
      </c>
      <c r="V223">
        <v>0.93469999999999998</v>
      </c>
      <c r="W223">
        <v>0.94040000000000001</v>
      </c>
      <c r="X223">
        <v>0.95909999999999995</v>
      </c>
      <c r="Y223">
        <v>0.96289999999999998</v>
      </c>
      <c r="Z223">
        <v>0.96230000000000004</v>
      </c>
      <c r="AA223">
        <v>0.97289999999999999</v>
      </c>
      <c r="AB223">
        <v>0.85370000000000001</v>
      </c>
    </row>
    <row r="224" spans="1:28">
      <c r="A224" t="s">
        <v>141</v>
      </c>
      <c r="B224" t="s">
        <v>336</v>
      </c>
      <c r="C224" t="s">
        <v>1362</v>
      </c>
      <c r="D224" t="s">
        <v>336</v>
      </c>
      <c r="E224" t="s">
        <v>1363</v>
      </c>
      <c r="F224">
        <v>132</v>
      </c>
      <c r="G224" t="s">
        <v>810</v>
      </c>
      <c r="H224" t="s">
        <v>811</v>
      </c>
      <c r="I224" t="s">
        <v>812</v>
      </c>
      <c r="J224" t="s">
        <v>1364</v>
      </c>
      <c r="K224" t="s">
        <v>215</v>
      </c>
      <c r="L224" t="s">
        <v>170</v>
      </c>
      <c r="M224" t="s">
        <v>171</v>
      </c>
      <c r="N224" t="s">
        <v>172</v>
      </c>
      <c r="O224" t="s">
        <v>216</v>
      </c>
      <c r="P224" t="s">
        <v>170</v>
      </c>
      <c r="Q224">
        <v>144</v>
      </c>
      <c r="R224">
        <v>144</v>
      </c>
      <c r="S224">
        <v>0.96509999999999996</v>
      </c>
      <c r="T224">
        <v>0.96250000000000002</v>
      </c>
      <c r="U224">
        <v>0.88949999999999996</v>
      </c>
      <c r="V224">
        <v>0.95430000000000004</v>
      </c>
      <c r="W224">
        <v>0.95189999999999997</v>
      </c>
      <c r="X224">
        <v>0.96419999999999995</v>
      </c>
      <c r="Y224">
        <v>0.96850000000000003</v>
      </c>
      <c r="Z224">
        <v>0.96879999999999999</v>
      </c>
      <c r="AA224">
        <v>0.98819999999999997</v>
      </c>
      <c r="AB224">
        <v>0.9879</v>
      </c>
    </row>
    <row r="225" spans="1:28">
      <c r="A225" t="s">
        <v>142</v>
      </c>
      <c r="B225" t="s">
        <v>1365</v>
      </c>
      <c r="C225" t="s">
        <v>1297</v>
      </c>
      <c r="D225" t="s">
        <v>679</v>
      </c>
      <c r="E225" t="s">
        <v>1366</v>
      </c>
      <c r="F225">
        <v>275</v>
      </c>
      <c r="G225" t="s">
        <v>810</v>
      </c>
      <c r="H225" t="s">
        <v>811</v>
      </c>
      <c r="I225" t="s">
        <v>812</v>
      </c>
      <c r="J225" t="s">
        <v>1367</v>
      </c>
      <c r="K225" t="s">
        <v>215</v>
      </c>
      <c r="L225" t="s">
        <v>193</v>
      </c>
      <c r="M225" t="s">
        <v>280</v>
      </c>
      <c r="N225" t="s">
        <v>172</v>
      </c>
      <c r="O225" t="s">
        <v>334</v>
      </c>
      <c r="P225" t="s">
        <v>193</v>
      </c>
      <c r="Q225">
        <v>443</v>
      </c>
      <c r="R225">
        <v>480</v>
      </c>
      <c r="S225">
        <v>0.96799999999999997</v>
      </c>
      <c r="T225">
        <v>0.96519999999999995</v>
      </c>
      <c r="U225">
        <v>0.96330000000000005</v>
      </c>
      <c r="V225">
        <v>0.96919999999999995</v>
      </c>
      <c r="W225">
        <v>0.96779999999999999</v>
      </c>
      <c r="X225">
        <v>0.97070000000000001</v>
      </c>
      <c r="Y225">
        <v>0.96779999999999999</v>
      </c>
      <c r="Z225">
        <v>0.97130000000000005</v>
      </c>
      <c r="AA225">
        <v>0.97550000000000003</v>
      </c>
      <c r="AB225">
        <v>0.97189999999999999</v>
      </c>
    </row>
    <row r="226" spans="1:28">
      <c r="A226" t="s">
        <v>143</v>
      </c>
      <c r="B226" t="s">
        <v>1368</v>
      </c>
      <c r="C226" t="s">
        <v>1297</v>
      </c>
      <c r="D226" t="s">
        <v>658</v>
      </c>
      <c r="E226" t="s">
        <v>1369</v>
      </c>
      <c r="F226">
        <v>275</v>
      </c>
      <c r="G226" t="s">
        <v>810</v>
      </c>
      <c r="H226" t="s">
        <v>811</v>
      </c>
      <c r="I226" t="s">
        <v>812</v>
      </c>
      <c r="J226" t="s">
        <v>1370</v>
      </c>
      <c r="K226" t="s">
        <v>215</v>
      </c>
      <c r="L226" t="s">
        <v>193</v>
      </c>
      <c r="M226" t="s">
        <v>280</v>
      </c>
      <c r="N226" t="s">
        <v>172</v>
      </c>
      <c r="O226" t="s">
        <v>195</v>
      </c>
      <c r="P226" t="s">
        <v>193</v>
      </c>
      <c r="Q226">
        <v>350</v>
      </c>
      <c r="R226">
        <v>385</v>
      </c>
      <c r="S226">
        <v>0.96789999999999998</v>
      </c>
      <c r="T226">
        <v>0.96550000000000002</v>
      </c>
      <c r="U226">
        <v>0.96309999999999996</v>
      </c>
      <c r="V226">
        <v>0.96970000000000001</v>
      </c>
      <c r="W226">
        <v>0.9677</v>
      </c>
      <c r="X226">
        <v>0.9708</v>
      </c>
      <c r="Y226">
        <v>0.96860000000000002</v>
      </c>
      <c r="Z226">
        <v>0.97119999999999995</v>
      </c>
      <c r="AA226">
        <v>0.97519999999999996</v>
      </c>
      <c r="AB226">
        <v>0.97209999999999996</v>
      </c>
    </row>
    <row r="227" spans="1:28">
      <c r="A227" t="s">
        <v>143</v>
      </c>
      <c r="B227" t="s">
        <v>1368</v>
      </c>
      <c r="C227" t="s">
        <v>1297</v>
      </c>
      <c r="D227" t="s">
        <v>660</v>
      </c>
      <c r="E227" t="s">
        <v>1371</v>
      </c>
      <c r="F227">
        <v>275</v>
      </c>
      <c r="G227" t="s">
        <v>810</v>
      </c>
      <c r="H227" t="s">
        <v>811</v>
      </c>
      <c r="I227" t="s">
        <v>812</v>
      </c>
      <c r="J227" t="s">
        <v>1370</v>
      </c>
      <c r="K227" t="s">
        <v>215</v>
      </c>
      <c r="L227" t="s">
        <v>193</v>
      </c>
      <c r="M227" t="s">
        <v>280</v>
      </c>
      <c r="N227" t="s">
        <v>172</v>
      </c>
      <c r="O227" t="s">
        <v>195</v>
      </c>
      <c r="P227" t="s">
        <v>193</v>
      </c>
      <c r="Q227">
        <v>350</v>
      </c>
      <c r="R227">
        <v>385</v>
      </c>
      <c r="S227">
        <v>0.96789999999999998</v>
      </c>
      <c r="T227">
        <v>0.96550000000000002</v>
      </c>
      <c r="U227">
        <v>0.96309999999999996</v>
      </c>
      <c r="V227">
        <v>0.96970000000000001</v>
      </c>
      <c r="W227">
        <v>0.9677</v>
      </c>
      <c r="X227">
        <v>0.9708</v>
      </c>
      <c r="Y227">
        <v>0.96860000000000002</v>
      </c>
      <c r="Z227">
        <v>0.97119999999999995</v>
      </c>
      <c r="AA227">
        <v>0.97519999999999996</v>
      </c>
      <c r="AB227">
        <v>0.97209999999999996</v>
      </c>
    </row>
    <row r="228" spans="1:28">
      <c r="A228" t="s">
        <v>143</v>
      </c>
      <c r="B228" t="s">
        <v>1368</v>
      </c>
      <c r="C228" t="s">
        <v>1297</v>
      </c>
      <c r="D228" t="s">
        <v>661</v>
      </c>
      <c r="E228" t="s">
        <v>1372</v>
      </c>
      <c r="F228">
        <v>275</v>
      </c>
      <c r="G228" t="s">
        <v>810</v>
      </c>
      <c r="H228" t="s">
        <v>811</v>
      </c>
      <c r="I228" t="s">
        <v>812</v>
      </c>
      <c r="J228" t="s">
        <v>1370</v>
      </c>
      <c r="K228" t="s">
        <v>215</v>
      </c>
      <c r="L228" t="s">
        <v>193</v>
      </c>
      <c r="M228" t="s">
        <v>280</v>
      </c>
      <c r="N228" t="s">
        <v>172</v>
      </c>
      <c r="O228" t="s">
        <v>195</v>
      </c>
      <c r="P228" t="s">
        <v>193</v>
      </c>
      <c r="Q228">
        <v>350</v>
      </c>
      <c r="R228">
        <v>385</v>
      </c>
      <c r="S228">
        <v>0.96789999999999998</v>
      </c>
      <c r="T228">
        <v>0.96550000000000002</v>
      </c>
      <c r="U228">
        <v>0.96309999999999996</v>
      </c>
      <c r="V228">
        <v>0.96970000000000001</v>
      </c>
      <c r="W228">
        <v>0.9677</v>
      </c>
      <c r="X228">
        <v>0.9708</v>
      </c>
      <c r="Y228">
        <v>0.96860000000000002</v>
      </c>
      <c r="Z228">
        <v>0.97119999999999995</v>
      </c>
      <c r="AA228">
        <v>0.97519999999999996</v>
      </c>
      <c r="AB228">
        <v>0.97209999999999996</v>
      </c>
    </row>
    <row r="229" spans="1:28">
      <c r="A229" t="s">
        <v>143</v>
      </c>
      <c r="B229" t="s">
        <v>1368</v>
      </c>
      <c r="C229" t="s">
        <v>1297</v>
      </c>
      <c r="D229" t="s">
        <v>662</v>
      </c>
      <c r="E229" t="s">
        <v>1373</v>
      </c>
      <c r="F229">
        <v>275</v>
      </c>
      <c r="G229" t="s">
        <v>810</v>
      </c>
      <c r="H229" t="s">
        <v>811</v>
      </c>
      <c r="I229" t="s">
        <v>812</v>
      </c>
      <c r="J229" t="s">
        <v>1370</v>
      </c>
      <c r="K229" t="s">
        <v>215</v>
      </c>
      <c r="L229" t="s">
        <v>193</v>
      </c>
      <c r="M229" t="s">
        <v>280</v>
      </c>
      <c r="N229" t="s">
        <v>172</v>
      </c>
      <c r="O229" t="s">
        <v>195</v>
      </c>
      <c r="P229" t="s">
        <v>193</v>
      </c>
      <c r="Q229">
        <v>350</v>
      </c>
      <c r="R229">
        <v>385</v>
      </c>
      <c r="S229">
        <v>0.96789999999999998</v>
      </c>
      <c r="T229">
        <v>0.96550000000000002</v>
      </c>
      <c r="U229">
        <v>0.96309999999999996</v>
      </c>
      <c r="V229">
        <v>0.96970000000000001</v>
      </c>
      <c r="W229">
        <v>0.9677</v>
      </c>
      <c r="X229">
        <v>0.9708</v>
      </c>
      <c r="Y229">
        <v>0.96860000000000002</v>
      </c>
      <c r="Z229">
        <v>0.97119999999999995</v>
      </c>
      <c r="AA229">
        <v>0.97519999999999996</v>
      </c>
      <c r="AB229">
        <v>0.97209999999999996</v>
      </c>
    </row>
    <row r="230" spans="1:28">
      <c r="A230" t="s">
        <v>144</v>
      </c>
      <c r="B230" t="s">
        <v>1374</v>
      </c>
      <c r="C230" t="s">
        <v>1337</v>
      </c>
      <c r="D230" t="s">
        <v>453</v>
      </c>
      <c r="E230" t="s">
        <v>1375</v>
      </c>
      <c r="F230">
        <v>275</v>
      </c>
      <c r="G230" t="s">
        <v>810</v>
      </c>
      <c r="H230" t="s">
        <v>811</v>
      </c>
      <c r="I230" t="s">
        <v>812</v>
      </c>
      <c r="J230" t="s">
        <v>1376</v>
      </c>
      <c r="K230" t="s">
        <v>215</v>
      </c>
      <c r="L230" t="s">
        <v>193</v>
      </c>
      <c r="M230" t="s">
        <v>280</v>
      </c>
      <c r="N230" t="s">
        <v>172</v>
      </c>
      <c r="O230" t="s">
        <v>334</v>
      </c>
      <c r="P230" t="s">
        <v>193</v>
      </c>
      <c r="Q230">
        <v>744</v>
      </c>
      <c r="R230">
        <v>781</v>
      </c>
      <c r="S230">
        <v>0.94289999999999996</v>
      </c>
      <c r="T230">
        <v>0.9415</v>
      </c>
      <c r="U230">
        <v>0.94640000000000002</v>
      </c>
      <c r="V230">
        <v>0.9516</v>
      </c>
      <c r="W230">
        <v>0.94930000000000003</v>
      </c>
      <c r="X230">
        <v>0.95820000000000005</v>
      </c>
      <c r="Y230">
        <v>0.95879999999999999</v>
      </c>
      <c r="Z230">
        <v>0.96350000000000002</v>
      </c>
      <c r="AA230">
        <v>0.97430000000000005</v>
      </c>
      <c r="AB230">
        <v>0.96870000000000001</v>
      </c>
    </row>
    <row r="231" spans="1:28">
      <c r="A231" t="s">
        <v>145</v>
      </c>
      <c r="B231" t="s">
        <v>1377</v>
      </c>
      <c r="C231" t="s">
        <v>1378</v>
      </c>
      <c r="D231" t="s">
        <v>255</v>
      </c>
      <c r="E231" t="s">
        <v>1379</v>
      </c>
      <c r="F231">
        <v>275</v>
      </c>
      <c r="G231" t="s">
        <v>830</v>
      </c>
      <c r="H231" t="s">
        <v>811</v>
      </c>
      <c r="I231" t="s">
        <v>812</v>
      </c>
      <c r="J231" t="s">
        <v>1381</v>
      </c>
      <c r="K231" t="s">
        <v>215</v>
      </c>
      <c r="L231" t="s">
        <v>170</v>
      </c>
      <c r="M231" t="s">
        <v>257</v>
      </c>
      <c r="N231" t="s">
        <v>172</v>
      </c>
      <c r="O231" t="s">
        <v>185</v>
      </c>
      <c r="P231" t="s">
        <v>170</v>
      </c>
      <c r="Q231">
        <v>168</v>
      </c>
      <c r="R231">
        <v>173</v>
      </c>
      <c r="S231">
        <v>0.94289999999999996</v>
      </c>
      <c r="T231">
        <v>0.9415</v>
      </c>
      <c r="U231">
        <v>0.94710000000000005</v>
      </c>
      <c r="V231">
        <v>0.95330000000000004</v>
      </c>
      <c r="W231">
        <v>0.94799999999999995</v>
      </c>
      <c r="X231">
        <v>0.95669999999999999</v>
      </c>
      <c r="Y231">
        <v>0.95489999999999997</v>
      </c>
      <c r="Z231">
        <v>0.9607</v>
      </c>
      <c r="AA231">
        <v>0.97089999999999999</v>
      </c>
      <c r="AB231">
        <v>0.9677</v>
      </c>
    </row>
    <row r="232" spans="1:28">
      <c r="A232" t="s">
        <v>145</v>
      </c>
      <c r="B232" t="s">
        <v>1377</v>
      </c>
      <c r="C232" t="s">
        <v>1378</v>
      </c>
      <c r="D232" t="s">
        <v>258</v>
      </c>
      <c r="E232" t="s">
        <v>1382</v>
      </c>
      <c r="F232">
        <v>275</v>
      </c>
      <c r="G232" t="s">
        <v>830</v>
      </c>
      <c r="H232" t="s">
        <v>811</v>
      </c>
      <c r="I232" t="s">
        <v>812</v>
      </c>
      <c r="J232" t="s">
        <v>1381</v>
      </c>
      <c r="K232" t="s">
        <v>215</v>
      </c>
      <c r="L232" t="s">
        <v>170</v>
      </c>
      <c r="M232" t="s">
        <v>257</v>
      </c>
      <c r="N232" t="s">
        <v>172</v>
      </c>
      <c r="O232" t="s">
        <v>185</v>
      </c>
      <c r="P232" t="s">
        <v>170</v>
      </c>
      <c r="Q232">
        <v>168</v>
      </c>
      <c r="R232">
        <v>173</v>
      </c>
      <c r="S232">
        <v>0.94289999999999996</v>
      </c>
      <c r="T232">
        <v>0.9415</v>
      </c>
      <c r="U232">
        <v>0.94710000000000005</v>
      </c>
      <c r="V232">
        <v>0.95330000000000004</v>
      </c>
      <c r="W232">
        <v>0.94799999999999995</v>
      </c>
      <c r="X232">
        <v>0.95669999999999999</v>
      </c>
      <c r="Y232">
        <v>0.95489999999999997</v>
      </c>
      <c r="Z232">
        <v>0.9607</v>
      </c>
      <c r="AA232">
        <v>0.97089999999999999</v>
      </c>
      <c r="AB232">
        <v>0.9677</v>
      </c>
    </row>
    <row r="233" spans="1:28">
      <c r="A233" t="s">
        <v>145</v>
      </c>
      <c r="B233" t="s">
        <v>1377</v>
      </c>
      <c r="C233" t="s">
        <v>1378</v>
      </c>
      <c r="D233" t="s">
        <v>259</v>
      </c>
      <c r="E233" t="s">
        <v>1383</v>
      </c>
      <c r="F233">
        <v>275</v>
      </c>
      <c r="G233" t="s">
        <v>830</v>
      </c>
      <c r="H233" t="s">
        <v>811</v>
      </c>
      <c r="I233" t="s">
        <v>812</v>
      </c>
      <c r="J233" t="s">
        <v>1381</v>
      </c>
      <c r="K233" t="s">
        <v>215</v>
      </c>
      <c r="L233" t="s">
        <v>170</v>
      </c>
      <c r="M233" t="s">
        <v>257</v>
      </c>
      <c r="N233" t="s">
        <v>172</v>
      </c>
      <c r="O233" t="s">
        <v>185</v>
      </c>
      <c r="P233" t="s">
        <v>170</v>
      </c>
      <c r="Q233">
        <v>168</v>
      </c>
      <c r="R233">
        <v>173</v>
      </c>
      <c r="S233">
        <v>0.94289999999999996</v>
      </c>
      <c r="T233">
        <v>0.9415</v>
      </c>
      <c r="U233">
        <v>0.94710000000000005</v>
      </c>
      <c r="V233">
        <v>0.95330000000000004</v>
      </c>
      <c r="W233">
        <v>0.94799999999999995</v>
      </c>
      <c r="X233">
        <v>0.95669999999999999</v>
      </c>
      <c r="Y233">
        <v>0.95489999999999997</v>
      </c>
      <c r="Z233">
        <v>0.9607</v>
      </c>
      <c r="AA233">
        <v>0.97089999999999999</v>
      </c>
      <c r="AB233">
        <v>0.9677</v>
      </c>
    </row>
    <row r="234" spans="1:28">
      <c r="A234" t="s">
        <v>146</v>
      </c>
      <c r="B234" t="s">
        <v>1384</v>
      </c>
      <c r="C234" t="s">
        <v>1385</v>
      </c>
      <c r="D234" t="s">
        <v>260</v>
      </c>
      <c r="E234" t="s">
        <v>1386</v>
      </c>
      <c r="F234">
        <v>275</v>
      </c>
      <c r="G234" t="s">
        <v>830</v>
      </c>
      <c r="H234" t="s">
        <v>811</v>
      </c>
      <c r="I234" t="s">
        <v>812</v>
      </c>
      <c r="J234" t="s">
        <v>1381</v>
      </c>
      <c r="K234" t="s">
        <v>215</v>
      </c>
      <c r="L234" t="s">
        <v>170</v>
      </c>
      <c r="M234" t="s">
        <v>257</v>
      </c>
      <c r="N234" t="s">
        <v>172</v>
      </c>
      <c r="O234" t="s">
        <v>185</v>
      </c>
      <c r="P234" t="s">
        <v>170</v>
      </c>
      <c r="Q234">
        <v>173</v>
      </c>
      <c r="R234">
        <v>173</v>
      </c>
      <c r="S234">
        <v>0.94289999999999996</v>
      </c>
      <c r="T234">
        <v>0.9415</v>
      </c>
      <c r="U234">
        <v>0.94710000000000005</v>
      </c>
      <c r="V234">
        <v>0.95330000000000004</v>
      </c>
      <c r="W234">
        <v>0.94799999999999995</v>
      </c>
      <c r="X234">
        <v>0.95669999999999999</v>
      </c>
      <c r="Y234">
        <v>0.95489999999999997</v>
      </c>
      <c r="Z234">
        <v>0.9607</v>
      </c>
      <c r="AA234">
        <v>0.97089999999999999</v>
      </c>
      <c r="AB234">
        <v>0.9677</v>
      </c>
    </row>
    <row r="235" spans="1:28">
      <c r="A235" t="s">
        <v>146</v>
      </c>
      <c r="B235" t="s">
        <v>1384</v>
      </c>
      <c r="C235" t="s">
        <v>1385</v>
      </c>
      <c r="D235" t="s">
        <v>262</v>
      </c>
      <c r="E235" t="s">
        <v>1387</v>
      </c>
      <c r="F235">
        <v>275</v>
      </c>
      <c r="G235" t="s">
        <v>830</v>
      </c>
      <c r="H235" t="s">
        <v>811</v>
      </c>
      <c r="I235" t="s">
        <v>812</v>
      </c>
      <c r="J235" t="s">
        <v>1381</v>
      </c>
      <c r="K235" t="s">
        <v>215</v>
      </c>
      <c r="L235" t="s">
        <v>170</v>
      </c>
      <c r="M235" t="s">
        <v>257</v>
      </c>
      <c r="N235" t="s">
        <v>172</v>
      </c>
      <c r="O235" t="s">
        <v>185</v>
      </c>
      <c r="P235" t="s">
        <v>170</v>
      </c>
      <c r="Q235">
        <v>173</v>
      </c>
      <c r="R235">
        <v>173</v>
      </c>
      <c r="S235">
        <v>0.94289999999999996</v>
      </c>
      <c r="T235">
        <v>0.9415</v>
      </c>
      <c r="U235">
        <v>0.94710000000000005</v>
      </c>
      <c r="V235">
        <v>0.95330000000000004</v>
      </c>
      <c r="W235">
        <v>0.94799999999999995</v>
      </c>
      <c r="X235">
        <v>0.95669999999999999</v>
      </c>
      <c r="Y235">
        <v>0.95489999999999997</v>
      </c>
      <c r="Z235">
        <v>0.9607</v>
      </c>
      <c r="AA235">
        <v>0.97089999999999999</v>
      </c>
      <c r="AB235">
        <v>0.9677</v>
      </c>
    </row>
    <row r="236" spans="1:28">
      <c r="A236" t="s">
        <v>146</v>
      </c>
      <c r="B236" t="s">
        <v>1384</v>
      </c>
      <c r="C236" t="s">
        <v>1385</v>
      </c>
      <c r="D236" t="s">
        <v>263</v>
      </c>
      <c r="E236" t="s">
        <v>1388</v>
      </c>
      <c r="F236">
        <v>275</v>
      </c>
      <c r="G236" t="s">
        <v>830</v>
      </c>
      <c r="H236" t="s">
        <v>811</v>
      </c>
      <c r="I236" t="s">
        <v>812</v>
      </c>
      <c r="J236" t="s">
        <v>1381</v>
      </c>
      <c r="K236" t="s">
        <v>215</v>
      </c>
      <c r="L236" t="s">
        <v>170</v>
      </c>
      <c r="M236" t="s">
        <v>257</v>
      </c>
      <c r="N236" t="s">
        <v>172</v>
      </c>
      <c r="O236" t="s">
        <v>185</v>
      </c>
      <c r="P236" t="s">
        <v>170</v>
      </c>
      <c r="Q236">
        <v>173</v>
      </c>
      <c r="R236">
        <v>173</v>
      </c>
      <c r="S236">
        <v>0.94289999999999996</v>
      </c>
      <c r="T236">
        <v>0.9415</v>
      </c>
      <c r="U236">
        <v>0.94710000000000005</v>
      </c>
      <c r="V236">
        <v>0.95330000000000004</v>
      </c>
      <c r="W236">
        <v>0.94799999999999995</v>
      </c>
      <c r="X236">
        <v>0.95669999999999999</v>
      </c>
      <c r="Y236">
        <v>0.95489999999999997</v>
      </c>
      <c r="Z236">
        <v>0.9607</v>
      </c>
      <c r="AA236">
        <v>0.97089999999999999</v>
      </c>
      <c r="AB236">
        <v>0.9677</v>
      </c>
    </row>
    <row r="237" spans="1:28">
      <c r="A237" t="s">
        <v>147</v>
      </c>
      <c r="B237" t="s">
        <v>344</v>
      </c>
      <c r="C237" t="s">
        <v>889</v>
      </c>
      <c r="D237" t="s">
        <v>344</v>
      </c>
      <c r="E237" t="s">
        <v>1389</v>
      </c>
      <c r="F237">
        <v>275</v>
      </c>
      <c r="G237" t="s">
        <v>810</v>
      </c>
      <c r="H237" t="s">
        <v>811</v>
      </c>
      <c r="I237" t="s">
        <v>812</v>
      </c>
      <c r="J237" t="s">
        <v>1390</v>
      </c>
      <c r="K237" t="s">
        <v>215</v>
      </c>
      <c r="L237" t="s">
        <v>170</v>
      </c>
      <c r="M237" t="s">
        <v>171</v>
      </c>
      <c r="N237" t="s">
        <v>172</v>
      </c>
      <c r="O237" t="s">
        <v>216</v>
      </c>
      <c r="P237" t="s">
        <v>170</v>
      </c>
      <c r="Q237">
        <v>644</v>
      </c>
      <c r="R237">
        <v>663</v>
      </c>
      <c r="S237">
        <v>0.94289999999999996</v>
      </c>
      <c r="T237">
        <v>0.9415</v>
      </c>
      <c r="U237">
        <v>0.94710000000000005</v>
      </c>
      <c r="V237">
        <v>0.95330000000000004</v>
      </c>
      <c r="W237">
        <v>0.94799999999999995</v>
      </c>
      <c r="X237">
        <v>0.95669999999999999</v>
      </c>
      <c r="Y237">
        <v>0.95489999999999997</v>
      </c>
      <c r="Z237">
        <v>0.9607</v>
      </c>
      <c r="AA237">
        <v>0.97089999999999999</v>
      </c>
      <c r="AB237">
        <v>0.9677</v>
      </c>
    </row>
    <row r="238" spans="1:28">
      <c r="A238" t="s">
        <v>148</v>
      </c>
      <c r="B238" t="s">
        <v>340</v>
      </c>
      <c r="C238" t="s">
        <v>889</v>
      </c>
      <c r="D238" t="s">
        <v>340</v>
      </c>
      <c r="E238" t="s">
        <v>1391</v>
      </c>
      <c r="F238">
        <v>33</v>
      </c>
      <c r="G238" t="s">
        <v>823</v>
      </c>
      <c r="H238" t="s">
        <v>811</v>
      </c>
      <c r="I238" t="s">
        <v>804</v>
      </c>
      <c r="J238" t="s">
        <v>1392</v>
      </c>
      <c r="K238" t="s">
        <v>215</v>
      </c>
      <c r="L238" t="s">
        <v>170</v>
      </c>
      <c r="M238" t="s">
        <v>257</v>
      </c>
      <c r="N238" t="s">
        <v>172</v>
      </c>
      <c r="O238" t="s">
        <v>179</v>
      </c>
      <c r="P238" t="s">
        <v>170</v>
      </c>
      <c r="Q238">
        <v>33</v>
      </c>
      <c r="R238">
        <v>33</v>
      </c>
      <c r="S238">
        <v>0.97250000000000003</v>
      </c>
      <c r="T238">
        <v>0.97560000000000002</v>
      </c>
      <c r="U238">
        <v>0.94679999999999997</v>
      </c>
      <c r="V238">
        <v>0.96730000000000005</v>
      </c>
      <c r="W238">
        <v>0.97019999999999995</v>
      </c>
      <c r="X238">
        <v>0.97470000000000001</v>
      </c>
      <c r="Y238">
        <v>0.97170000000000001</v>
      </c>
      <c r="Z238">
        <v>0.98160000000000003</v>
      </c>
      <c r="AA238">
        <v>0.98670000000000002</v>
      </c>
      <c r="AB238">
        <v>0.98519999999999996</v>
      </c>
    </row>
    <row r="239" spans="1:28">
      <c r="A239" t="s">
        <v>149</v>
      </c>
      <c r="B239" t="s">
        <v>1393</v>
      </c>
      <c r="C239" t="s">
        <v>1394</v>
      </c>
      <c r="D239" t="s">
        <v>556</v>
      </c>
      <c r="E239" t="s">
        <v>1395</v>
      </c>
      <c r="F239">
        <v>110</v>
      </c>
      <c r="G239" t="s">
        <v>830</v>
      </c>
      <c r="H239" t="s">
        <v>811</v>
      </c>
      <c r="I239" t="s">
        <v>812</v>
      </c>
      <c r="J239" t="s">
        <v>1396</v>
      </c>
      <c r="K239" t="s">
        <v>215</v>
      </c>
      <c r="L239" t="s">
        <v>170</v>
      </c>
      <c r="M239" t="s">
        <v>171</v>
      </c>
      <c r="N239" t="s">
        <v>172</v>
      </c>
      <c r="O239" t="s">
        <v>185</v>
      </c>
      <c r="P239" t="s">
        <v>170</v>
      </c>
      <c r="Q239">
        <v>141</v>
      </c>
      <c r="R239">
        <v>171</v>
      </c>
      <c r="S239">
        <v>0.94330000000000003</v>
      </c>
      <c r="T239">
        <v>0.93840000000000001</v>
      </c>
      <c r="U239">
        <v>0.9395</v>
      </c>
      <c r="V239">
        <v>0.94720000000000004</v>
      </c>
      <c r="W239">
        <v>0.95189999999999997</v>
      </c>
      <c r="X239">
        <v>0.94979999999999998</v>
      </c>
      <c r="Y239">
        <v>0.94199999999999995</v>
      </c>
      <c r="Z239">
        <v>0.9667</v>
      </c>
      <c r="AA239">
        <v>0.95620000000000005</v>
      </c>
      <c r="AB239">
        <v>0.95740000000000003</v>
      </c>
    </row>
    <row r="240" spans="1:28">
      <c r="A240" t="s">
        <v>149</v>
      </c>
      <c r="B240" t="s">
        <v>1393</v>
      </c>
      <c r="C240" t="s">
        <v>1394</v>
      </c>
      <c r="D240" t="s">
        <v>558</v>
      </c>
      <c r="E240" t="s">
        <v>1397</v>
      </c>
      <c r="F240">
        <v>110</v>
      </c>
      <c r="G240" t="s">
        <v>830</v>
      </c>
      <c r="H240" t="s">
        <v>811</v>
      </c>
      <c r="I240" t="s">
        <v>812</v>
      </c>
      <c r="J240" t="s">
        <v>1396</v>
      </c>
      <c r="K240" t="s">
        <v>215</v>
      </c>
      <c r="L240" t="s">
        <v>170</v>
      </c>
      <c r="M240" t="s">
        <v>171</v>
      </c>
      <c r="N240" t="s">
        <v>172</v>
      </c>
      <c r="O240" t="s">
        <v>185</v>
      </c>
      <c r="P240" t="s">
        <v>170</v>
      </c>
      <c r="Q240">
        <v>141</v>
      </c>
      <c r="R240">
        <v>171</v>
      </c>
      <c r="S240">
        <v>0.94330000000000003</v>
      </c>
      <c r="T240">
        <v>0.93840000000000001</v>
      </c>
      <c r="U240">
        <v>0.9395</v>
      </c>
      <c r="V240">
        <v>0.94720000000000004</v>
      </c>
      <c r="W240">
        <v>0.95189999999999997</v>
      </c>
      <c r="X240">
        <v>0.94979999999999998</v>
      </c>
      <c r="Y240">
        <v>0.94199999999999995</v>
      </c>
      <c r="Z240">
        <v>0.9667</v>
      </c>
      <c r="AA240">
        <v>0.95620000000000005</v>
      </c>
      <c r="AB240">
        <v>0.95740000000000003</v>
      </c>
    </row>
    <row r="241" spans="1:28">
      <c r="A241" t="s">
        <v>150</v>
      </c>
      <c r="B241" t="s">
        <v>1398</v>
      </c>
      <c r="C241" t="s">
        <v>1337</v>
      </c>
      <c r="D241" t="s">
        <v>721</v>
      </c>
      <c r="E241" t="s">
        <v>1399</v>
      </c>
      <c r="F241">
        <v>275</v>
      </c>
      <c r="G241" t="s">
        <v>830</v>
      </c>
      <c r="H241" t="s">
        <v>811</v>
      </c>
      <c r="I241" t="s">
        <v>812</v>
      </c>
      <c r="J241" t="s">
        <v>1401</v>
      </c>
      <c r="K241" t="s">
        <v>215</v>
      </c>
      <c r="L241" t="s">
        <v>210</v>
      </c>
      <c r="M241" t="s">
        <v>211</v>
      </c>
      <c r="N241" t="s">
        <v>199</v>
      </c>
      <c r="O241" t="s">
        <v>723</v>
      </c>
      <c r="P241" t="s">
        <v>210</v>
      </c>
      <c r="Q241">
        <v>250</v>
      </c>
      <c r="R241">
        <v>312</v>
      </c>
      <c r="S241">
        <v>0.98829999999999996</v>
      </c>
      <c r="T241">
        <v>0.9909</v>
      </c>
      <c r="U241">
        <v>0.98709999999999998</v>
      </c>
      <c r="V241">
        <v>0.98880000000000001</v>
      </c>
      <c r="W241">
        <v>0.98909999999999998</v>
      </c>
      <c r="X241">
        <v>0.98950000000000005</v>
      </c>
      <c r="Y241">
        <v>0.99019999999999997</v>
      </c>
      <c r="Z241">
        <v>0.99350000000000005</v>
      </c>
      <c r="AA241">
        <v>0.99390000000000001</v>
      </c>
      <c r="AB241">
        <v>0.99280000000000002</v>
      </c>
    </row>
    <row r="242" spans="1:28">
      <c r="A242" t="s">
        <v>150</v>
      </c>
      <c r="B242" t="s">
        <v>1398</v>
      </c>
      <c r="C242" t="s">
        <v>1337</v>
      </c>
      <c r="D242" t="s">
        <v>724</v>
      </c>
      <c r="E242" t="s">
        <v>1402</v>
      </c>
      <c r="F242">
        <v>275</v>
      </c>
      <c r="G242" t="s">
        <v>830</v>
      </c>
      <c r="H242" t="s">
        <v>811</v>
      </c>
      <c r="I242" t="s">
        <v>812</v>
      </c>
      <c r="J242" t="s">
        <v>1401</v>
      </c>
      <c r="K242" t="s">
        <v>215</v>
      </c>
      <c r="L242" t="s">
        <v>210</v>
      </c>
      <c r="M242" t="s">
        <v>211</v>
      </c>
      <c r="N242" t="s">
        <v>199</v>
      </c>
      <c r="O242" t="s">
        <v>723</v>
      </c>
      <c r="P242" t="s">
        <v>210</v>
      </c>
      <c r="Q242">
        <v>250</v>
      </c>
      <c r="R242">
        <v>312</v>
      </c>
      <c r="S242">
        <v>0.98829999999999996</v>
      </c>
      <c r="T242">
        <v>0.9909</v>
      </c>
      <c r="U242">
        <v>0.98709999999999998</v>
      </c>
      <c r="V242">
        <v>0.98880000000000001</v>
      </c>
      <c r="W242">
        <v>0.98909999999999998</v>
      </c>
      <c r="X242">
        <v>0.98950000000000005</v>
      </c>
      <c r="Y242">
        <v>0.99019999999999997</v>
      </c>
      <c r="Z242">
        <v>0.99350000000000005</v>
      </c>
      <c r="AA242">
        <v>0.99390000000000001</v>
      </c>
      <c r="AB242">
        <v>0.99280000000000002</v>
      </c>
    </row>
    <row r="243" spans="1:28">
      <c r="A243" t="s">
        <v>151</v>
      </c>
      <c r="B243" t="s">
        <v>1403</v>
      </c>
      <c r="C243" t="s">
        <v>1297</v>
      </c>
      <c r="D243" t="s">
        <v>652</v>
      </c>
      <c r="E243" t="s">
        <v>1404</v>
      </c>
      <c r="F243">
        <v>275</v>
      </c>
      <c r="G243" t="s">
        <v>810</v>
      </c>
      <c r="H243" t="s">
        <v>811</v>
      </c>
      <c r="I243" t="s">
        <v>812</v>
      </c>
      <c r="J243" t="s">
        <v>1405</v>
      </c>
      <c r="K243" t="s">
        <v>215</v>
      </c>
      <c r="L243" t="s">
        <v>170</v>
      </c>
      <c r="M243" t="s">
        <v>171</v>
      </c>
      <c r="N243" t="s">
        <v>172</v>
      </c>
      <c r="O243" t="s">
        <v>216</v>
      </c>
      <c r="P243" t="s">
        <v>170</v>
      </c>
      <c r="Q243">
        <v>385</v>
      </c>
      <c r="R243">
        <v>385</v>
      </c>
      <c r="S243">
        <v>0.999</v>
      </c>
      <c r="T243">
        <v>0.99909999999999999</v>
      </c>
      <c r="U243">
        <v>0.99629999999999996</v>
      </c>
      <c r="V243">
        <v>0.99629999999999996</v>
      </c>
      <c r="W243">
        <v>0.99339999999999995</v>
      </c>
      <c r="X243">
        <v>0.99719999999999998</v>
      </c>
      <c r="Y243">
        <v>0.99839999999999995</v>
      </c>
      <c r="Z243">
        <v>1.0019</v>
      </c>
      <c r="AA243">
        <v>1.0008999999999999</v>
      </c>
      <c r="AB243">
        <v>1.0008999999999999</v>
      </c>
    </row>
    <row r="244" spans="1:28">
      <c r="A244" t="s">
        <v>152</v>
      </c>
      <c r="B244" t="s">
        <v>1406</v>
      </c>
      <c r="C244" t="s">
        <v>1407</v>
      </c>
      <c r="D244" t="s">
        <v>532</v>
      </c>
      <c r="E244" t="s">
        <v>1408</v>
      </c>
      <c r="F244">
        <v>330</v>
      </c>
      <c r="G244" t="s">
        <v>810</v>
      </c>
      <c r="H244" t="s">
        <v>811</v>
      </c>
      <c r="I244" t="s">
        <v>812</v>
      </c>
      <c r="J244" t="s">
        <v>1409</v>
      </c>
      <c r="K244" t="s">
        <v>215</v>
      </c>
      <c r="L244" t="s">
        <v>193</v>
      </c>
      <c r="M244" t="s">
        <v>280</v>
      </c>
      <c r="N244" t="s">
        <v>172</v>
      </c>
      <c r="O244" t="s">
        <v>334</v>
      </c>
      <c r="P244" t="s">
        <v>193</v>
      </c>
      <c r="Q244">
        <v>426</v>
      </c>
      <c r="R244">
        <v>450</v>
      </c>
      <c r="S244">
        <v>0.96199999999999997</v>
      </c>
      <c r="T244">
        <v>0.96</v>
      </c>
      <c r="U244">
        <v>0.95779999999999998</v>
      </c>
      <c r="V244">
        <v>0.96120000000000005</v>
      </c>
      <c r="W244">
        <v>0.95320000000000005</v>
      </c>
      <c r="X244">
        <v>0.96120000000000005</v>
      </c>
      <c r="Y244">
        <v>0.96419999999999995</v>
      </c>
      <c r="Z244">
        <v>0.97370000000000001</v>
      </c>
      <c r="AA244">
        <v>0.98119999999999996</v>
      </c>
      <c r="AB244">
        <v>0.97829999999999995</v>
      </c>
    </row>
    <row r="245" spans="1:28">
      <c r="A245" t="s">
        <v>152</v>
      </c>
      <c r="B245" t="s">
        <v>1406</v>
      </c>
      <c r="C245" t="s">
        <v>1407</v>
      </c>
      <c r="D245" t="s">
        <v>534</v>
      </c>
      <c r="E245" t="s">
        <v>1410</v>
      </c>
      <c r="F245">
        <v>330</v>
      </c>
      <c r="G245" t="s">
        <v>810</v>
      </c>
      <c r="H245" t="s">
        <v>811</v>
      </c>
      <c r="I245" t="s">
        <v>812</v>
      </c>
      <c r="J245" t="s">
        <v>1409</v>
      </c>
      <c r="K245" t="s">
        <v>215</v>
      </c>
      <c r="L245" t="s">
        <v>193</v>
      </c>
      <c r="M245" t="s">
        <v>280</v>
      </c>
      <c r="N245" t="s">
        <v>172</v>
      </c>
      <c r="O245" t="s">
        <v>334</v>
      </c>
      <c r="P245" t="s">
        <v>193</v>
      </c>
      <c r="Q245">
        <v>426</v>
      </c>
      <c r="R245">
        <v>450</v>
      </c>
      <c r="S245">
        <v>0.96199999999999997</v>
      </c>
      <c r="T245">
        <v>0.96</v>
      </c>
      <c r="U245">
        <v>0.95779999999999998</v>
      </c>
      <c r="V245">
        <v>0.96120000000000005</v>
      </c>
      <c r="W245">
        <v>0.95320000000000005</v>
      </c>
      <c r="X245">
        <v>0.96120000000000005</v>
      </c>
      <c r="Y245">
        <v>0.96419999999999995</v>
      </c>
      <c r="Z245">
        <v>0.97370000000000001</v>
      </c>
      <c r="AA245">
        <v>0.98119999999999996</v>
      </c>
      <c r="AB245">
        <v>0.97829999999999995</v>
      </c>
    </row>
    <row r="246" spans="1:28">
      <c r="A246" t="s">
        <v>79</v>
      </c>
      <c r="B246" t="s">
        <v>713</v>
      </c>
      <c r="C246" t="s">
        <v>1031</v>
      </c>
      <c r="D246" t="s">
        <v>716</v>
      </c>
      <c r="E246" t="s">
        <v>1094</v>
      </c>
      <c r="F246">
        <v>500</v>
      </c>
      <c r="G246" t="s">
        <v>830</v>
      </c>
      <c r="H246" t="s">
        <v>811</v>
      </c>
      <c r="I246" t="s">
        <v>812</v>
      </c>
      <c r="J246" t="s">
        <v>1095</v>
      </c>
      <c r="K246" t="s">
        <v>184</v>
      </c>
      <c r="L246" t="s">
        <v>170</v>
      </c>
      <c r="M246" t="s">
        <v>171</v>
      </c>
      <c r="N246" t="s">
        <v>172</v>
      </c>
      <c r="O246" t="s">
        <v>185</v>
      </c>
      <c r="P246" t="s">
        <v>170</v>
      </c>
      <c r="Q246">
        <v>50</v>
      </c>
      <c r="R246">
        <v>60</v>
      </c>
      <c r="W246">
        <v>0.97040000000000004</v>
      </c>
      <c r="X246">
        <v>0.97419999999999995</v>
      </c>
      <c r="Y246">
        <v>0.97230000000000005</v>
      </c>
      <c r="Z246">
        <v>0.98009999999999997</v>
      </c>
      <c r="AA246">
        <v>0.9798</v>
      </c>
      <c r="AB246">
        <v>0.97640000000000005</v>
      </c>
    </row>
    <row r="247" spans="1:28">
      <c r="A247" t="s">
        <v>79</v>
      </c>
      <c r="B247" t="s">
        <v>713</v>
      </c>
      <c r="C247" t="s">
        <v>1031</v>
      </c>
      <c r="D247" t="s">
        <v>717</v>
      </c>
      <c r="E247" t="s">
        <v>1094</v>
      </c>
      <c r="F247">
        <v>500</v>
      </c>
      <c r="G247" t="s">
        <v>830</v>
      </c>
      <c r="H247" t="s">
        <v>811</v>
      </c>
      <c r="I247" t="s">
        <v>812</v>
      </c>
      <c r="J247" t="s">
        <v>1095</v>
      </c>
      <c r="K247" t="s">
        <v>184</v>
      </c>
      <c r="L247" t="s">
        <v>170</v>
      </c>
      <c r="M247" t="s">
        <v>171</v>
      </c>
      <c r="N247" t="s">
        <v>172</v>
      </c>
      <c r="O247" t="s">
        <v>185</v>
      </c>
      <c r="P247" t="s">
        <v>170</v>
      </c>
      <c r="Q247">
        <v>50</v>
      </c>
      <c r="R247">
        <v>60</v>
      </c>
      <c r="W247">
        <v>0.97040000000000004</v>
      </c>
      <c r="X247">
        <v>0.97419999999999995</v>
      </c>
      <c r="Y247">
        <v>0.97230000000000005</v>
      </c>
      <c r="Z247">
        <v>0.98009999999999997</v>
      </c>
      <c r="AA247">
        <v>0.9798</v>
      </c>
      <c r="AB247">
        <v>0.97640000000000005</v>
      </c>
    </row>
    <row r="248" spans="1:28">
      <c r="A248" t="s">
        <v>79</v>
      </c>
      <c r="B248" t="s">
        <v>713</v>
      </c>
      <c r="C248" t="s">
        <v>1031</v>
      </c>
      <c r="D248" t="s">
        <v>718</v>
      </c>
      <c r="E248" t="s">
        <v>1094</v>
      </c>
      <c r="F248">
        <v>500</v>
      </c>
      <c r="G248" t="s">
        <v>830</v>
      </c>
      <c r="H248" t="s">
        <v>811</v>
      </c>
      <c r="I248" t="s">
        <v>812</v>
      </c>
      <c r="J248" t="s">
        <v>1095</v>
      </c>
      <c r="K248" t="s">
        <v>184</v>
      </c>
      <c r="L248" t="s">
        <v>170</v>
      </c>
      <c r="M248" t="s">
        <v>171</v>
      </c>
      <c r="N248" t="s">
        <v>172</v>
      </c>
      <c r="O248" t="s">
        <v>185</v>
      </c>
      <c r="P248" t="s">
        <v>170</v>
      </c>
      <c r="Q248">
        <v>50</v>
      </c>
      <c r="R248">
        <v>60</v>
      </c>
      <c r="W248">
        <v>0.97040000000000004</v>
      </c>
      <c r="X248">
        <v>0.97419999999999995</v>
      </c>
      <c r="Y248">
        <v>0.97230000000000005</v>
      </c>
      <c r="Z248">
        <v>0.98009999999999997</v>
      </c>
      <c r="AA248">
        <v>0.9798</v>
      </c>
      <c r="AB248">
        <v>0.97640000000000005</v>
      </c>
    </row>
    <row r="249" spans="1:28">
      <c r="A249" t="s">
        <v>79</v>
      </c>
      <c r="B249" t="s">
        <v>713</v>
      </c>
      <c r="C249" t="s">
        <v>1031</v>
      </c>
      <c r="D249" t="s">
        <v>719</v>
      </c>
      <c r="E249" t="s">
        <v>1094</v>
      </c>
      <c r="F249">
        <v>500</v>
      </c>
      <c r="G249" t="s">
        <v>830</v>
      </c>
      <c r="H249" t="s">
        <v>811</v>
      </c>
      <c r="I249" t="s">
        <v>812</v>
      </c>
      <c r="J249" t="s">
        <v>1095</v>
      </c>
      <c r="K249" t="s">
        <v>184</v>
      </c>
      <c r="L249" t="s">
        <v>170</v>
      </c>
      <c r="M249" t="s">
        <v>171</v>
      </c>
      <c r="N249" t="s">
        <v>172</v>
      </c>
      <c r="O249" t="s">
        <v>185</v>
      </c>
      <c r="P249" t="s">
        <v>170</v>
      </c>
      <c r="Q249">
        <v>50</v>
      </c>
      <c r="R249">
        <v>60</v>
      </c>
      <c r="W249">
        <v>0.97040000000000004</v>
      </c>
      <c r="X249">
        <v>0.97419999999999995</v>
      </c>
      <c r="Y249">
        <v>0.97230000000000005</v>
      </c>
      <c r="Z249">
        <v>0.98009999999999997</v>
      </c>
      <c r="AA249">
        <v>0.9798</v>
      </c>
      <c r="AB249">
        <v>0.97640000000000005</v>
      </c>
    </row>
    <row r="250" spans="1:28">
      <c r="A250" t="s">
        <v>79</v>
      </c>
      <c r="B250" t="s">
        <v>713</v>
      </c>
      <c r="C250" t="s">
        <v>1031</v>
      </c>
      <c r="D250" t="s">
        <v>720</v>
      </c>
      <c r="E250" t="s">
        <v>1094</v>
      </c>
      <c r="F250">
        <v>500</v>
      </c>
      <c r="G250" t="s">
        <v>830</v>
      </c>
      <c r="H250" t="s">
        <v>811</v>
      </c>
      <c r="I250" t="s">
        <v>812</v>
      </c>
      <c r="J250" t="s">
        <v>1095</v>
      </c>
      <c r="K250" t="s">
        <v>184</v>
      </c>
      <c r="L250" t="s">
        <v>170</v>
      </c>
      <c r="M250" t="s">
        <v>171</v>
      </c>
      <c r="N250" t="s">
        <v>172</v>
      </c>
      <c r="O250" t="s">
        <v>185</v>
      </c>
      <c r="P250" t="s">
        <v>170</v>
      </c>
      <c r="Q250">
        <v>50</v>
      </c>
      <c r="R250">
        <v>60</v>
      </c>
      <c r="W250">
        <v>0.97040000000000004</v>
      </c>
      <c r="X250">
        <v>0.97419999999999995</v>
      </c>
      <c r="Y250">
        <v>0.97230000000000005</v>
      </c>
      <c r="Z250">
        <v>0.98009999999999997</v>
      </c>
      <c r="AA250">
        <v>0.9798</v>
      </c>
      <c r="AB250">
        <v>0.97640000000000005</v>
      </c>
    </row>
    <row r="251" spans="1:28">
      <c r="A251" s="2" t="s">
        <v>187</v>
      </c>
      <c r="B251" t="s">
        <v>1414</v>
      </c>
      <c r="C251" t="s">
        <v>1031</v>
      </c>
      <c r="D251" t="s">
        <v>190</v>
      </c>
      <c r="E251" t="s">
        <v>880</v>
      </c>
      <c r="F251">
        <v>33</v>
      </c>
      <c r="H251" t="s">
        <v>811</v>
      </c>
      <c r="I251" t="s">
        <v>812</v>
      </c>
      <c r="J251" t="s">
        <v>1412</v>
      </c>
      <c r="K251" t="s">
        <v>166</v>
      </c>
      <c r="L251" t="s">
        <v>188</v>
      </c>
      <c r="M251" t="s">
        <v>188</v>
      </c>
      <c r="N251" t="s">
        <v>172</v>
      </c>
      <c r="O251" t="s">
        <v>179</v>
      </c>
      <c r="P251" t="s">
        <v>188</v>
      </c>
      <c r="Q251">
        <v>50</v>
      </c>
      <c r="R251">
        <v>50</v>
      </c>
      <c r="Y251">
        <v>1.0042</v>
      </c>
      <c r="Z251">
        <v>1.0121</v>
      </c>
      <c r="AA251">
        <v>1.0086999999999999</v>
      </c>
      <c r="AB251">
        <v>0.95340000000000003</v>
      </c>
    </row>
    <row r="252" spans="1:28">
      <c r="A252" t="s">
        <v>196</v>
      </c>
      <c r="B252" t="s">
        <v>1413</v>
      </c>
      <c r="C252" t="s">
        <v>3248</v>
      </c>
      <c r="D252" t="s">
        <v>201</v>
      </c>
      <c r="E252" t="s">
        <v>2692</v>
      </c>
      <c r="F252">
        <v>220</v>
      </c>
      <c r="H252" t="s">
        <v>811</v>
      </c>
      <c r="I252" t="s">
        <v>804</v>
      </c>
      <c r="J252" t="s">
        <v>1416</v>
      </c>
      <c r="K252" t="s">
        <v>184</v>
      </c>
      <c r="L252" t="s">
        <v>198</v>
      </c>
      <c r="M252" t="s">
        <v>198</v>
      </c>
      <c r="N252" t="s">
        <v>199</v>
      </c>
      <c r="O252" t="s">
        <v>200</v>
      </c>
      <c r="P252" t="s">
        <v>198</v>
      </c>
      <c r="Q252">
        <v>240</v>
      </c>
      <c r="R252">
        <v>240</v>
      </c>
      <c r="Y252">
        <v>1.0299</v>
      </c>
      <c r="Z252">
        <v>1.0019</v>
      </c>
      <c r="AA252">
        <v>0.96909999999999996</v>
      </c>
      <c r="AB252">
        <v>0.88529999999999998</v>
      </c>
    </row>
    <row r="253" spans="1:28">
      <c r="A253" t="s">
        <v>209</v>
      </c>
      <c r="B253" t="s">
        <v>208</v>
      </c>
      <c r="C253" t="s">
        <v>839</v>
      </c>
      <c r="D253" t="s">
        <v>208</v>
      </c>
      <c r="E253" t="s">
        <v>2702</v>
      </c>
      <c r="F253">
        <v>220</v>
      </c>
      <c r="H253" t="s">
        <v>811</v>
      </c>
      <c r="I253" t="s">
        <v>804</v>
      </c>
      <c r="J253" t="s">
        <v>1415</v>
      </c>
      <c r="K253" t="s">
        <v>184</v>
      </c>
      <c r="L253" t="s">
        <v>210</v>
      </c>
      <c r="M253" t="s">
        <v>211</v>
      </c>
      <c r="N253" t="s">
        <v>199</v>
      </c>
      <c r="O253" t="s">
        <v>212</v>
      </c>
      <c r="P253" t="s">
        <v>210</v>
      </c>
      <c r="Q253">
        <v>12.85</v>
      </c>
      <c r="R253">
        <v>13</v>
      </c>
      <c r="S253">
        <v>1.0270999999999999</v>
      </c>
      <c r="T253">
        <v>1.0150999999999999</v>
      </c>
      <c r="U253">
        <v>0.98850000000000005</v>
      </c>
      <c r="V253">
        <v>0.98340000000000005</v>
      </c>
      <c r="W253">
        <v>1.0097</v>
      </c>
      <c r="X253">
        <v>1.0004</v>
      </c>
      <c r="Y253">
        <v>0.98119999999999996</v>
      </c>
      <c r="Z253">
        <v>0.93720000000000003</v>
      </c>
      <c r="AA253">
        <v>0.92490000000000006</v>
      </c>
      <c r="AB253">
        <v>0.92930000000000001</v>
      </c>
    </row>
    <row r="254" spans="1:28">
      <c r="A254" t="s">
        <v>218</v>
      </c>
      <c r="B254" t="s">
        <v>1418</v>
      </c>
      <c r="C254" t="s">
        <v>3333</v>
      </c>
      <c r="D254" t="s">
        <v>217</v>
      </c>
      <c r="E254" t="s">
        <v>2220</v>
      </c>
      <c r="F254">
        <v>132</v>
      </c>
      <c r="H254" t="s">
        <v>811</v>
      </c>
      <c r="I254" t="s">
        <v>804</v>
      </c>
      <c r="J254" t="s">
        <v>4306</v>
      </c>
      <c r="K254" t="s">
        <v>215</v>
      </c>
      <c r="L254" t="s">
        <v>219</v>
      </c>
      <c r="M254" t="s">
        <v>219</v>
      </c>
      <c r="N254" t="s">
        <v>199</v>
      </c>
      <c r="O254" t="s">
        <v>220</v>
      </c>
      <c r="P254" t="s">
        <v>219</v>
      </c>
      <c r="Q254">
        <v>20</v>
      </c>
      <c r="R254">
        <v>20</v>
      </c>
      <c r="Y254">
        <v>1.0106999999999999</v>
      </c>
      <c r="Z254">
        <v>0.97150000000000003</v>
      </c>
      <c r="AA254">
        <v>0.89339999999999997</v>
      </c>
      <c r="AB254">
        <v>0.86860000000000004</v>
      </c>
    </row>
    <row r="255" spans="1:28">
      <c r="A255" t="s">
        <v>231</v>
      </c>
      <c r="B255" t="s">
        <v>1419</v>
      </c>
      <c r="D255" t="s">
        <v>230</v>
      </c>
      <c r="E255" t="s">
        <v>989</v>
      </c>
      <c r="F255">
        <v>220</v>
      </c>
      <c r="H255" t="s">
        <v>811</v>
      </c>
      <c r="I255" t="s">
        <v>804</v>
      </c>
      <c r="J255" t="s">
        <v>1417</v>
      </c>
      <c r="K255" t="s">
        <v>227</v>
      </c>
      <c r="L255" t="s">
        <v>188</v>
      </c>
      <c r="M255" t="s">
        <v>188</v>
      </c>
      <c r="N255" t="s">
        <v>172</v>
      </c>
      <c r="O255" t="s">
        <v>179</v>
      </c>
      <c r="P255" t="s">
        <v>188</v>
      </c>
      <c r="Q255">
        <v>75</v>
      </c>
      <c r="R255">
        <v>75</v>
      </c>
    </row>
    <row r="256" spans="1:28">
      <c r="A256" t="s">
        <v>285</v>
      </c>
      <c r="B256" t="s">
        <v>1421</v>
      </c>
      <c r="C256" t="s">
        <v>3285</v>
      </c>
      <c r="D256" t="s">
        <v>284</v>
      </c>
      <c r="E256" t="s">
        <v>1003</v>
      </c>
      <c r="F256">
        <v>110</v>
      </c>
      <c r="H256" t="s">
        <v>811</v>
      </c>
      <c r="I256" t="s">
        <v>804</v>
      </c>
      <c r="J256" t="s">
        <v>1420</v>
      </c>
      <c r="K256" t="s">
        <v>176</v>
      </c>
      <c r="L256" t="s">
        <v>286</v>
      </c>
      <c r="M256" t="s">
        <v>287</v>
      </c>
      <c r="N256" t="s">
        <v>172</v>
      </c>
      <c r="O256" t="s">
        <v>195</v>
      </c>
      <c r="P256" t="s">
        <v>286</v>
      </c>
      <c r="Q256">
        <v>38</v>
      </c>
      <c r="R256">
        <v>38</v>
      </c>
      <c r="S256">
        <v>0.93969999999999998</v>
      </c>
      <c r="T256">
        <v>0.94299999999999995</v>
      </c>
      <c r="U256">
        <v>0.98360000000000003</v>
      </c>
      <c r="V256">
        <v>1.0217000000000001</v>
      </c>
      <c r="W256">
        <v>1.1047</v>
      </c>
      <c r="X256">
        <v>1.0267999999999999</v>
      </c>
      <c r="Y256">
        <v>0.96609999999999996</v>
      </c>
      <c r="Z256">
        <v>0.90510000000000002</v>
      </c>
      <c r="AA256">
        <v>0.89649999999999996</v>
      </c>
      <c r="AB256">
        <v>1.0004</v>
      </c>
    </row>
    <row r="257" spans="1:28">
      <c r="A257" t="s">
        <v>267</v>
      </c>
      <c r="B257" t="s">
        <v>1422</v>
      </c>
      <c r="C257" t="s">
        <v>839</v>
      </c>
      <c r="D257" t="s">
        <v>266</v>
      </c>
      <c r="E257" t="s">
        <v>2583</v>
      </c>
      <c r="F257">
        <v>132</v>
      </c>
      <c r="H257" t="s">
        <v>811</v>
      </c>
      <c r="I257" t="s">
        <v>841</v>
      </c>
      <c r="J257" t="s">
        <v>1423</v>
      </c>
      <c r="K257" t="s">
        <v>176</v>
      </c>
      <c r="L257" t="s">
        <v>219</v>
      </c>
      <c r="M257" t="s">
        <v>219</v>
      </c>
      <c r="N257" t="s">
        <v>199</v>
      </c>
      <c r="O257" t="s">
        <v>268</v>
      </c>
      <c r="P257" t="s">
        <v>219</v>
      </c>
      <c r="Q257">
        <v>53.76</v>
      </c>
      <c r="R257">
        <v>53.76</v>
      </c>
      <c r="Y257">
        <v>1.1220000000000001</v>
      </c>
      <c r="Z257">
        <v>1.2456</v>
      </c>
      <c r="AA257">
        <v>0.97889999999999999</v>
      </c>
      <c r="AB257">
        <v>0.74639999999999995</v>
      </c>
    </row>
    <row r="258" spans="1:28">
      <c r="A258" t="s">
        <v>240</v>
      </c>
      <c r="B258" t="s">
        <v>239</v>
      </c>
      <c r="C258" t="s">
        <v>839</v>
      </c>
      <c r="D258" t="s">
        <v>239</v>
      </c>
      <c r="E258" t="s">
        <v>989</v>
      </c>
      <c r="F258">
        <v>220</v>
      </c>
      <c r="H258" t="s">
        <v>811</v>
      </c>
      <c r="I258" t="s">
        <v>804</v>
      </c>
      <c r="J258" t="s">
        <v>4303</v>
      </c>
      <c r="K258" t="s">
        <v>176</v>
      </c>
      <c r="L258" t="s">
        <v>210</v>
      </c>
      <c r="M258" t="s">
        <v>211</v>
      </c>
      <c r="N258" t="s">
        <v>199</v>
      </c>
      <c r="O258" t="s">
        <v>212</v>
      </c>
      <c r="P258" t="s">
        <v>210</v>
      </c>
      <c r="Q258">
        <v>19</v>
      </c>
      <c r="R258">
        <v>19</v>
      </c>
      <c r="U258">
        <v>0.97950000000000004</v>
      </c>
      <c r="V258">
        <v>0.98780000000000001</v>
      </c>
      <c r="W258">
        <v>0.98750000000000004</v>
      </c>
      <c r="X258">
        <v>0.99029999999999996</v>
      </c>
      <c r="Y258">
        <v>0.9909</v>
      </c>
      <c r="Z258">
        <v>0.98309999999999997</v>
      </c>
      <c r="AA258">
        <v>0.98240000000000005</v>
      </c>
      <c r="AB258">
        <v>0.98499999999999999</v>
      </c>
    </row>
    <row r="259" spans="1:28">
      <c r="A259" t="s">
        <v>296</v>
      </c>
      <c r="B259" t="s">
        <v>467</v>
      </c>
      <c r="C259" t="s">
        <v>935</v>
      </c>
      <c r="D259" t="s">
        <v>295</v>
      </c>
      <c r="E259" t="s">
        <v>1015</v>
      </c>
      <c r="F259">
        <v>220</v>
      </c>
      <c r="H259" t="s">
        <v>811</v>
      </c>
      <c r="I259" t="s">
        <v>804</v>
      </c>
      <c r="J259" t="s">
        <v>1424</v>
      </c>
      <c r="K259" t="s">
        <v>227</v>
      </c>
      <c r="L259" t="s">
        <v>188</v>
      </c>
      <c r="M259" t="s">
        <v>188</v>
      </c>
      <c r="N259" t="s">
        <v>172</v>
      </c>
      <c r="O259" t="s">
        <v>179</v>
      </c>
      <c r="P259" t="s">
        <v>188</v>
      </c>
      <c r="Q259">
        <v>24</v>
      </c>
      <c r="R259">
        <v>24</v>
      </c>
    </row>
    <row r="260" spans="1:28">
      <c r="A260" t="s">
        <v>315</v>
      </c>
      <c r="B260" t="s">
        <v>314</v>
      </c>
      <c r="C260" t="s">
        <v>3389</v>
      </c>
      <c r="D260" t="s">
        <v>314</v>
      </c>
      <c r="E260" t="s">
        <v>1199</v>
      </c>
      <c r="F260">
        <v>330</v>
      </c>
      <c r="H260" t="s">
        <v>811</v>
      </c>
      <c r="I260" t="s">
        <v>804</v>
      </c>
      <c r="J260" t="s">
        <v>1425</v>
      </c>
      <c r="K260" t="s">
        <v>184</v>
      </c>
      <c r="L260" t="s">
        <v>170</v>
      </c>
      <c r="M260" t="s">
        <v>178</v>
      </c>
      <c r="N260" t="s">
        <v>172</v>
      </c>
      <c r="O260" t="s">
        <v>271</v>
      </c>
      <c r="P260" t="s">
        <v>170</v>
      </c>
      <c r="Q260">
        <v>11</v>
      </c>
      <c r="R260">
        <v>11</v>
      </c>
      <c r="W260">
        <v>0.99650000000000005</v>
      </c>
      <c r="X260">
        <v>0.997</v>
      </c>
      <c r="Y260">
        <v>0.99719999999999998</v>
      </c>
      <c r="Z260">
        <v>0.99890000000000001</v>
      </c>
      <c r="AA260">
        <v>0.99860000000000004</v>
      </c>
      <c r="AB260">
        <v>0.99909999999999999</v>
      </c>
    </row>
    <row r="261" spans="1:28">
      <c r="A261" t="s">
        <v>327</v>
      </c>
      <c r="B261" t="s">
        <v>1427</v>
      </c>
      <c r="C261" t="s">
        <v>3285</v>
      </c>
      <c r="D261" t="s">
        <v>326</v>
      </c>
      <c r="E261" t="s">
        <v>2588</v>
      </c>
      <c r="F261">
        <v>110</v>
      </c>
      <c r="H261" t="s">
        <v>811</v>
      </c>
      <c r="I261" t="s">
        <v>804</v>
      </c>
      <c r="J261" t="s">
        <v>1426</v>
      </c>
      <c r="K261" t="s">
        <v>176</v>
      </c>
      <c r="L261" t="s">
        <v>286</v>
      </c>
      <c r="M261" t="s">
        <v>287</v>
      </c>
      <c r="N261" t="s">
        <v>172</v>
      </c>
      <c r="O261" t="s">
        <v>195</v>
      </c>
      <c r="P261" t="s">
        <v>286</v>
      </c>
      <c r="Q261">
        <v>30</v>
      </c>
      <c r="R261">
        <v>30</v>
      </c>
      <c r="S261">
        <v>0.97560000000000002</v>
      </c>
      <c r="T261">
        <v>0.98250000000000004</v>
      </c>
      <c r="U261">
        <v>1.0089999999999999</v>
      </c>
      <c r="V261">
        <v>1.0394000000000001</v>
      </c>
      <c r="W261">
        <v>1.0955999999999999</v>
      </c>
      <c r="X261">
        <v>1.0347</v>
      </c>
      <c r="Y261">
        <v>0.99860000000000004</v>
      </c>
      <c r="Z261">
        <v>0.94059999999999999</v>
      </c>
      <c r="AA261">
        <v>0.92230000000000001</v>
      </c>
      <c r="AB261">
        <v>0.98150000000000004</v>
      </c>
    </row>
    <row r="262" spans="1:28">
      <c r="A262" t="s">
        <v>300</v>
      </c>
      <c r="B262" t="s">
        <v>1428</v>
      </c>
      <c r="C262" t="s">
        <v>3302</v>
      </c>
      <c r="D262" t="s">
        <v>299</v>
      </c>
      <c r="E262" t="s">
        <v>836</v>
      </c>
      <c r="F262">
        <v>132</v>
      </c>
      <c r="H262" t="s">
        <v>811</v>
      </c>
      <c r="I262" t="s">
        <v>804</v>
      </c>
      <c r="J262" t="s">
        <v>1429</v>
      </c>
      <c r="K262" t="s">
        <v>184</v>
      </c>
      <c r="L262" t="s">
        <v>198</v>
      </c>
      <c r="M262" t="s">
        <v>198</v>
      </c>
      <c r="N262" t="s">
        <v>199</v>
      </c>
      <c r="O262" t="s">
        <v>200</v>
      </c>
      <c r="P262" t="s">
        <v>198</v>
      </c>
      <c r="Q262">
        <v>20</v>
      </c>
      <c r="R262">
        <v>20</v>
      </c>
      <c r="Y262">
        <v>1.0664</v>
      </c>
      <c r="Z262">
        <v>1.0398000000000001</v>
      </c>
      <c r="AA262">
        <v>1.0136000000000001</v>
      </c>
      <c r="AB262">
        <v>0.99790000000000001</v>
      </c>
    </row>
    <row r="263" spans="1:28">
      <c r="A263" t="s">
        <v>329</v>
      </c>
      <c r="B263" t="s">
        <v>328</v>
      </c>
      <c r="C263" t="s">
        <v>839</v>
      </c>
      <c r="D263" t="s">
        <v>328</v>
      </c>
      <c r="E263" t="s">
        <v>2591</v>
      </c>
      <c r="F263">
        <v>66</v>
      </c>
      <c r="H263" t="s">
        <v>811</v>
      </c>
      <c r="I263" t="s">
        <v>804</v>
      </c>
      <c r="J263" t="s">
        <v>1430</v>
      </c>
      <c r="K263" t="s">
        <v>176</v>
      </c>
      <c r="L263" t="s">
        <v>210</v>
      </c>
      <c r="M263" t="s">
        <v>211</v>
      </c>
      <c r="N263" t="s">
        <v>199</v>
      </c>
      <c r="O263" t="s">
        <v>212</v>
      </c>
      <c r="P263" t="s">
        <v>210</v>
      </c>
      <c r="Q263">
        <v>24</v>
      </c>
      <c r="R263">
        <v>24</v>
      </c>
      <c r="U263">
        <v>0.99439999999999995</v>
      </c>
      <c r="V263">
        <v>1.0387</v>
      </c>
      <c r="W263">
        <v>1.0786</v>
      </c>
      <c r="X263">
        <v>1.0377000000000001</v>
      </c>
      <c r="Y263">
        <v>0.98229999999999995</v>
      </c>
      <c r="Z263">
        <v>0.91269999999999996</v>
      </c>
      <c r="AA263">
        <v>0.90629999999999999</v>
      </c>
      <c r="AB263">
        <v>0.92390000000000005</v>
      </c>
    </row>
    <row r="264" spans="1:28">
      <c r="A264" t="s">
        <v>101</v>
      </c>
      <c r="B264" t="s">
        <v>1188</v>
      </c>
      <c r="C264" t="s">
        <v>889</v>
      </c>
      <c r="D264" t="s">
        <v>365</v>
      </c>
      <c r="E264" t="s">
        <v>1193</v>
      </c>
      <c r="F264">
        <v>500</v>
      </c>
      <c r="H264" t="s">
        <v>811</v>
      </c>
      <c r="I264" t="s">
        <v>804</v>
      </c>
      <c r="J264" t="s">
        <v>1190</v>
      </c>
      <c r="K264" t="s">
        <v>176</v>
      </c>
      <c r="L264" t="s">
        <v>188</v>
      </c>
      <c r="M264" t="s">
        <v>188</v>
      </c>
      <c r="N264" t="s">
        <v>172</v>
      </c>
      <c r="O264" t="s">
        <v>185</v>
      </c>
      <c r="P264" t="s">
        <v>188</v>
      </c>
      <c r="Q264">
        <v>41.5</v>
      </c>
      <c r="R264">
        <v>56</v>
      </c>
      <c r="S264">
        <v>0.98570000000000002</v>
      </c>
      <c r="T264">
        <v>0.98650000000000004</v>
      </c>
      <c r="U264">
        <v>0.9859</v>
      </c>
      <c r="V264">
        <v>0.98629999999999995</v>
      </c>
      <c r="W264">
        <v>0.98419999999999996</v>
      </c>
      <c r="X264">
        <v>0.98560000000000003</v>
      </c>
      <c r="Y264">
        <v>0.9829</v>
      </c>
      <c r="Z264">
        <v>0.98199999999999998</v>
      </c>
      <c r="AA264">
        <v>0.98280000000000001</v>
      </c>
      <c r="AB264">
        <v>0.98270000000000002</v>
      </c>
    </row>
    <row r="265" spans="1:28">
      <c r="A265" t="s">
        <v>371</v>
      </c>
      <c r="B265" t="s">
        <v>1431</v>
      </c>
      <c r="D265" t="s">
        <v>370</v>
      </c>
      <c r="E265" t="s">
        <v>2840</v>
      </c>
      <c r="F265">
        <v>66</v>
      </c>
      <c r="H265" t="s">
        <v>811</v>
      </c>
      <c r="I265" t="s">
        <v>804</v>
      </c>
      <c r="J265" t="s">
        <v>1432</v>
      </c>
      <c r="K265" t="s">
        <v>227</v>
      </c>
      <c r="L265" t="s">
        <v>188</v>
      </c>
      <c r="M265" t="s">
        <v>188</v>
      </c>
      <c r="N265" t="s">
        <v>172</v>
      </c>
      <c r="O265" t="s">
        <v>179</v>
      </c>
      <c r="P265" t="s">
        <v>188</v>
      </c>
      <c r="Q265">
        <v>30</v>
      </c>
      <c r="R265">
        <v>30</v>
      </c>
    </row>
    <row r="266" spans="1:28">
      <c r="A266" t="s">
        <v>371</v>
      </c>
      <c r="B266" t="s">
        <v>1431</v>
      </c>
      <c r="D266" t="s">
        <v>372</v>
      </c>
      <c r="E266" t="s">
        <v>2840</v>
      </c>
      <c r="F266">
        <v>66</v>
      </c>
      <c r="H266" t="s">
        <v>811</v>
      </c>
      <c r="I266" t="s">
        <v>804</v>
      </c>
      <c r="J266" t="s">
        <v>1432</v>
      </c>
      <c r="K266" t="s">
        <v>227</v>
      </c>
      <c r="L266" t="s">
        <v>188</v>
      </c>
      <c r="M266" t="s">
        <v>188</v>
      </c>
      <c r="N266" t="s">
        <v>172</v>
      </c>
      <c r="O266" t="s">
        <v>179</v>
      </c>
      <c r="P266" t="s">
        <v>188</v>
      </c>
      <c r="Q266">
        <v>30</v>
      </c>
      <c r="R266">
        <v>30</v>
      </c>
    </row>
    <row r="267" spans="1:28">
      <c r="A267" t="s">
        <v>374</v>
      </c>
      <c r="B267" t="s">
        <v>373</v>
      </c>
      <c r="C267" t="s">
        <v>3361</v>
      </c>
      <c r="D267" t="s">
        <v>373</v>
      </c>
      <c r="E267" t="s">
        <v>2372</v>
      </c>
      <c r="F267">
        <v>66</v>
      </c>
      <c r="H267" t="s">
        <v>811</v>
      </c>
      <c r="I267" t="s">
        <v>804</v>
      </c>
      <c r="J267" t="s">
        <v>1433</v>
      </c>
      <c r="K267" t="s">
        <v>215</v>
      </c>
      <c r="L267" t="s">
        <v>170</v>
      </c>
      <c r="M267" t="s">
        <v>257</v>
      </c>
      <c r="N267" t="s">
        <v>172</v>
      </c>
      <c r="O267" t="s">
        <v>179</v>
      </c>
      <c r="P267" t="s">
        <v>170</v>
      </c>
      <c r="Q267">
        <v>32</v>
      </c>
      <c r="R267">
        <v>45</v>
      </c>
      <c r="S267">
        <v>1.0287999999999999</v>
      </c>
      <c r="T267">
        <v>1.0139</v>
      </c>
      <c r="U267">
        <v>1.0426</v>
      </c>
      <c r="V267">
        <v>1.0425</v>
      </c>
      <c r="W267">
        <v>1.0351999999999999</v>
      </c>
      <c r="X267">
        <v>1.0373000000000001</v>
      </c>
      <c r="Y267">
        <v>1.0122</v>
      </c>
      <c r="Z267">
        <v>0.98080000000000001</v>
      </c>
      <c r="AA267">
        <v>0.94510000000000005</v>
      </c>
      <c r="AB267">
        <v>0.93049999999999999</v>
      </c>
    </row>
    <row r="268" spans="1:28">
      <c r="A268" t="s">
        <v>500</v>
      </c>
      <c r="B268" t="s">
        <v>499</v>
      </c>
      <c r="C268" t="s">
        <v>3395</v>
      </c>
      <c r="D268" t="s">
        <v>499</v>
      </c>
      <c r="E268" t="s">
        <v>2862</v>
      </c>
      <c r="F268">
        <v>66</v>
      </c>
      <c r="H268" t="s">
        <v>811</v>
      </c>
      <c r="I268" t="s">
        <v>804</v>
      </c>
      <c r="J268" t="s">
        <v>1434</v>
      </c>
      <c r="K268" t="s">
        <v>215</v>
      </c>
      <c r="L268" t="s">
        <v>170</v>
      </c>
      <c r="M268" t="s">
        <v>257</v>
      </c>
      <c r="N268" t="s">
        <v>172</v>
      </c>
      <c r="O268" t="s">
        <v>271</v>
      </c>
      <c r="P268" t="s">
        <v>170</v>
      </c>
      <c r="Q268">
        <v>21</v>
      </c>
      <c r="R268">
        <v>21</v>
      </c>
      <c r="S268">
        <v>1.0965</v>
      </c>
      <c r="T268">
        <v>1.0793999999999999</v>
      </c>
      <c r="U268">
        <v>1.1206</v>
      </c>
      <c r="V268">
        <v>1.1317999999999999</v>
      </c>
      <c r="W268">
        <v>1.107</v>
      </c>
      <c r="X268">
        <v>1.089</v>
      </c>
      <c r="Y268">
        <v>1.0721000000000001</v>
      </c>
      <c r="Z268">
        <v>1.0364</v>
      </c>
      <c r="AA268">
        <v>0.9819</v>
      </c>
      <c r="AB268">
        <v>0.96220000000000006</v>
      </c>
    </row>
    <row r="269" spans="1:28">
      <c r="A269" t="s">
        <v>402</v>
      </c>
      <c r="B269" t="s">
        <v>1436</v>
      </c>
      <c r="C269" t="s">
        <v>3498</v>
      </c>
      <c r="D269" t="s">
        <v>401</v>
      </c>
      <c r="E269" t="s">
        <v>2912</v>
      </c>
      <c r="F269">
        <v>275</v>
      </c>
      <c r="H269" t="s">
        <v>811</v>
      </c>
      <c r="I269" t="s">
        <v>841</v>
      </c>
      <c r="J269" t="s">
        <v>1435</v>
      </c>
      <c r="K269" t="s">
        <v>166</v>
      </c>
      <c r="L269" t="s">
        <v>198</v>
      </c>
      <c r="M269" t="s">
        <v>198</v>
      </c>
      <c r="N269" t="s">
        <v>199</v>
      </c>
      <c r="O269" t="s">
        <v>200</v>
      </c>
      <c r="P269" t="s">
        <v>198</v>
      </c>
      <c r="Q269">
        <v>102.4</v>
      </c>
      <c r="R269">
        <v>102.4</v>
      </c>
      <c r="Y269">
        <v>0.99180000000000001</v>
      </c>
      <c r="Z269">
        <v>0.97989999999999999</v>
      </c>
      <c r="AA269">
        <v>0.97440000000000004</v>
      </c>
      <c r="AB269">
        <v>0.96879999999999999</v>
      </c>
    </row>
    <row r="270" spans="1:28">
      <c r="A270" t="s">
        <v>422</v>
      </c>
      <c r="B270" t="s">
        <v>421</v>
      </c>
      <c r="C270" t="s">
        <v>839</v>
      </c>
      <c r="D270" t="s">
        <v>421</v>
      </c>
      <c r="E270" t="s">
        <v>2853</v>
      </c>
      <c r="F270">
        <v>66</v>
      </c>
      <c r="H270" t="s">
        <v>811</v>
      </c>
      <c r="I270" t="s">
        <v>804</v>
      </c>
      <c r="J270" t="s">
        <v>1437</v>
      </c>
      <c r="K270" t="s">
        <v>215</v>
      </c>
      <c r="L270" t="s">
        <v>286</v>
      </c>
      <c r="M270" t="s">
        <v>287</v>
      </c>
      <c r="N270" t="s">
        <v>172</v>
      </c>
      <c r="O270" t="s">
        <v>195</v>
      </c>
      <c r="P270" t="s">
        <v>286</v>
      </c>
      <c r="Q270">
        <v>25</v>
      </c>
      <c r="R270">
        <v>25</v>
      </c>
      <c r="S270">
        <v>1.012</v>
      </c>
      <c r="T270">
        <v>1.0051000000000001</v>
      </c>
      <c r="U270">
        <v>1.0161</v>
      </c>
      <c r="V270">
        <v>1.012</v>
      </c>
      <c r="W270">
        <v>1.0125999999999999</v>
      </c>
      <c r="X270">
        <v>1.0106999999999999</v>
      </c>
      <c r="Y270">
        <v>1.0033000000000001</v>
      </c>
      <c r="Z270">
        <v>0.98699999999999999</v>
      </c>
      <c r="AA270">
        <v>0.97640000000000005</v>
      </c>
      <c r="AB270">
        <v>0.96850000000000003</v>
      </c>
    </row>
    <row r="271" spans="1:28">
      <c r="A271" t="s">
        <v>441</v>
      </c>
      <c r="B271" t="s">
        <v>1438</v>
      </c>
      <c r="C271" t="s">
        <v>1031</v>
      </c>
      <c r="D271" t="s">
        <v>440</v>
      </c>
      <c r="E271" t="s">
        <v>2623</v>
      </c>
      <c r="F271">
        <v>132</v>
      </c>
      <c r="H271" t="s">
        <v>811</v>
      </c>
      <c r="I271" t="s">
        <v>804</v>
      </c>
      <c r="J271" t="s">
        <v>1439</v>
      </c>
      <c r="K271" t="s">
        <v>176</v>
      </c>
      <c r="L271" t="s">
        <v>210</v>
      </c>
      <c r="M271" t="s">
        <v>211</v>
      </c>
      <c r="N271" t="s">
        <v>199</v>
      </c>
      <c r="O271" t="s">
        <v>212</v>
      </c>
      <c r="P271" t="s">
        <v>210</v>
      </c>
      <c r="Q271">
        <v>14</v>
      </c>
      <c r="R271">
        <v>14</v>
      </c>
      <c r="S271">
        <v>1.0339</v>
      </c>
      <c r="T271">
        <v>1.0392999999999999</v>
      </c>
      <c r="U271">
        <v>1.0209999999999999</v>
      </c>
      <c r="V271">
        <v>1.0137</v>
      </c>
      <c r="W271">
        <v>0.96660000000000001</v>
      </c>
      <c r="X271">
        <v>0.99099999999999999</v>
      </c>
      <c r="Y271">
        <v>1.0314000000000001</v>
      </c>
      <c r="Z271">
        <v>1.0748</v>
      </c>
      <c r="AA271">
        <v>1.0438000000000001</v>
      </c>
      <c r="AB271">
        <v>0.99409999999999998</v>
      </c>
    </row>
    <row r="272" spans="1:28">
      <c r="A272" t="s">
        <v>474</v>
      </c>
      <c r="B272" t="s">
        <v>1440</v>
      </c>
      <c r="C272" t="s">
        <v>932</v>
      </c>
      <c r="D272" t="s">
        <v>473</v>
      </c>
      <c r="E272" t="s">
        <v>933</v>
      </c>
      <c r="F272">
        <v>33</v>
      </c>
      <c r="G272" t="s">
        <v>823</v>
      </c>
      <c r="H272" t="s">
        <v>811</v>
      </c>
      <c r="I272" t="s">
        <v>804</v>
      </c>
      <c r="J272" t="s">
        <v>934</v>
      </c>
      <c r="K272" t="s">
        <v>166</v>
      </c>
      <c r="L272" t="s">
        <v>198</v>
      </c>
      <c r="M272" t="s">
        <v>198</v>
      </c>
      <c r="N272" t="s">
        <v>199</v>
      </c>
      <c r="O272" t="s">
        <v>200</v>
      </c>
      <c r="P272" t="s">
        <v>198</v>
      </c>
      <c r="Q272">
        <v>159</v>
      </c>
      <c r="R272">
        <v>159</v>
      </c>
      <c r="S272">
        <v>0.93879999999999997</v>
      </c>
      <c r="T272">
        <v>0.98680000000000001</v>
      </c>
      <c r="U272">
        <v>0.94040000000000001</v>
      </c>
      <c r="V272">
        <v>0.94259999999999999</v>
      </c>
      <c r="W272">
        <v>0.96650000000000003</v>
      </c>
      <c r="X272">
        <v>0.93520000000000003</v>
      </c>
      <c r="Y272">
        <v>0.87680000000000002</v>
      </c>
      <c r="Z272">
        <v>0.89059999999999995</v>
      </c>
      <c r="AA272">
        <v>0.91439999999999999</v>
      </c>
      <c r="AB272">
        <v>0.9597</v>
      </c>
    </row>
    <row r="273" spans="1:28">
      <c r="A273" t="s">
        <v>476</v>
      </c>
      <c r="B273" t="s">
        <v>1440</v>
      </c>
      <c r="C273" t="s">
        <v>932</v>
      </c>
      <c r="D273" t="s">
        <v>475</v>
      </c>
      <c r="E273" t="s">
        <v>933</v>
      </c>
      <c r="F273">
        <v>33</v>
      </c>
      <c r="G273" t="s">
        <v>823</v>
      </c>
      <c r="H273" t="s">
        <v>811</v>
      </c>
      <c r="I273" t="s">
        <v>804</v>
      </c>
      <c r="J273" t="s">
        <v>934</v>
      </c>
      <c r="K273" t="s">
        <v>166</v>
      </c>
      <c r="L273" t="s">
        <v>198</v>
      </c>
      <c r="M273" t="s">
        <v>198</v>
      </c>
      <c r="N273" t="s">
        <v>199</v>
      </c>
      <c r="O273" t="s">
        <v>200</v>
      </c>
      <c r="P273" t="s">
        <v>198</v>
      </c>
      <c r="Q273">
        <v>39</v>
      </c>
      <c r="R273">
        <v>39</v>
      </c>
      <c r="S273">
        <v>0.93879999999999997</v>
      </c>
      <c r="T273">
        <v>0.98680000000000001</v>
      </c>
      <c r="U273">
        <v>0.94040000000000001</v>
      </c>
      <c r="V273">
        <v>0.94259999999999999</v>
      </c>
      <c r="W273">
        <v>0.96650000000000003</v>
      </c>
      <c r="X273">
        <v>0.93520000000000003</v>
      </c>
      <c r="Y273">
        <v>0.87680000000000002</v>
      </c>
      <c r="Z273">
        <v>0.89059999999999995</v>
      </c>
      <c r="AA273">
        <v>0.91439999999999999</v>
      </c>
      <c r="AB273">
        <v>0.9597</v>
      </c>
    </row>
    <row r="274" spans="1:28">
      <c r="A274" t="s">
        <v>459</v>
      </c>
      <c r="B274" t="s">
        <v>1061</v>
      </c>
      <c r="C274" t="s">
        <v>1031</v>
      </c>
      <c r="D274" s="2" t="s">
        <v>477</v>
      </c>
      <c r="E274" t="s">
        <v>1062</v>
      </c>
      <c r="F274">
        <v>220</v>
      </c>
      <c r="G274" t="s">
        <v>830</v>
      </c>
      <c r="H274" t="s">
        <v>811</v>
      </c>
      <c r="I274" t="s">
        <v>812</v>
      </c>
      <c r="J274" t="s">
        <v>1063</v>
      </c>
      <c r="K274" t="s">
        <v>184</v>
      </c>
      <c r="L274" t="s">
        <v>170</v>
      </c>
      <c r="M274" t="s">
        <v>171</v>
      </c>
      <c r="N274" t="s">
        <v>172</v>
      </c>
      <c r="O274" t="s">
        <v>185</v>
      </c>
      <c r="P274" t="s">
        <v>170</v>
      </c>
      <c r="Q274">
        <v>156</v>
      </c>
      <c r="R274">
        <v>172</v>
      </c>
      <c r="Y274">
        <v>1.0009999999999999</v>
      </c>
      <c r="Z274">
        <v>1.0081</v>
      </c>
      <c r="AA274">
        <v>1.0018</v>
      </c>
      <c r="AB274">
        <v>0.99650000000000005</v>
      </c>
    </row>
    <row r="275" spans="1:28">
      <c r="A275" t="s">
        <v>459</v>
      </c>
      <c r="B275" t="s">
        <v>1061</v>
      </c>
      <c r="C275" t="s">
        <v>1031</v>
      </c>
      <c r="D275" s="2" t="s">
        <v>478</v>
      </c>
      <c r="E275" t="s">
        <v>1062</v>
      </c>
      <c r="F275">
        <v>220</v>
      </c>
      <c r="G275" t="s">
        <v>830</v>
      </c>
      <c r="H275" t="s">
        <v>811</v>
      </c>
      <c r="I275" t="s">
        <v>812</v>
      </c>
      <c r="J275" t="s">
        <v>1063</v>
      </c>
      <c r="K275" t="s">
        <v>184</v>
      </c>
      <c r="L275" t="s">
        <v>170</v>
      </c>
      <c r="M275" t="s">
        <v>171</v>
      </c>
      <c r="N275" t="s">
        <v>172</v>
      </c>
      <c r="O275" t="s">
        <v>185</v>
      </c>
      <c r="P275" t="s">
        <v>170</v>
      </c>
      <c r="Q275">
        <v>156</v>
      </c>
      <c r="R275">
        <v>172</v>
      </c>
      <c r="W275">
        <v>0.99719999999999998</v>
      </c>
      <c r="X275">
        <v>0.99850000000000005</v>
      </c>
      <c r="Y275">
        <v>1.0009999999999999</v>
      </c>
      <c r="Z275">
        <v>1.0081</v>
      </c>
      <c r="AA275">
        <v>1.0018</v>
      </c>
      <c r="AB275">
        <v>0.99650000000000005</v>
      </c>
    </row>
    <row r="276" spans="1:28">
      <c r="A276" t="s">
        <v>480</v>
      </c>
      <c r="B276" t="s">
        <v>479</v>
      </c>
      <c r="D276" t="s">
        <v>479</v>
      </c>
      <c r="E276" t="s">
        <v>2859</v>
      </c>
      <c r="F276">
        <v>66</v>
      </c>
      <c r="H276" t="s">
        <v>811</v>
      </c>
      <c r="I276" t="s">
        <v>804</v>
      </c>
      <c r="J276" t="s">
        <v>1441</v>
      </c>
      <c r="K276" t="s">
        <v>184</v>
      </c>
      <c r="L276" t="s">
        <v>170</v>
      </c>
      <c r="M276" t="s">
        <v>171</v>
      </c>
      <c r="N276" t="s">
        <v>172</v>
      </c>
      <c r="O276" t="s">
        <v>185</v>
      </c>
      <c r="P276" t="s">
        <v>170</v>
      </c>
      <c r="Q276">
        <v>44</v>
      </c>
      <c r="R276">
        <v>44.8</v>
      </c>
      <c r="S276">
        <v>0.97189999999999999</v>
      </c>
      <c r="T276">
        <v>0.97030000000000005</v>
      </c>
      <c r="U276">
        <v>0.97130000000000005</v>
      </c>
      <c r="V276">
        <v>0.97799999999999998</v>
      </c>
      <c r="W276">
        <v>0.97770000000000001</v>
      </c>
      <c r="X276">
        <v>0.97989999999999999</v>
      </c>
      <c r="Y276">
        <v>0.97589999999999999</v>
      </c>
      <c r="Z276">
        <v>0.98860000000000003</v>
      </c>
      <c r="AA276">
        <v>0.9879</v>
      </c>
      <c r="AB276">
        <v>0.99470000000000003</v>
      </c>
    </row>
    <row r="277" spans="1:28">
      <c r="A277" t="s">
        <v>482</v>
      </c>
      <c r="B277" t="s">
        <v>481</v>
      </c>
      <c r="C277" t="s">
        <v>1031</v>
      </c>
      <c r="D277" t="s">
        <v>481</v>
      </c>
      <c r="E277" t="s">
        <v>2859</v>
      </c>
      <c r="F277">
        <v>66</v>
      </c>
      <c r="H277" t="s">
        <v>811</v>
      </c>
      <c r="I277" t="s">
        <v>812</v>
      </c>
      <c r="J277" t="s">
        <v>1442</v>
      </c>
      <c r="K277" t="s">
        <v>166</v>
      </c>
      <c r="L277" t="s">
        <v>188</v>
      </c>
      <c r="M277" t="s">
        <v>188</v>
      </c>
      <c r="N277" t="s">
        <v>172</v>
      </c>
      <c r="O277" t="s">
        <v>179</v>
      </c>
      <c r="P277" t="s">
        <v>188</v>
      </c>
      <c r="Q277">
        <v>20</v>
      </c>
      <c r="R277">
        <v>21</v>
      </c>
      <c r="S277">
        <v>1.0089999999999999</v>
      </c>
      <c r="T277">
        <v>1.0115000000000001</v>
      </c>
      <c r="U277">
        <v>1.0092000000000001</v>
      </c>
      <c r="V277">
        <v>1.0084</v>
      </c>
      <c r="W277">
        <v>1.008</v>
      </c>
      <c r="X277">
        <v>1.0075000000000001</v>
      </c>
      <c r="Y277">
        <v>1.0051000000000001</v>
      </c>
      <c r="Z277">
        <v>1.0046999999999999</v>
      </c>
      <c r="AA277">
        <v>1.0067999999999999</v>
      </c>
      <c r="AB277">
        <v>1.0061</v>
      </c>
    </row>
    <row r="278" spans="1:28">
      <c r="A278" t="s">
        <v>487</v>
      </c>
      <c r="B278" t="s">
        <v>1443</v>
      </c>
      <c r="C278" t="s">
        <v>3372</v>
      </c>
      <c r="D278" t="s">
        <v>486</v>
      </c>
      <c r="E278" t="s">
        <v>2387</v>
      </c>
      <c r="F278">
        <v>132</v>
      </c>
      <c r="H278" t="s">
        <v>811</v>
      </c>
      <c r="I278" t="s">
        <v>804</v>
      </c>
      <c r="J278" t="s">
        <v>4304</v>
      </c>
      <c r="K278" t="s">
        <v>176</v>
      </c>
      <c r="L278" t="s">
        <v>170</v>
      </c>
      <c r="M278" t="s">
        <v>178</v>
      </c>
      <c r="N278" t="s">
        <v>172</v>
      </c>
      <c r="O278" t="s">
        <v>179</v>
      </c>
      <c r="P278" t="s">
        <v>170</v>
      </c>
      <c r="Q278">
        <v>13</v>
      </c>
      <c r="R278">
        <v>13</v>
      </c>
      <c r="S278">
        <v>1.0052000000000001</v>
      </c>
      <c r="T278">
        <v>1.0043</v>
      </c>
      <c r="U278">
        <v>1.0024</v>
      </c>
      <c r="V278">
        <v>1.0018</v>
      </c>
      <c r="W278">
        <v>1.0011000000000001</v>
      </c>
      <c r="X278">
        <v>1.0016</v>
      </c>
      <c r="Y278">
        <v>1.0028999999999999</v>
      </c>
      <c r="Z278">
        <v>1.0033000000000001</v>
      </c>
      <c r="AA278">
        <v>1.0036</v>
      </c>
      <c r="AB278">
        <v>1.0024</v>
      </c>
    </row>
    <row r="279" spans="1:28">
      <c r="A279" t="s">
        <v>504</v>
      </c>
      <c r="B279" t="s">
        <v>505</v>
      </c>
      <c r="D279" t="s">
        <v>503</v>
      </c>
      <c r="E279" t="s">
        <v>1039</v>
      </c>
      <c r="F279">
        <v>220</v>
      </c>
      <c r="H279" t="s">
        <v>811</v>
      </c>
      <c r="I279" t="s">
        <v>804</v>
      </c>
      <c r="J279" t="s">
        <v>1027</v>
      </c>
      <c r="K279" t="s">
        <v>227</v>
      </c>
      <c r="L279" t="s">
        <v>188</v>
      </c>
      <c r="M279" t="s">
        <v>188</v>
      </c>
      <c r="N279" t="s">
        <v>172</v>
      </c>
      <c r="O279" t="s">
        <v>179</v>
      </c>
      <c r="P279" t="s">
        <v>188</v>
      </c>
      <c r="Q279">
        <v>24</v>
      </c>
      <c r="R279">
        <v>24</v>
      </c>
    </row>
    <row r="280" spans="1:28">
      <c r="A280" t="s">
        <v>521</v>
      </c>
      <c r="B280" t="s">
        <v>520</v>
      </c>
      <c r="C280" t="s">
        <v>839</v>
      </c>
      <c r="D280" t="s">
        <v>520</v>
      </c>
      <c r="E280" t="s">
        <v>2391</v>
      </c>
      <c r="F280">
        <v>11</v>
      </c>
      <c r="H280" t="s">
        <v>811</v>
      </c>
      <c r="I280" t="s">
        <v>804</v>
      </c>
      <c r="J280" t="s">
        <v>1444</v>
      </c>
      <c r="K280" t="s">
        <v>215</v>
      </c>
      <c r="L280" t="s">
        <v>170</v>
      </c>
      <c r="M280" t="s">
        <v>257</v>
      </c>
      <c r="N280" t="s">
        <v>172</v>
      </c>
      <c r="O280" t="s">
        <v>179</v>
      </c>
      <c r="P280" t="s">
        <v>170</v>
      </c>
      <c r="Q280">
        <v>12.56</v>
      </c>
      <c r="R280">
        <v>13</v>
      </c>
      <c r="S280">
        <v>1.0914999999999999</v>
      </c>
      <c r="T280">
        <v>1.0716000000000001</v>
      </c>
      <c r="U280">
        <v>1.1112</v>
      </c>
      <c r="V280">
        <v>1.1234999999999999</v>
      </c>
      <c r="W280">
        <v>1.1000000000000001</v>
      </c>
      <c r="X280">
        <v>1.0824</v>
      </c>
      <c r="Y280">
        <v>1.0526</v>
      </c>
      <c r="Z280">
        <v>1.0441</v>
      </c>
      <c r="AA280">
        <v>0.98029999999999995</v>
      </c>
      <c r="AB280">
        <v>0.96160000000000001</v>
      </c>
    </row>
    <row r="281" spans="1:28">
      <c r="A281" t="s">
        <v>523</v>
      </c>
      <c r="B281" t="s">
        <v>1445</v>
      </c>
      <c r="C281" t="s">
        <v>3601</v>
      </c>
      <c r="D281" t="s">
        <v>522</v>
      </c>
      <c r="E281" t="s">
        <v>2633</v>
      </c>
      <c r="F281">
        <v>66</v>
      </c>
      <c r="H281" t="s">
        <v>811</v>
      </c>
      <c r="I281" t="s">
        <v>841</v>
      </c>
      <c r="J281" t="s">
        <v>1446</v>
      </c>
      <c r="K281" t="s">
        <v>215</v>
      </c>
      <c r="L281" t="s">
        <v>219</v>
      </c>
      <c r="M281" t="s">
        <v>219</v>
      </c>
      <c r="N281" t="s">
        <v>199</v>
      </c>
      <c r="O281" t="s">
        <v>268</v>
      </c>
      <c r="P281" t="s">
        <v>219</v>
      </c>
      <c r="Q281">
        <v>57</v>
      </c>
      <c r="R281">
        <v>56</v>
      </c>
      <c r="Y281">
        <v>0.94330000000000003</v>
      </c>
      <c r="Z281">
        <v>0.8911</v>
      </c>
      <c r="AA281">
        <v>0.89880000000000004</v>
      </c>
      <c r="AB281">
        <v>0.85499999999999998</v>
      </c>
    </row>
    <row r="282" spans="1:28">
      <c r="A282" t="s">
        <v>514</v>
      </c>
      <c r="B282" t="s">
        <v>513</v>
      </c>
      <c r="C282" t="s">
        <v>3621</v>
      </c>
      <c r="D282" t="s">
        <v>515</v>
      </c>
      <c r="E282" t="s">
        <v>3073</v>
      </c>
      <c r="F282">
        <v>22</v>
      </c>
      <c r="H282" t="s">
        <v>811</v>
      </c>
      <c r="I282" t="s">
        <v>804</v>
      </c>
      <c r="J282" t="s">
        <v>1447</v>
      </c>
      <c r="K282" t="s">
        <v>176</v>
      </c>
      <c r="L282" t="s">
        <v>219</v>
      </c>
      <c r="M282" t="s">
        <v>219</v>
      </c>
      <c r="N282" t="s">
        <v>199</v>
      </c>
      <c r="O282" t="s">
        <v>268</v>
      </c>
      <c r="P282" t="s">
        <v>219</v>
      </c>
      <c r="Q282">
        <v>12</v>
      </c>
      <c r="R282">
        <v>12</v>
      </c>
      <c r="Y282">
        <v>1.0095000000000001</v>
      </c>
      <c r="Z282">
        <v>1.0362</v>
      </c>
      <c r="AA282">
        <v>1.02</v>
      </c>
      <c r="AB282">
        <v>0.97109999999999996</v>
      </c>
    </row>
    <row r="283" spans="1:28">
      <c r="A283" t="s">
        <v>570</v>
      </c>
      <c r="B283" t="s">
        <v>569</v>
      </c>
      <c r="D283" t="s">
        <v>569</v>
      </c>
      <c r="E283" t="s">
        <v>2535</v>
      </c>
      <c r="F283">
        <v>66</v>
      </c>
      <c r="H283" t="s">
        <v>811</v>
      </c>
      <c r="I283" t="s">
        <v>804</v>
      </c>
      <c r="J283" t="s">
        <v>1448</v>
      </c>
      <c r="K283" t="s">
        <v>215</v>
      </c>
      <c r="L283" t="s">
        <v>286</v>
      </c>
      <c r="M283" t="s">
        <v>287</v>
      </c>
      <c r="N283" t="s">
        <v>172</v>
      </c>
      <c r="O283" t="s">
        <v>195</v>
      </c>
      <c r="P283" t="s">
        <v>286</v>
      </c>
      <c r="Q283">
        <v>63</v>
      </c>
      <c r="R283">
        <v>63</v>
      </c>
    </row>
    <row r="284" spans="1:28">
      <c r="A284" t="s">
        <v>578</v>
      </c>
      <c r="B284" t="s">
        <v>1449</v>
      </c>
      <c r="D284" t="s">
        <v>577</v>
      </c>
      <c r="E284" t="s">
        <v>829</v>
      </c>
      <c r="F284">
        <v>132</v>
      </c>
      <c r="H284" t="s">
        <v>811</v>
      </c>
      <c r="I284" t="s">
        <v>804</v>
      </c>
      <c r="J284" t="s">
        <v>4305</v>
      </c>
      <c r="K284" t="s">
        <v>227</v>
      </c>
      <c r="L284" t="s">
        <v>188</v>
      </c>
      <c r="M284" t="s">
        <v>188</v>
      </c>
      <c r="N284" t="s">
        <v>172</v>
      </c>
      <c r="O284" t="s">
        <v>179</v>
      </c>
      <c r="P284" t="s">
        <v>188</v>
      </c>
      <c r="Q284">
        <v>23</v>
      </c>
      <c r="R284">
        <v>23</v>
      </c>
    </row>
    <row r="285" spans="1:28">
      <c r="A285" t="s">
        <v>584</v>
      </c>
      <c r="B285" t="s">
        <v>1450</v>
      </c>
      <c r="C285" t="s">
        <v>1031</v>
      </c>
      <c r="D285" t="s">
        <v>583</v>
      </c>
      <c r="E285" t="s">
        <v>3000</v>
      </c>
      <c r="F285">
        <v>66</v>
      </c>
      <c r="H285" t="s">
        <v>811</v>
      </c>
      <c r="I285" t="s">
        <v>812</v>
      </c>
      <c r="J285" t="s">
        <v>1451</v>
      </c>
      <c r="K285" t="s">
        <v>166</v>
      </c>
      <c r="L285" t="s">
        <v>188</v>
      </c>
      <c r="M285" t="s">
        <v>188</v>
      </c>
      <c r="N285" t="s">
        <v>172</v>
      </c>
      <c r="O285" t="s">
        <v>179</v>
      </c>
      <c r="P285" t="s">
        <v>188</v>
      </c>
      <c r="Q285">
        <v>58</v>
      </c>
      <c r="R285">
        <v>65</v>
      </c>
      <c r="Y285">
        <v>1.0051000000000001</v>
      </c>
      <c r="Z285">
        <v>1.0046999999999999</v>
      </c>
      <c r="AA285">
        <v>1.0067999999999999</v>
      </c>
      <c r="AB285">
        <v>1.0061</v>
      </c>
    </row>
    <row r="286" spans="1:28">
      <c r="A286" t="s">
        <v>615</v>
      </c>
      <c r="B286" t="s">
        <v>614</v>
      </c>
      <c r="C286" t="s">
        <v>3676</v>
      </c>
      <c r="D286" t="s">
        <v>614</v>
      </c>
      <c r="E286" t="s">
        <v>2413</v>
      </c>
      <c r="F286">
        <v>110</v>
      </c>
      <c r="H286" t="s">
        <v>811</v>
      </c>
      <c r="I286" t="s">
        <v>804</v>
      </c>
      <c r="J286" t="s">
        <v>1452</v>
      </c>
      <c r="K286" t="s">
        <v>215</v>
      </c>
      <c r="L286" t="s">
        <v>286</v>
      </c>
      <c r="M286" t="s">
        <v>287</v>
      </c>
      <c r="N286" t="s">
        <v>172</v>
      </c>
      <c r="O286" t="s">
        <v>195</v>
      </c>
      <c r="P286" t="s">
        <v>286</v>
      </c>
      <c r="Q286">
        <v>30</v>
      </c>
      <c r="R286">
        <v>30</v>
      </c>
      <c r="S286">
        <v>1.0111000000000001</v>
      </c>
      <c r="T286">
        <v>1.0132000000000001</v>
      </c>
      <c r="U286">
        <v>1.0048999999999999</v>
      </c>
      <c r="V286">
        <v>1.0051000000000001</v>
      </c>
      <c r="W286">
        <v>1.0055000000000001</v>
      </c>
      <c r="X286">
        <v>1.0078</v>
      </c>
      <c r="Y286">
        <v>1.008</v>
      </c>
      <c r="Z286">
        <v>1.0112000000000001</v>
      </c>
      <c r="AA286">
        <v>1.0116000000000001</v>
      </c>
      <c r="AB286">
        <v>1.0126999999999999</v>
      </c>
    </row>
    <row r="287" spans="1:28">
      <c r="A287" t="s">
        <v>736</v>
      </c>
      <c r="B287" t="s">
        <v>1453</v>
      </c>
      <c r="C287" t="s">
        <v>3793</v>
      </c>
      <c r="D287" t="s">
        <v>735</v>
      </c>
      <c r="E287" t="s">
        <v>2797</v>
      </c>
      <c r="F287">
        <v>66</v>
      </c>
      <c r="H287" t="s">
        <v>811</v>
      </c>
      <c r="I287" t="s">
        <v>804</v>
      </c>
      <c r="J287" t="s">
        <v>1454</v>
      </c>
      <c r="K287" t="s">
        <v>215</v>
      </c>
      <c r="L287" t="s">
        <v>198</v>
      </c>
      <c r="M287" t="s">
        <v>198</v>
      </c>
      <c r="N287" t="s">
        <v>199</v>
      </c>
      <c r="O287" t="s">
        <v>200</v>
      </c>
      <c r="P287" t="s">
        <v>198</v>
      </c>
      <c r="Q287">
        <v>12</v>
      </c>
      <c r="R287">
        <v>12</v>
      </c>
      <c r="S287">
        <v>1.131</v>
      </c>
      <c r="T287">
        <v>1.1259999999999999</v>
      </c>
      <c r="U287">
        <v>1.1524000000000001</v>
      </c>
      <c r="V287">
        <v>1.137</v>
      </c>
      <c r="W287">
        <v>1.1355</v>
      </c>
      <c r="X287">
        <v>1.1136999999999999</v>
      </c>
      <c r="Y287">
        <v>1.1103000000000001</v>
      </c>
      <c r="Z287">
        <v>1.0876999999999999</v>
      </c>
      <c r="AA287">
        <v>0.99660000000000004</v>
      </c>
      <c r="AB287">
        <v>0.97889999999999999</v>
      </c>
    </row>
    <row r="288" spans="1:28">
      <c r="A288" t="s">
        <v>755</v>
      </c>
      <c r="B288" t="s">
        <v>754</v>
      </c>
      <c r="C288" t="s">
        <v>3670</v>
      </c>
      <c r="D288" t="s">
        <v>754</v>
      </c>
      <c r="E288" t="s">
        <v>2678</v>
      </c>
      <c r="F288">
        <v>132</v>
      </c>
      <c r="H288" t="s">
        <v>811</v>
      </c>
      <c r="I288" t="s">
        <v>804</v>
      </c>
      <c r="J288" t="s">
        <v>1455</v>
      </c>
      <c r="K288" t="s">
        <v>184</v>
      </c>
      <c r="L288" t="s">
        <v>198</v>
      </c>
      <c r="M288" t="s">
        <v>198</v>
      </c>
      <c r="N288" t="s">
        <v>199</v>
      </c>
      <c r="O288" t="s">
        <v>200</v>
      </c>
      <c r="P288" t="s">
        <v>198</v>
      </c>
      <c r="Q288">
        <v>12</v>
      </c>
      <c r="R288">
        <v>12</v>
      </c>
      <c r="S288">
        <v>0.97189999999999999</v>
      </c>
      <c r="T288">
        <v>0.97030000000000005</v>
      </c>
      <c r="U288">
        <v>0.97130000000000005</v>
      </c>
      <c r="V288">
        <v>0.97799999999999998</v>
      </c>
      <c r="W288">
        <v>0.97770000000000001</v>
      </c>
      <c r="X288">
        <v>0.97989999999999999</v>
      </c>
      <c r="Y288">
        <v>0.97589999999999999</v>
      </c>
      <c r="Z288">
        <v>0.98860000000000003</v>
      </c>
      <c r="AA288">
        <v>0.9879</v>
      </c>
      <c r="AB288">
        <v>0.99470000000000003</v>
      </c>
    </row>
    <row r="289" spans="1:28">
      <c r="A289" t="s">
        <v>765</v>
      </c>
      <c r="B289" t="s">
        <v>764</v>
      </c>
      <c r="C289" t="s">
        <v>3507</v>
      </c>
      <c r="D289" t="s">
        <v>764</v>
      </c>
      <c r="E289" t="s">
        <v>2682</v>
      </c>
      <c r="F289">
        <v>66</v>
      </c>
      <c r="H289" t="s">
        <v>811</v>
      </c>
      <c r="I289" t="s">
        <v>804</v>
      </c>
      <c r="J289" t="s">
        <v>1456</v>
      </c>
      <c r="K289" t="s">
        <v>176</v>
      </c>
      <c r="L289" t="s">
        <v>210</v>
      </c>
      <c r="M289" t="s">
        <v>211</v>
      </c>
      <c r="N289" t="s">
        <v>199</v>
      </c>
      <c r="O289" t="s">
        <v>212</v>
      </c>
      <c r="P289" t="s">
        <v>210</v>
      </c>
      <c r="Q289">
        <v>20</v>
      </c>
      <c r="R289">
        <v>20</v>
      </c>
      <c r="S289">
        <v>1.0336000000000001</v>
      </c>
      <c r="T289">
        <v>1.0241</v>
      </c>
      <c r="U289">
        <v>1.0150999999999999</v>
      </c>
      <c r="V289">
        <v>1.0257000000000001</v>
      </c>
      <c r="W289">
        <v>1.004</v>
      </c>
      <c r="X289">
        <v>1.0099</v>
      </c>
      <c r="Y289">
        <v>1.0355000000000001</v>
      </c>
      <c r="Z289">
        <v>1.0435000000000001</v>
      </c>
      <c r="AA289">
        <v>1.0410999999999999</v>
      </c>
      <c r="AB289">
        <v>1.0357000000000001</v>
      </c>
    </row>
    <row r="290" spans="1:28" s="5" customFormat="1">
      <c r="A290" s="4" t="s">
        <v>2247</v>
      </c>
      <c r="B290" s="5" t="s">
        <v>2249</v>
      </c>
      <c r="D290" s="4" t="s">
        <v>2249</v>
      </c>
      <c r="E290" s="5" t="s">
        <v>2715</v>
      </c>
      <c r="F290" s="5">
        <v>220</v>
      </c>
      <c r="J290" s="5" t="s">
        <v>3797</v>
      </c>
      <c r="K290" s="5" t="s">
        <v>215</v>
      </c>
      <c r="L290" s="5" t="s">
        <v>219</v>
      </c>
      <c r="M290" s="5" t="s">
        <v>219</v>
      </c>
      <c r="N290" s="5" t="s">
        <v>199</v>
      </c>
      <c r="O290" s="5" t="s">
        <v>268</v>
      </c>
      <c r="P290" t="s">
        <v>219</v>
      </c>
      <c r="Q290" s="5">
        <v>42.5</v>
      </c>
      <c r="R290" s="5">
        <v>42.5</v>
      </c>
      <c r="S290"/>
      <c r="T290"/>
      <c r="U290"/>
      <c r="V290"/>
      <c r="W290"/>
      <c r="X290"/>
      <c r="Y290"/>
      <c r="Z290"/>
      <c r="AA290" s="5">
        <v>0.87190000000000001</v>
      </c>
      <c r="AB290" s="5">
        <v>0.84209999999999996</v>
      </c>
    </row>
    <row r="291" spans="1:28">
      <c r="A291" t="s">
        <v>3732</v>
      </c>
      <c r="B291" t="s">
        <v>2570</v>
      </c>
      <c r="C291" t="s">
        <v>1297</v>
      </c>
      <c r="D291" t="s">
        <v>2570</v>
      </c>
      <c r="E291" t="s">
        <v>2571</v>
      </c>
      <c r="F291">
        <v>66</v>
      </c>
      <c r="H291" t="s">
        <v>811</v>
      </c>
      <c r="I291" t="s">
        <v>804</v>
      </c>
      <c r="J291" t="s">
        <v>3802</v>
      </c>
      <c r="K291" t="s">
        <v>176</v>
      </c>
      <c r="L291" t="s">
        <v>3102</v>
      </c>
      <c r="M291" t="s">
        <v>3348</v>
      </c>
      <c r="N291" t="s">
        <v>172</v>
      </c>
      <c r="O291" t="s">
        <v>254</v>
      </c>
      <c r="P291" t="s">
        <v>170</v>
      </c>
      <c r="Q291">
        <v>55.6</v>
      </c>
      <c r="R291">
        <v>55</v>
      </c>
      <c r="Y291">
        <v>0.99860000000000004</v>
      </c>
      <c r="Z291">
        <v>1</v>
      </c>
      <c r="AA291">
        <v>1.0009999999999999</v>
      </c>
      <c r="AB291">
        <v>0.99670000000000003</v>
      </c>
    </row>
    <row r="292" spans="1:28">
      <c r="A292" t="s">
        <v>3084</v>
      </c>
      <c r="B292" t="s">
        <v>3803</v>
      </c>
      <c r="C292" t="s">
        <v>3327</v>
      </c>
      <c r="D292" t="s">
        <v>2258</v>
      </c>
      <c r="E292" t="s">
        <v>2908</v>
      </c>
      <c r="F292">
        <v>33</v>
      </c>
      <c r="H292" t="s">
        <v>811</v>
      </c>
      <c r="I292" t="s">
        <v>841</v>
      </c>
      <c r="J292" t="s">
        <v>3804</v>
      </c>
      <c r="K292" t="s">
        <v>215</v>
      </c>
      <c r="L292" t="s">
        <v>219</v>
      </c>
      <c r="M292" t="s">
        <v>219</v>
      </c>
      <c r="N292" t="s">
        <v>199</v>
      </c>
      <c r="O292" t="s">
        <v>3244</v>
      </c>
      <c r="P292" t="s">
        <v>219</v>
      </c>
      <c r="Q292">
        <v>79.75</v>
      </c>
      <c r="R292">
        <v>71.34</v>
      </c>
      <c r="AA292">
        <v>0.88360000000000005</v>
      </c>
      <c r="AB292">
        <v>0.82709999999999995</v>
      </c>
    </row>
    <row r="293" spans="1:28">
      <c r="A293" t="s">
        <v>3084</v>
      </c>
      <c r="B293" t="s">
        <v>3803</v>
      </c>
      <c r="C293" t="s">
        <v>3327</v>
      </c>
      <c r="D293" t="s">
        <v>3331</v>
      </c>
      <c r="E293" t="s">
        <v>2908</v>
      </c>
      <c r="F293">
        <v>33</v>
      </c>
      <c r="H293" t="s">
        <v>811</v>
      </c>
      <c r="I293" t="s">
        <v>841</v>
      </c>
      <c r="J293" t="s">
        <v>3805</v>
      </c>
      <c r="K293" t="s">
        <v>215</v>
      </c>
      <c r="L293" t="s">
        <v>219</v>
      </c>
      <c r="M293" t="s">
        <v>219</v>
      </c>
      <c r="N293" t="s">
        <v>199</v>
      </c>
      <c r="O293" t="s">
        <v>3244</v>
      </c>
      <c r="P293" t="s">
        <v>219</v>
      </c>
      <c r="Q293">
        <v>88</v>
      </c>
      <c r="R293">
        <v>78.72</v>
      </c>
      <c r="AA293">
        <v>0.88360000000000005</v>
      </c>
      <c r="AB293">
        <v>0.82709999999999995</v>
      </c>
    </row>
    <row r="294" spans="1:28">
      <c r="A294" t="s">
        <v>3334</v>
      </c>
      <c r="B294" t="s">
        <v>3806</v>
      </c>
      <c r="C294" t="s">
        <v>3333</v>
      </c>
      <c r="D294" t="s">
        <v>2355</v>
      </c>
      <c r="E294" t="s">
        <v>2574</v>
      </c>
      <c r="F294">
        <v>132</v>
      </c>
      <c r="H294" t="s">
        <v>811</v>
      </c>
      <c r="I294" t="s">
        <v>804</v>
      </c>
      <c r="J294" t="s">
        <v>3807</v>
      </c>
      <c r="K294" t="s">
        <v>215</v>
      </c>
      <c r="L294" t="s">
        <v>219</v>
      </c>
      <c r="M294" t="s">
        <v>219</v>
      </c>
      <c r="N294" t="s">
        <v>199</v>
      </c>
      <c r="O294" t="s">
        <v>3244</v>
      </c>
      <c r="P294" t="s">
        <v>219</v>
      </c>
      <c r="Q294">
        <v>17</v>
      </c>
      <c r="R294">
        <v>14</v>
      </c>
      <c r="AA294">
        <v>0.98340000000000005</v>
      </c>
      <c r="AB294">
        <v>0.9788</v>
      </c>
    </row>
    <row r="295" spans="1:28">
      <c r="A295" t="s">
        <v>3410</v>
      </c>
      <c r="B295" t="s">
        <v>3808</v>
      </c>
      <c r="C295" t="s">
        <v>843</v>
      </c>
      <c r="D295" t="s">
        <v>2695</v>
      </c>
      <c r="E295" t="s">
        <v>2574</v>
      </c>
      <c r="F295">
        <v>132</v>
      </c>
      <c r="H295" t="s">
        <v>811</v>
      </c>
      <c r="I295" t="s">
        <v>812</v>
      </c>
      <c r="J295" t="s">
        <v>3809</v>
      </c>
      <c r="K295" t="s">
        <v>184</v>
      </c>
      <c r="L295" t="s">
        <v>3411</v>
      </c>
      <c r="M295" t="s">
        <v>3414</v>
      </c>
      <c r="N295" t="s">
        <v>3413</v>
      </c>
      <c r="O295" t="s">
        <v>3414</v>
      </c>
      <c r="P295" t="s">
        <v>3414</v>
      </c>
      <c r="Q295">
        <v>30</v>
      </c>
      <c r="R295">
        <v>30</v>
      </c>
      <c r="AA295">
        <v>0.99480000000000002</v>
      </c>
      <c r="AB295">
        <v>0.95940000000000003</v>
      </c>
    </row>
    <row r="296" spans="1:28">
      <c r="A296" t="s">
        <v>3243</v>
      </c>
      <c r="B296" t="s">
        <v>3810</v>
      </c>
      <c r="C296" t="s">
        <v>1123</v>
      </c>
      <c r="D296" t="s">
        <v>2704</v>
      </c>
      <c r="E296" t="s">
        <v>2574</v>
      </c>
      <c r="F296">
        <v>132</v>
      </c>
      <c r="H296" t="s">
        <v>811</v>
      </c>
      <c r="I296" t="s">
        <v>841</v>
      </c>
      <c r="J296" t="s">
        <v>3811</v>
      </c>
      <c r="K296" t="s">
        <v>184</v>
      </c>
      <c r="L296" t="s">
        <v>219</v>
      </c>
      <c r="M296" t="s">
        <v>219</v>
      </c>
      <c r="N296" t="s">
        <v>199</v>
      </c>
      <c r="O296" t="s">
        <v>3244</v>
      </c>
      <c r="P296" t="s">
        <v>219</v>
      </c>
      <c r="Q296">
        <v>100</v>
      </c>
      <c r="R296">
        <v>88</v>
      </c>
      <c r="AA296">
        <v>0.92620000000000002</v>
      </c>
      <c r="AB296">
        <v>0.80840000000000001</v>
      </c>
    </row>
    <row r="297" spans="1:28">
      <c r="A297" t="s">
        <v>1651</v>
      </c>
      <c r="B297" t="s">
        <v>3812</v>
      </c>
      <c r="C297" t="s">
        <v>3273</v>
      </c>
      <c r="D297" t="s">
        <v>2453</v>
      </c>
      <c r="E297" t="s">
        <v>2454</v>
      </c>
      <c r="F297">
        <v>132</v>
      </c>
      <c r="H297" t="s">
        <v>811</v>
      </c>
      <c r="I297" t="s">
        <v>841</v>
      </c>
      <c r="J297" t="s">
        <v>3813</v>
      </c>
      <c r="K297" t="s">
        <v>176</v>
      </c>
      <c r="L297" t="s">
        <v>198</v>
      </c>
      <c r="M297" t="s">
        <v>198</v>
      </c>
      <c r="N297" t="s">
        <v>199</v>
      </c>
      <c r="O297" t="s">
        <v>200</v>
      </c>
      <c r="P297" t="s">
        <v>198</v>
      </c>
      <c r="Q297">
        <v>113.19</v>
      </c>
      <c r="R297">
        <v>111</v>
      </c>
      <c r="AA297">
        <v>0.9819</v>
      </c>
      <c r="AB297">
        <v>0.96260000000000001</v>
      </c>
    </row>
    <row r="298" spans="1:28">
      <c r="A298" t="s">
        <v>3800</v>
      </c>
      <c r="B298" t="s">
        <v>3799</v>
      </c>
      <c r="C298" t="s">
        <v>1254</v>
      </c>
      <c r="D298" t="s">
        <v>2891</v>
      </c>
      <c r="E298" t="s">
        <v>1261</v>
      </c>
      <c r="F298">
        <v>132</v>
      </c>
      <c r="H298" t="s">
        <v>811</v>
      </c>
      <c r="I298" t="s">
        <v>841</v>
      </c>
      <c r="J298" t="s">
        <v>3814</v>
      </c>
      <c r="K298" t="s">
        <v>166</v>
      </c>
      <c r="L298" t="s">
        <v>219</v>
      </c>
      <c r="M298" t="s">
        <v>219</v>
      </c>
      <c r="N298" t="s">
        <v>199</v>
      </c>
      <c r="O298" t="s">
        <v>3244</v>
      </c>
      <c r="P298" t="s">
        <v>219</v>
      </c>
      <c r="Q298">
        <v>135</v>
      </c>
      <c r="R298">
        <v>110</v>
      </c>
      <c r="AA298">
        <v>0.97</v>
      </c>
      <c r="AB298">
        <v>0.96899999999999997</v>
      </c>
    </row>
    <row r="299" spans="1:28">
      <c r="A299" t="s">
        <v>3800</v>
      </c>
      <c r="B299" t="s">
        <v>3799</v>
      </c>
      <c r="C299" t="s">
        <v>1254</v>
      </c>
      <c r="D299" t="s">
        <v>2895</v>
      </c>
      <c r="E299" t="s">
        <v>1261</v>
      </c>
      <c r="F299">
        <v>132</v>
      </c>
      <c r="H299" t="s">
        <v>811</v>
      </c>
      <c r="I299" t="s">
        <v>841</v>
      </c>
      <c r="J299" t="s">
        <v>3814</v>
      </c>
      <c r="K299" t="s">
        <v>166</v>
      </c>
      <c r="L299" t="s">
        <v>219</v>
      </c>
      <c r="M299" t="s">
        <v>219</v>
      </c>
      <c r="N299" t="s">
        <v>199</v>
      </c>
      <c r="O299" t="s">
        <v>3244</v>
      </c>
      <c r="P299" t="s">
        <v>219</v>
      </c>
      <c r="Q299">
        <v>135</v>
      </c>
      <c r="R299">
        <v>110</v>
      </c>
      <c r="AA299">
        <v>0.97</v>
      </c>
      <c r="AB299">
        <v>0.96899999999999997</v>
      </c>
    </row>
    <row r="300" spans="1:28">
      <c r="A300" t="s">
        <v>2361</v>
      </c>
      <c r="B300" t="s">
        <v>3815</v>
      </c>
      <c r="C300" t="s">
        <v>3291</v>
      </c>
      <c r="D300" t="s">
        <v>2362</v>
      </c>
      <c r="E300" t="s">
        <v>1199</v>
      </c>
      <c r="F300">
        <v>330</v>
      </c>
      <c r="H300" t="s">
        <v>811</v>
      </c>
      <c r="I300" t="s">
        <v>841</v>
      </c>
      <c r="J300" t="s">
        <v>3816</v>
      </c>
      <c r="K300" t="s">
        <v>215</v>
      </c>
      <c r="L300" t="s">
        <v>219</v>
      </c>
      <c r="M300" t="s">
        <v>219</v>
      </c>
      <c r="N300" t="s">
        <v>199</v>
      </c>
      <c r="O300" t="s">
        <v>3244</v>
      </c>
      <c r="P300" t="s">
        <v>219</v>
      </c>
      <c r="Q300">
        <v>64.38</v>
      </c>
      <c r="R300">
        <v>56</v>
      </c>
      <c r="AA300">
        <v>0.95109999999999995</v>
      </c>
      <c r="AB300">
        <v>0.9486</v>
      </c>
    </row>
    <row r="301" spans="1:28">
      <c r="A301" t="s">
        <v>2243</v>
      </c>
      <c r="B301" t="s">
        <v>3817</v>
      </c>
      <c r="C301" t="s">
        <v>3293</v>
      </c>
      <c r="D301" t="s">
        <v>2244</v>
      </c>
      <c r="E301" t="s">
        <v>1199</v>
      </c>
      <c r="F301">
        <v>330</v>
      </c>
      <c r="H301" t="s">
        <v>811</v>
      </c>
      <c r="I301" t="s">
        <v>841</v>
      </c>
      <c r="J301" t="s">
        <v>3818</v>
      </c>
      <c r="K301" t="s">
        <v>215</v>
      </c>
      <c r="L301" t="s">
        <v>219</v>
      </c>
      <c r="M301" t="s">
        <v>219</v>
      </c>
      <c r="N301" t="s">
        <v>199</v>
      </c>
      <c r="O301" t="s">
        <v>3244</v>
      </c>
      <c r="P301" t="s">
        <v>219</v>
      </c>
      <c r="Q301">
        <v>110.262</v>
      </c>
      <c r="R301">
        <v>100</v>
      </c>
      <c r="AA301">
        <v>0.87270000000000003</v>
      </c>
      <c r="AB301">
        <v>0.83950000000000002</v>
      </c>
    </row>
    <row r="302" spans="1:28">
      <c r="A302" t="s">
        <v>3300</v>
      </c>
      <c r="B302" t="s">
        <v>3819</v>
      </c>
      <c r="C302" t="s">
        <v>3299</v>
      </c>
      <c r="D302" t="s">
        <v>2464</v>
      </c>
      <c r="E302" t="s">
        <v>1199</v>
      </c>
      <c r="F302">
        <v>330</v>
      </c>
      <c r="H302" t="s">
        <v>811</v>
      </c>
      <c r="I302" t="s">
        <v>841</v>
      </c>
      <c r="J302" t="s">
        <v>3820</v>
      </c>
      <c r="K302" t="s">
        <v>176</v>
      </c>
      <c r="L302" t="s">
        <v>219</v>
      </c>
      <c r="M302" t="s">
        <v>219</v>
      </c>
      <c r="N302" t="s">
        <v>199</v>
      </c>
      <c r="O302" t="s">
        <v>3244</v>
      </c>
      <c r="P302" t="s">
        <v>219</v>
      </c>
      <c r="Q302">
        <v>180</v>
      </c>
      <c r="R302">
        <v>150</v>
      </c>
      <c r="AA302">
        <v>1.0019</v>
      </c>
      <c r="AB302">
        <v>0.88560000000000005</v>
      </c>
    </row>
    <row r="303" spans="1:28">
      <c r="A303" t="s">
        <v>2472</v>
      </c>
      <c r="B303" t="s">
        <v>3821</v>
      </c>
      <c r="C303" t="s">
        <v>3304</v>
      </c>
      <c r="D303" t="s">
        <v>2473</v>
      </c>
      <c r="E303" t="s">
        <v>2474</v>
      </c>
      <c r="F303">
        <v>330</v>
      </c>
      <c r="H303" t="s">
        <v>811</v>
      </c>
      <c r="I303" t="s">
        <v>841</v>
      </c>
      <c r="J303" t="s">
        <v>3822</v>
      </c>
      <c r="K303" t="s">
        <v>176</v>
      </c>
      <c r="L303" t="s">
        <v>198</v>
      </c>
      <c r="M303" t="s">
        <v>198</v>
      </c>
      <c r="N303" t="s">
        <v>199</v>
      </c>
      <c r="O303" t="s">
        <v>200</v>
      </c>
      <c r="P303" t="s">
        <v>198</v>
      </c>
      <c r="Q303">
        <v>96.04</v>
      </c>
      <c r="R303">
        <v>91</v>
      </c>
      <c r="AA303">
        <v>0.99629999999999996</v>
      </c>
      <c r="AB303">
        <v>0.97699999999999998</v>
      </c>
    </row>
    <row r="304" spans="1:28">
      <c r="A304" t="s">
        <v>2713</v>
      </c>
      <c r="B304" t="s">
        <v>3823</v>
      </c>
      <c r="C304" t="s">
        <v>3650</v>
      </c>
      <c r="D304" t="s">
        <v>2714</v>
      </c>
      <c r="E304" t="s">
        <v>2715</v>
      </c>
      <c r="F304">
        <v>220</v>
      </c>
      <c r="H304" t="s">
        <v>811</v>
      </c>
      <c r="I304" t="s">
        <v>841</v>
      </c>
      <c r="J304" t="s">
        <v>3824</v>
      </c>
      <c r="K304" t="s">
        <v>184</v>
      </c>
      <c r="L304" t="s">
        <v>198</v>
      </c>
      <c r="M304" t="s">
        <v>198</v>
      </c>
      <c r="N304" t="s">
        <v>199</v>
      </c>
      <c r="O304" t="s">
        <v>200</v>
      </c>
      <c r="P304" t="s">
        <v>198</v>
      </c>
      <c r="Q304">
        <v>79.95</v>
      </c>
      <c r="R304">
        <v>79</v>
      </c>
      <c r="AA304">
        <v>0.98029999999999995</v>
      </c>
      <c r="AB304">
        <v>0.91269999999999996</v>
      </c>
    </row>
    <row r="305" spans="1:28">
      <c r="A305" t="s">
        <v>3467</v>
      </c>
      <c r="B305" t="s">
        <v>3825</v>
      </c>
      <c r="C305" t="s">
        <v>3466</v>
      </c>
      <c r="D305" t="s">
        <v>2903</v>
      </c>
      <c r="E305" t="s">
        <v>2904</v>
      </c>
      <c r="F305">
        <v>33</v>
      </c>
      <c r="H305" t="s">
        <v>811</v>
      </c>
      <c r="I305" t="s">
        <v>812</v>
      </c>
      <c r="J305" t="s">
        <v>3826</v>
      </c>
      <c r="K305" t="s">
        <v>166</v>
      </c>
      <c r="L305" t="s">
        <v>3411</v>
      </c>
      <c r="M305" t="s">
        <v>3414</v>
      </c>
      <c r="N305" t="s">
        <v>3413</v>
      </c>
      <c r="O305" t="s">
        <v>3414</v>
      </c>
      <c r="P305" t="s">
        <v>3414</v>
      </c>
      <c r="Q305">
        <v>30</v>
      </c>
      <c r="R305">
        <v>30</v>
      </c>
      <c r="AA305">
        <v>0.88800000000000001</v>
      </c>
      <c r="AB305">
        <v>0.90310000000000001</v>
      </c>
    </row>
    <row r="306" spans="1:28">
      <c r="A306" t="s">
        <v>1461</v>
      </c>
      <c r="B306" t="s">
        <v>3827</v>
      </c>
      <c r="C306" t="s">
        <v>3323</v>
      </c>
      <c r="D306" t="s">
        <v>2255</v>
      </c>
      <c r="E306" t="s">
        <v>2256</v>
      </c>
      <c r="F306">
        <v>275</v>
      </c>
      <c r="H306" t="s">
        <v>811</v>
      </c>
      <c r="I306" t="s">
        <v>841</v>
      </c>
      <c r="J306" t="s">
        <v>3828</v>
      </c>
      <c r="K306" t="s">
        <v>215</v>
      </c>
      <c r="L306" t="s">
        <v>219</v>
      </c>
      <c r="M306" t="s">
        <v>3325</v>
      </c>
      <c r="N306" t="s">
        <v>199</v>
      </c>
      <c r="O306" t="s">
        <v>268</v>
      </c>
      <c r="P306" t="s">
        <v>219</v>
      </c>
      <c r="Q306">
        <v>121</v>
      </c>
      <c r="R306">
        <v>108</v>
      </c>
      <c r="AA306">
        <v>0.98119999999999996</v>
      </c>
      <c r="AB306">
        <v>0.98199999999999998</v>
      </c>
    </row>
    <row r="307" spans="1:28">
      <c r="A307" t="s">
        <v>3764</v>
      </c>
      <c r="B307" t="s">
        <v>3829</v>
      </c>
      <c r="C307" t="s">
        <v>3763</v>
      </c>
      <c r="D307" t="s">
        <v>2368</v>
      </c>
      <c r="E307" t="s">
        <v>2369</v>
      </c>
      <c r="F307">
        <v>66</v>
      </c>
      <c r="H307" t="s">
        <v>811</v>
      </c>
      <c r="I307" t="s">
        <v>841</v>
      </c>
      <c r="J307" t="s">
        <v>3830</v>
      </c>
      <c r="K307" t="s">
        <v>215</v>
      </c>
      <c r="L307" t="s">
        <v>219</v>
      </c>
      <c r="M307" t="s">
        <v>219</v>
      </c>
      <c r="N307" t="s">
        <v>199</v>
      </c>
      <c r="O307" t="s">
        <v>3244</v>
      </c>
      <c r="P307" t="s">
        <v>219</v>
      </c>
      <c r="Q307">
        <v>88</v>
      </c>
      <c r="R307">
        <v>72</v>
      </c>
      <c r="AA307">
        <v>0.87780000000000002</v>
      </c>
      <c r="AB307">
        <v>0.8659</v>
      </c>
    </row>
    <row r="308" spans="1:28">
      <c r="A308" t="s">
        <v>3416</v>
      </c>
      <c r="B308" t="s">
        <v>3831</v>
      </c>
      <c r="C308" t="s">
        <v>843</v>
      </c>
      <c r="D308" t="s">
        <v>2722</v>
      </c>
      <c r="E308" t="s">
        <v>2723</v>
      </c>
      <c r="F308">
        <v>66</v>
      </c>
      <c r="H308" t="s">
        <v>811</v>
      </c>
      <c r="I308" t="s">
        <v>812</v>
      </c>
      <c r="J308" t="s">
        <v>3832</v>
      </c>
      <c r="K308" t="s">
        <v>184</v>
      </c>
      <c r="L308" t="s">
        <v>3411</v>
      </c>
      <c r="M308" t="s">
        <v>3414</v>
      </c>
      <c r="N308" t="s">
        <v>3413</v>
      </c>
      <c r="O308" t="s">
        <v>3414</v>
      </c>
      <c r="P308" t="s">
        <v>3414</v>
      </c>
      <c r="Q308">
        <v>30.875</v>
      </c>
      <c r="R308">
        <v>25</v>
      </c>
      <c r="AA308">
        <v>1.0069999999999999</v>
      </c>
      <c r="AB308">
        <v>0.95569999999999999</v>
      </c>
    </row>
    <row r="309" spans="1:28">
      <c r="A309" t="s">
        <v>2838</v>
      </c>
      <c r="B309" t="s">
        <v>3833</v>
      </c>
      <c r="C309" t="s">
        <v>3462</v>
      </c>
      <c r="D309" t="s">
        <v>2839</v>
      </c>
      <c r="E309" t="s">
        <v>2840</v>
      </c>
      <c r="F309">
        <v>66</v>
      </c>
      <c r="H309" t="s">
        <v>811</v>
      </c>
      <c r="I309" t="s">
        <v>841</v>
      </c>
      <c r="J309" t="s">
        <v>3832</v>
      </c>
      <c r="K309" t="s">
        <v>184</v>
      </c>
      <c r="L309" t="s">
        <v>219</v>
      </c>
      <c r="M309" t="s">
        <v>219</v>
      </c>
      <c r="N309" t="s">
        <v>199</v>
      </c>
      <c r="O309" t="s">
        <v>3244</v>
      </c>
      <c r="P309" t="s">
        <v>219</v>
      </c>
      <c r="Q309">
        <v>55</v>
      </c>
      <c r="R309">
        <v>50</v>
      </c>
      <c r="AA309">
        <v>0.97289999999999999</v>
      </c>
      <c r="AB309">
        <v>0.88619999999999999</v>
      </c>
    </row>
    <row r="310" spans="1:28">
      <c r="A310" t="s">
        <v>3347</v>
      </c>
      <c r="B310" t="s">
        <v>2606</v>
      </c>
      <c r="C310" t="s">
        <v>3346</v>
      </c>
      <c r="D310" t="s">
        <v>2606</v>
      </c>
      <c r="E310" t="s">
        <v>2372</v>
      </c>
      <c r="F310">
        <v>66</v>
      </c>
      <c r="H310" t="s">
        <v>811</v>
      </c>
      <c r="I310" t="s">
        <v>804</v>
      </c>
      <c r="J310" t="s">
        <v>3834</v>
      </c>
      <c r="K310" t="s">
        <v>176</v>
      </c>
      <c r="L310" t="s">
        <v>3102</v>
      </c>
      <c r="M310" t="s">
        <v>3348</v>
      </c>
      <c r="N310" t="s">
        <v>172</v>
      </c>
      <c r="O310" t="s">
        <v>179</v>
      </c>
      <c r="P310" t="s">
        <v>170</v>
      </c>
      <c r="Q310">
        <v>12.78</v>
      </c>
      <c r="R310">
        <v>12</v>
      </c>
      <c r="S310">
        <v>0.9597</v>
      </c>
      <c r="T310">
        <v>0.95569999999999999</v>
      </c>
      <c r="AA310">
        <v>0.96589999999999998</v>
      </c>
      <c r="AB310">
        <v>0.97070000000000001</v>
      </c>
    </row>
    <row r="311" spans="1:28">
      <c r="A311" t="s">
        <v>2485</v>
      </c>
      <c r="B311" t="s">
        <v>3835</v>
      </c>
      <c r="C311" t="s">
        <v>3468</v>
      </c>
      <c r="D311" t="s">
        <v>2486</v>
      </c>
      <c r="E311" t="s">
        <v>2372</v>
      </c>
      <c r="F311">
        <v>66</v>
      </c>
      <c r="H311" t="s">
        <v>811</v>
      </c>
      <c r="I311" t="s">
        <v>804</v>
      </c>
      <c r="J311" t="s">
        <v>3836</v>
      </c>
      <c r="K311" t="s">
        <v>176</v>
      </c>
      <c r="L311" t="s">
        <v>219</v>
      </c>
      <c r="M311" t="s">
        <v>219</v>
      </c>
      <c r="N311" t="s">
        <v>199</v>
      </c>
      <c r="O311" t="s">
        <v>3244</v>
      </c>
      <c r="P311" t="s">
        <v>219</v>
      </c>
      <c r="Q311">
        <v>27.2</v>
      </c>
      <c r="R311">
        <v>27</v>
      </c>
      <c r="AA311">
        <v>1.0603</v>
      </c>
      <c r="AB311">
        <v>0.92569999999999997</v>
      </c>
    </row>
    <row r="312" spans="1:28">
      <c r="A312" t="s">
        <v>500</v>
      </c>
      <c r="B312" t="s">
        <v>3837</v>
      </c>
      <c r="C312" t="s">
        <v>3395</v>
      </c>
      <c r="D312" t="s">
        <v>2379</v>
      </c>
      <c r="E312" t="s">
        <v>2380</v>
      </c>
      <c r="F312">
        <v>66</v>
      </c>
      <c r="H312" t="s">
        <v>811</v>
      </c>
      <c r="I312" t="s">
        <v>804</v>
      </c>
      <c r="J312" t="s">
        <v>3838</v>
      </c>
      <c r="K312" t="s">
        <v>215</v>
      </c>
      <c r="L312" t="s">
        <v>3102</v>
      </c>
      <c r="M312" t="s">
        <v>3348</v>
      </c>
      <c r="N312" t="s">
        <v>172</v>
      </c>
      <c r="O312" t="s">
        <v>254</v>
      </c>
      <c r="P312" t="s">
        <v>170</v>
      </c>
      <c r="Q312">
        <v>21.286999999999999</v>
      </c>
      <c r="R312">
        <v>21</v>
      </c>
      <c r="Z312">
        <v>1.0251999999999999</v>
      </c>
      <c r="AA312">
        <v>0.96830000000000005</v>
      </c>
      <c r="AB312">
        <v>0.94910000000000005</v>
      </c>
    </row>
    <row r="313" spans="1:28">
      <c r="A313" t="s">
        <v>3399</v>
      </c>
      <c r="B313" t="s">
        <v>3837</v>
      </c>
      <c r="C313" t="s">
        <v>3395</v>
      </c>
      <c r="D313" t="s">
        <v>2375</v>
      </c>
      <c r="E313" t="s">
        <v>2376</v>
      </c>
      <c r="F313">
        <v>66</v>
      </c>
      <c r="H313" t="s">
        <v>811</v>
      </c>
      <c r="I313" t="s">
        <v>804</v>
      </c>
      <c r="J313" t="s">
        <v>3838</v>
      </c>
      <c r="K313" t="s">
        <v>215</v>
      </c>
      <c r="L313" t="s">
        <v>3102</v>
      </c>
      <c r="M313" t="s">
        <v>3348</v>
      </c>
      <c r="N313" t="s">
        <v>172</v>
      </c>
      <c r="O313" t="s">
        <v>254</v>
      </c>
      <c r="P313" t="s">
        <v>170</v>
      </c>
      <c r="Q313">
        <v>15.205</v>
      </c>
      <c r="R313">
        <v>15</v>
      </c>
      <c r="Z313">
        <v>1.0251999999999999</v>
      </c>
      <c r="AA313">
        <v>0.96830000000000005</v>
      </c>
      <c r="AB313">
        <v>0.94910000000000005</v>
      </c>
    </row>
    <row r="314" spans="1:28">
      <c r="A314" t="s">
        <v>2489</v>
      </c>
      <c r="B314" t="s">
        <v>3839</v>
      </c>
      <c r="C314" t="s">
        <v>1227</v>
      </c>
      <c r="D314" t="s">
        <v>2490</v>
      </c>
      <c r="E314" t="s">
        <v>2491</v>
      </c>
      <c r="F314">
        <v>330</v>
      </c>
      <c r="H314" t="s">
        <v>811</v>
      </c>
      <c r="I314" t="s">
        <v>841</v>
      </c>
      <c r="J314" t="s">
        <v>3840</v>
      </c>
      <c r="K314" t="s">
        <v>176</v>
      </c>
      <c r="L314" t="s">
        <v>219</v>
      </c>
      <c r="M314" t="s">
        <v>219</v>
      </c>
      <c r="N314" t="s">
        <v>199</v>
      </c>
      <c r="O314" t="s">
        <v>3622</v>
      </c>
      <c r="P314" t="s">
        <v>219</v>
      </c>
      <c r="Q314">
        <v>10</v>
      </c>
      <c r="R314">
        <v>10</v>
      </c>
      <c r="Z314">
        <v>1.0009999999999999</v>
      </c>
      <c r="AA314">
        <v>0.99590000000000001</v>
      </c>
      <c r="AB314">
        <v>0.97170000000000001</v>
      </c>
    </row>
    <row r="315" spans="1:28">
      <c r="A315" t="s">
        <v>2271</v>
      </c>
      <c r="B315" t="s">
        <v>3841</v>
      </c>
      <c r="C315" t="s">
        <v>3482</v>
      </c>
      <c r="D315" t="s">
        <v>2272</v>
      </c>
      <c r="E315" t="s">
        <v>2273</v>
      </c>
      <c r="F315">
        <v>33</v>
      </c>
      <c r="H315" t="s">
        <v>811</v>
      </c>
      <c r="I315" t="s">
        <v>841</v>
      </c>
      <c r="J315" t="s">
        <v>3842</v>
      </c>
      <c r="K315" t="s">
        <v>215</v>
      </c>
      <c r="L315" t="s">
        <v>219</v>
      </c>
      <c r="M315" t="s">
        <v>219</v>
      </c>
      <c r="N315" t="s">
        <v>199</v>
      </c>
      <c r="O315" t="s">
        <v>3244</v>
      </c>
      <c r="P315" t="s">
        <v>219</v>
      </c>
      <c r="Q315">
        <v>57.5</v>
      </c>
      <c r="R315">
        <v>56</v>
      </c>
      <c r="AA315">
        <v>0.87409999999999999</v>
      </c>
      <c r="AB315">
        <v>0.83720000000000006</v>
      </c>
    </row>
    <row r="316" spans="1:28">
      <c r="A316" t="s">
        <v>2275</v>
      </c>
      <c r="B316" t="s">
        <v>3843</v>
      </c>
      <c r="C316" t="s">
        <v>3484</v>
      </c>
      <c r="D316" t="s">
        <v>2276</v>
      </c>
      <c r="E316" t="s">
        <v>2277</v>
      </c>
      <c r="F316">
        <v>33</v>
      </c>
      <c r="H316" t="s">
        <v>811</v>
      </c>
      <c r="I316" t="s">
        <v>841</v>
      </c>
      <c r="J316" t="s">
        <v>3844</v>
      </c>
      <c r="K316" t="s">
        <v>215</v>
      </c>
      <c r="L316" t="s">
        <v>219</v>
      </c>
      <c r="M316" t="s">
        <v>219</v>
      </c>
      <c r="N316" t="s">
        <v>199</v>
      </c>
      <c r="O316" t="s">
        <v>3244</v>
      </c>
      <c r="P316" t="s">
        <v>219</v>
      </c>
      <c r="Q316">
        <v>57.75</v>
      </c>
      <c r="R316">
        <v>50</v>
      </c>
      <c r="AA316">
        <v>0.88360000000000005</v>
      </c>
      <c r="AB316">
        <v>0.82709999999999995</v>
      </c>
    </row>
    <row r="317" spans="1:28">
      <c r="A317" t="s">
        <v>3486</v>
      </c>
      <c r="B317" t="s">
        <v>3845</v>
      </c>
      <c r="C317" t="s">
        <v>3485</v>
      </c>
      <c r="D317" t="s">
        <v>2921</v>
      </c>
      <c r="E317" t="s">
        <v>2919</v>
      </c>
      <c r="F317">
        <v>275</v>
      </c>
      <c r="H317" t="s">
        <v>811</v>
      </c>
      <c r="I317" t="s">
        <v>812</v>
      </c>
      <c r="J317" t="s">
        <v>1435</v>
      </c>
      <c r="K317" t="s">
        <v>166</v>
      </c>
      <c r="L317" t="s">
        <v>3411</v>
      </c>
      <c r="M317" t="s">
        <v>3414</v>
      </c>
      <c r="N317" t="s">
        <v>3413</v>
      </c>
      <c r="O317" t="s">
        <v>3487</v>
      </c>
      <c r="P317" t="s">
        <v>3414</v>
      </c>
      <c r="Q317">
        <v>102.44</v>
      </c>
      <c r="R317">
        <v>100</v>
      </c>
      <c r="AA317">
        <v>0.97709999999999997</v>
      </c>
      <c r="AB317">
        <v>0.98270000000000002</v>
      </c>
    </row>
    <row r="318" spans="1:28">
      <c r="A318" t="s">
        <v>402</v>
      </c>
      <c r="B318" t="s">
        <v>1436</v>
      </c>
      <c r="C318" t="s">
        <v>3500</v>
      </c>
      <c r="D318" t="s">
        <v>2915</v>
      </c>
      <c r="E318" t="s">
        <v>2916</v>
      </c>
      <c r="F318">
        <v>275</v>
      </c>
      <c r="H318" t="s">
        <v>811</v>
      </c>
      <c r="I318" t="s">
        <v>841</v>
      </c>
      <c r="J318" t="s">
        <v>1435</v>
      </c>
      <c r="K318" t="s">
        <v>166</v>
      </c>
      <c r="L318" t="s">
        <v>198</v>
      </c>
      <c r="M318" t="s">
        <v>198</v>
      </c>
      <c r="N318" t="s">
        <v>199</v>
      </c>
      <c r="O318" t="s">
        <v>200</v>
      </c>
      <c r="P318" t="s">
        <v>198</v>
      </c>
      <c r="Q318">
        <v>102.4</v>
      </c>
      <c r="R318">
        <v>102</v>
      </c>
      <c r="Y318">
        <v>0.99180000000000001</v>
      </c>
      <c r="Z318">
        <v>0.97989999999999999</v>
      </c>
      <c r="AA318">
        <v>0.97440000000000004</v>
      </c>
      <c r="AB318">
        <v>0.96879999999999999</v>
      </c>
    </row>
    <row r="319" spans="1:28">
      <c r="A319" t="s">
        <v>402</v>
      </c>
      <c r="B319" t="s">
        <v>1436</v>
      </c>
      <c r="C319" t="s">
        <v>3502</v>
      </c>
      <c r="D319" t="s">
        <v>2918</v>
      </c>
      <c r="E319" t="s">
        <v>2919</v>
      </c>
      <c r="F319">
        <v>275</v>
      </c>
      <c r="H319" t="s">
        <v>811</v>
      </c>
      <c r="I319" t="s">
        <v>841</v>
      </c>
      <c r="J319" t="s">
        <v>1435</v>
      </c>
      <c r="K319" t="s">
        <v>166</v>
      </c>
      <c r="L319" t="s">
        <v>198</v>
      </c>
      <c r="M319" t="s">
        <v>198</v>
      </c>
      <c r="N319" t="s">
        <v>199</v>
      </c>
      <c r="O319" t="s">
        <v>200</v>
      </c>
      <c r="P319" t="s">
        <v>198</v>
      </c>
      <c r="Q319">
        <v>112</v>
      </c>
      <c r="R319">
        <v>109</v>
      </c>
      <c r="Z319">
        <v>0.97989999999999999</v>
      </c>
      <c r="AA319">
        <v>0.97440000000000004</v>
      </c>
      <c r="AB319">
        <v>0.96879999999999999</v>
      </c>
    </row>
    <row r="320" spans="1:28">
      <c r="A320" t="s">
        <v>2278</v>
      </c>
      <c r="B320" t="s">
        <v>3846</v>
      </c>
      <c r="C320" t="s">
        <v>3494</v>
      </c>
      <c r="D320" t="s">
        <v>2279</v>
      </c>
      <c r="E320" t="s">
        <v>2280</v>
      </c>
      <c r="F320">
        <v>132</v>
      </c>
      <c r="H320" t="s">
        <v>811</v>
      </c>
      <c r="I320" t="s">
        <v>804</v>
      </c>
      <c r="J320" t="s">
        <v>3847</v>
      </c>
      <c r="K320" t="s">
        <v>215</v>
      </c>
      <c r="L320" t="s">
        <v>219</v>
      </c>
      <c r="M320" t="s">
        <v>219</v>
      </c>
      <c r="N320" t="s">
        <v>199</v>
      </c>
      <c r="O320" t="s">
        <v>3244</v>
      </c>
      <c r="P320" t="s">
        <v>219</v>
      </c>
      <c r="Q320">
        <v>20.97</v>
      </c>
      <c r="R320">
        <v>18</v>
      </c>
      <c r="AA320">
        <v>0.88419999999999999</v>
      </c>
      <c r="AB320">
        <v>0.86280000000000001</v>
      </c>
    </row>
    <row r="321" spans="1:28">
      <c r="A321" t="s">
        <v>124</v>
      </c>
      <c r="B321" t="s">
        <v>3798</v>
      </c>
      <c r="C321" t="s">
        <v>1250</v>
      </c>
      <c r="D321" t="s">
        <v>2852</v>
      </c>
      <c r="E321" t="s">
        <v>2853</v>
      </c>
      <c r="F321">
        <v>66</v>
      </c>
      <c r="H321" t="s">
        <v>811</v>
      </c>
      <c r="I321" t="s">
        <v>812</v>
      </c>
      <c r="J321" t="s">
        <v>1288</v>
      </c>
      <c r="K321" t="s">
        <v>184</v>
      </c>
      <c r="L321" t="s">
        <v>210</v>
      </c>
      <c r="M321" t="s">
        <v>211</v>
      </c>
      <c r="N321" t="s">
        <v>199</v>
      </c>
      <c r="O321" t="s">
        <v>212</v>
      </c>
      <c r="P321" t="s">
        <v>210</v>
      </c>
      <c r="Q321">
        <v>29</v>
      </c>
      <c r="R321">
        <v>70</v>
      </c>
      <c r="S321">
        <v>1.0126999999999999</v>
      </c>
      <c r="T321">
        <v>1.0082</v>
      </c>
      <c r="U321">
        <v>1.0911999999999999</v>
      </c>
      <c r="V321">
        <v>0.98880000000000001</v>
      </c>
      <c r="W321">
        <v>0.99119999999999997</v>
      </c>
      <c r="X321">
        <v>0.9768</v>
      </c>
      <c r="Y321">
        <v>0.99470000000000003</v>
      </c>
      <c r="Z321">
        <v>0.8911</v>
      </c>
      <c r="AA321">
        <v>0.94979999999999998</v>
      </c>
      <c r="AB321">
        <v>0.94010000000000005</v>
      </c>
    </row>
    <row r="322" spans="1:28">
      <c r="A322" t="s">
        <v>2854</v>
      </c>
      <c r="B322" t="s">
        <v>3848</v>
      </c>
      <c r="C322" t="s">
        <v>3564</v>
      </c>
      <c r="D322" t="s">
        <v>2855</v>
      </c>
      <c r="E322" t="s">
        <v>2623</v>
      </c>
      <c r="F322">
        <v>132</v>
      </c>
      <c r="H322" t="s">
        <v>811</v>
      </c>
      <c r="I322" t="s">
        <v>841</v>
      </c>
      <c r="J322" t="s">
        <v>3849</v>
      </c>
      <c r="K322" t="s">
        <v>184</v>
      </c>
      <c r="L322" t="s">
        <v>219</v>
      </c>
      <c r="M322" t="s">
        <v>219</v>
      </c>
      <c r="N322" t="s">
        <v>199</v>
      </c>
      <c r="O322" t="s">
        <v>3141</v>
      </c>
      <c r="P322" t="s">
        <v>219</v>
      </c>
      <c r="Q322">
        <v>104</v>
      </c>
      <c r="R322">
        <v>90</v>
      </c>
      <c r="AA322">
        <v>0.94720000000000004</v>
      </c>
      <c r="AB322">
        <v>0.7903</v>
      </c>
    </row>
    <row r="323" spans="1:28">
      <c r="A323" t="s">
        <v>2740</v>
      </c>
      <c r="B323" t="s">
        <v>3850</v>
      </c>
      <c r="C323" t="s">
        <v>3567</v>
      </c>
      <c r="D323" t="s">
        <v>2741</v>
      </c>
      <c r="E323" t="s">
        <v>2623</v>
      </c>
      <c r="F323">
        <v>132</v>
      </c>
      <c r="H323" t="s">
        <v>811</v>
      </c>
      <c r="I323" t="s">
        <v>841</v>
      </c>
      <c r="J323" t="s">
        <v>3851</v>
      </c>
      <c r="K323" t="s">
        <v>184</v>
      </c>
      <c r="L323" t="s">
        <v>198</v>
      </c>
      <c r="M323" t="s">
        <v>198</v>
      </c>
      <c r="N323" t="s">
        <v>199</v>
      </c>
      <c r="O323" t="s">
        <v>200</v>
      </c>
      <c r="P323" t="s">
        <v>198</v>
      </c>
      <c r="Q323">
        <v>31.05</v>
      </c>
      <c r="R323">
        <v>31</v>
      </c>
      <c r="Z323">
        <v>1.0357000000000001</v>
      </c>
      <c r="AA323">
        <v>0.99109999999999998</v>
      </c>
      <c r="AB323">
        <v>0.89429999999999998</v>
      </c>
    </row>
    <row r="324" spans="1:28">
      <c r="A324" t="s">
        <v>3465</v>
      </c>
      <c r="B324" t="s">
        <v>3852</v>
      </c>
      <c r="C324" t="s">
        <v>3464</v>
      </c>
      <c r="D324" t="s">
        <v>2288</v>
      </c>
      <c r="E324" t="s">
        <v>2623</v>
      </c>
      <c r="F324">
        <v>132</v>
      </c>
      <c r="H324" t="s">
        <v>811</v>
      </c>
      <c r="I324" t="s">
        <v>841</v>
      </c>
      <c r="J324" t="s">
        <v>3853</v>
      </c>
      <c r="K324" t="s">
        <v>215</v>
      </c>
      <c r="L324" t="s">
        <v>219</v>
      </c>
      <c r="M324" t="s">
        <v>219</v>
      </c>
      <c r="N324" t="s">
        <v>199</v>
      </c>
      <c r="O324" t="s">
        <v>3141</v>
      </c>
      <c r="P324" t="s">
        <v>219</v>
      </c>
      <c r="Q324">
        <v>50</v>
      </c>
      <c r="R324">
        <v>47.7</v>
      </c>
      <c r="AA324">
        <v>0.88419999999999999</v>
      </c>
      <c r="AB324">
        <v>0.86280000000000001</v>
      </c>
    </row>
    <row r="325" spans="1:28">
      <c r="A325" t="s">
        <v>2294</v>
      </c>
      <c r="B325" t="s">
        <v>3854</v>
      </c>
      <c r="C325" t="s">
        <v>3456</v>
      </c>
      <c r="D325" t="s">
        <v>2295</v>
      </c>
      <c r="E325" t="s">
        <v>2623</v>
      </c>
      <c r="F325">
        <v>132</v>
      </c>
      <c r="H325" t="s">
        <v>811</v>
      </c>
      <c r="I325" t="s">
        <v>841</v>
      </c>
      <c r="J325" t="s">
        <v>3855</v>
      </c>
      <c r="K325" t="s">
        <v>215</v>
      </c>
      <c r="L325" t="s">
        <v>219</v>
      </c>
      <c r="M325" t="s">
        <v>219</v>
      </c>
      <c r="N325" t="s">
        <v>199</v>
      </c>
      <c r="O325" t="s">
        <v>3244</v>
      </c>
      <c r="P325" t="s">
        <v>219</v>
      </c>
      <c r="Q325">
        <v>118</v>
      </c>
      <c r="R325">
        <v>100</v>
      </c>
      <c r="AA325">
        <v>0.88549999999999995</v>
      </c>
      <c r="AB325">
        <v>0.86819999999999997</v>
      </c>
    </row>
    <row r="326" spans="1:28">
      <c r="A326" t="s">
        <v>2935</v>
      </c>
      <c r="B326" t="s">
        <v>3856</v>
      </c>
      <c r="C326" t="s">
        <v>3580</v>
      </c>
      <c r="D326" t="s">
        <v>2936</v>
      </c>
      <c r="E326" t="s">
        <v>2623</v>
      </c>
      <c r="F326">
        <v>132</v>
      </c>
      <c r="H326" t="s">
        <v>811</v>
      </c>
      <c r="I326" t="s">
        <v>841</v>
      </c>
      <c r="J326" t="s">
        <v>3857</v>
      </c>
      <c r="K326" t="s">
        <v>166</v>
      </c>
      <c r="L326" t="s">
        <v>198</v>
      </c>
      <c r="M326" t="s">
        <v>198</v>
      </c>
      <c r="N326" t="s">
        <v>199</v>
      </c>
      <c r="O326" t="s">
        <v>200</v>
      </c>
      <c r="P326" t="s">
        <v>198</v>
      </c>
      <c r="Q326">
        <v>212.4</v>
      </c>
      <c r="R326">
        <v>212.4</v>
      </c>
      <c r="AA326">
        <v>0.99470000000000003</v>
      </c>
      <c r="AB326">
        <v>0.99099999999999999</v>
      </c>
    </row>
    <row r="327" spans="1:28">
      <c r="A327" t="s">
        <v>2385</v>
      </c>
      <c r="B327" t="s">
        <v>3858</v>
      </c>
      <c r="C327" t="s">
        <v>3333</v>
      </c>
      <c r="D327" t="s">
        <v>2386</v>
      </c>
      <c r="E327" t="s">
        <v>2387</v>
      </c>
      <c r="F327">
        <v>132</v>
      </c>
      <c r="H327" t="s">
        <v>811</v>
      </c>
      <c r="I327" t="s">
        <v>804</v>
      </c>
      <c r="J327" t="s">
        <v>3859</v>
      </c>
      <c r="K327" t="s">
        <v>215</v>
      </c>
      <c r="L327" t="s">
        <v>219</v>
      </c>
      <c r="M327" t="s">
        <v>219</v>
      </c>
      <c r="N327" t="s">
        <v>199</v>
      </c>
      <c r="O327" t="s">
        <v>3244</v>
      </c>
      <c r="P327" t="s">
        <v>219</v>
      </c>
      <c r="Q327">
        <v>17</v>
      </c>
      <c r="R327">
        <v>14</v>
      </c>
      <c r="AA327">
        <v>0.89339999999999997</v>
      </c>
      <c r="AB327">
        <v>0.86860000000000004</v>
      </c>
    </row>
    <row r="328" spans="1:28">
      <c r="A328" t="s">
        <v>3596</v>
      </c>
      <c r="B328" t="s">
        <v>3860</v>
      </c>
      <c r="C328" t="s">
        <v>3595</v>
      </c>
      <c r="D328" t="s">
        <v>2630</v>
      </c>
      <c r="E328" t="s">
        <v>2631</v>
      </c>
      <c r="F328">
        <v>132</v>
      </c>
      <c r="H328" t="s">
        <v>811</v>
      </c>
      <c r="I328" t="s">
        <v>841</v>
      </c>
      <c r="J328" t="s">
        <v>3861</v>
      </c>
      <c r="K328" t="s">
        <v>176</v>
      </c>
      <c r="L328" t="s">
        <v>219</v>
      </c>
      <c r="M328" t="s">
        <v>219</v>
      </c>
      <c r="N328" t="s">
        <v>199</v>
      </c>
      <c r="O328" t="s">
        <v>3141</v>
      </c>
      <c r="P328" t="s">
        <v>219</v>
      </c>
      <c r="Q328">
        <v>50</v>
      </c>
      <c r="R328">
        <v>46</v>
      </c>
      <c r="AA328">
        <v>0.99050000000000005</v>
      </c>
      <c r="AB328">
        <v>0.98770000000000002</v>
      </c>
    </row>
    <row r="329" spans="1:28">
      <c r="A329" t="s">
        <v>3458</v>
      </c>
      <c r="B329" t="s">
        <v>3862</v>
      </c>
      <c r="C329" t="s">
        <v>3456</v>
      </c>
      <c r="D329" t="s">
        <v>2303</v>
      </c>
      <c r="E329" t="s">
        <v>1025</v>
      </c>
      <c r="F329">
        <v>110</v>
      </c>
      <c r="H329" t="s">
        <v>811</v>
      </c>
      <c r="I329" t="s">
        <v>841</v>
      </c>
      <c r="J329" t="s">
        <v>3863</v>
      </c>
      <c r="K329" t="s">
        <v>215</v>
      </c>
      <c r="L329" t="s">
        <v>198</v>
      </c>
      <c r="M329" t="s">
        <v>198</v>
      </c>
      <c r="N329" t="s">
        <v>199</v>
      </c>
      <c r="O329" t="s">
        <v>200</v>
      </c>
      <c r="P329" t="s">
        <v>198</v>
      </c>
      <c r="Q329">
        <v>127.65</v>
      </c>
      <c r="R329">
        <v>126.05</v>
      </c>
      <c r="AA329">
        <v>0.95150000000000001</v>
      </c>
      <c r="AB329">
        <v>0.93920000000000003</v>
      </c>
    </row>
    <row r="330" spans="1:28">
      <c r="A330" t="s">
        <v>3608</v>
      </c>
      <c r="B330" t="s">
        <v>3864</v>
      </c>
      <c r="C330" t="s">
        <v>3607</v>
      </c>
      <c r="D330" t="s">
        <v>2864</v>
      </c>
      <c r="E330" t="s">
        <v>2865</v>
      </c>
      <c r="F330">
        <v>66</v>
      </c>
      <c r="H330" t="s">
        <v>811</v>
      </c>
      <c r="I330" t="s">
        <v>841</v>
      </c>
      <c r="J330" t="s">
        <v>3865</v>
      </c>
      <c r="K330" t="s">
        <v>184</v>
      </c>
      <c r="L330" t="s">
        <v>198</v>
      </c>
      <c r="M330" t="s">
        <v>198</v>
      </c>
      <c r="N330" t="s">
        <v>199</v>
      </c>
      <c r="O330" t="s">
        <v>200</v>
      </c>
      <c r="P330" t="s">
        <v>198</v>
      </c>
      <c r="Q330">
        <v>43.904000000000003</v>
      </c>
      <c r="R330">
        <v>66</v>
      </c>
      <c r="AA330">
        <v>0.99890000000000001</v>
      </c>
      <c r="AB330">
        <v>0.99</v>
      </c>
    </row>
    <row r="331" spans="1:28">
      <c r="A331" t="s">
        <v>2769</v>
      </c>
      <c r="B331" t="s">
        <v>3866</v>
      </c>
      <c r="C331" t="s">
        <v>3763</v>
      </c>
      <c r="D331" t="s">
        <v>2770</v>
      </c>
      <c r="E331" t="s">
        <v>954</v>
      </c>
      <c r="F331">
        <v>110</v>
      </c>
      <c r="H331" t="s">
        <v>811</v>
      </c>
      <c r="I331" t="s">
        <v>841</v>
      </c>
      <c r="J331" t="s">
        <v>3867</v>
      </c>
      <c r="K331" t="s">
        <v>184</v>
      </c>
      <c r="L331" t="s">
        <v>198</v>
      </c>
      <c r="M331" t="s">
        <v>198</v>
      </c>
      <c r="N331" t="s">
        <v>199</v>
      </c>
      <c r="O331" t="s">
        <v>200</v>
      </c>
      <c r="P331" t="s">
        <v>198</v>
      </c>
      <c r="Q331">
        <v>231.8</v>
      </c>
      <c r="R331">
        <v>225.7</v>
      </c>
      <c r="AA331">
        <v>0.95489999999999997</v>
      </c>
      <c r="AB331">
        <v>0.85709999999999997</v>
      </c>
    </row>
    <row r="332" spans="1:28">
      <c r="A332" t="s">
        <v>2635</v>
      </c>
      <c r="B332" t="s">
        <v>3868</v>
      </c>
      <c r="C332" t="s">
        <v>3340</v>
      </c>
      <c r="D332" t="s">
        <v>2636</v>
      </c>
      <c r="E332" t="s">
        <v>2637</v>
      </c>
      <c r="F332">
        <v>132</v>
      </c>
      <c r="H332" t="s">
        <v>811</v>
      </c>
      <c r="I332" t="s">
        <v>804</v>
      </c>
      <c r="J332" t="s">
        <v>3869</v>
      </c>
      <c r="K332" t="s">
        <v>176</v>
      </c>
      <c r="L332" t="s">
        <v>219</v>
      </c>
      <c r="M332" t="s">
        <v>219</v>
      </c>
      <c r="N332" t="s">
        <v>199</v>
      </c>
      <c r="O332" t="s">
        <v>3244</v>
      </c>
      <c r="P332" t="s">
        <v>219</v>
      </c>
      <c r="Q332">
        <v>10</v>
      </c>
      <c r="R332">
        <v>9</v>
      </c>
      <c r="AA332">
        <v>0.9708</v>
      </c>
      <c r="AB332">
        <v>0.96150000000000002</v>
      </c>
    </row>
    <row r="333" spans="1:28">
      <c r="A333" t="s">
        <v>2396</v>
      </c>
      <c r="B333" t="s">
        <v>2397</v>
      </c>
      <c r="C333" t="s">
        <v>3333</v>
      </c>
      <c r="D333" t="s">
        <v>2397</v>
      </c>
      <c r="E333" t="s">
        <v>2398</v>
      </c>
      <c r="F333">
        <v>110</v>
      </c>
      <c r="H333" t="s">
        <v>811</v>
      </c>
      <c r="I333" t="s">
        <v>841</v>
      </c>
      <c r="J333" t="s">
        <v>3870</v>
      </c>
      <c r="K333" t="s">
        <v>215</v>
      </c>
      <c r="L333" t="s">
        <v>219</v>
      </c>
      <c r="M333" t="s">
        <v>219</v>
      </c>
      <c r="N333" t="s">
        <v>199</v>
      </c>
      <c r="O333" t="s">
        <v>3244</v>
      </c>
      <c r="P333" t="s">
        <v>219</v>
      </c>
      <c r="Q333">
        <v>30</v>
      </c>
      <c r="R333">
        <v>25</v>
      </c>
      <c r="AA333">
        <v>0.98260000000000003</v>
      </c>
      <c r="AB333">
        <v>0.98199999999999998</v>
      </c>
    </row>
    <row r="334" spans="1:28">
      <c r="A334" t="s">
        <v>3352</v>
      </c>
      <c r="B334" t="s">
        <v>2401</v>
      </c>
      <c r="C334" t="s">
        <v>3346</v>
      </c>
      <c r="D334" t="s">
        <v>2404</v>
      </c>
      <c r="E334" t="s">
        <v>2405</v>
      </c>
      <c r="F334">
        <v>66</v>
      </c>
      <c r="H334" t="s">
        <v>811</v>
      </c>
      <c r="I334" t="s">
        <v>804</v>
      </c>
      <c r="J334" t="s">
        <v>3871</v>
      </c>
      <c r="K334" t="s">
        <v>215</v>
      </c>
      <c r="L334" t="s">
        <v>3102</v>
      </c>
      <c r="M334" t="s">
        <v>3348</v>
      </c>
      <c r="N334" t="s">
        <v>172</v>
      </c>
      <c r="O334" t="s">
        <v>254</v>
      </c>
      <c r="P334" t="s">
        <v>170</v>
      </c>
      <c r="Q334">
        <v>15</v>
      </c>
      <c r="R334">
        <v>15</v>
      </c>
      <c r="Y334">
        <v>1.0122</v>
      </c>
      <c r="Z334">
        <v>0.98080000000000001</v>
      </c>
      <c r="AA334">
        <v>0.94510000000000005</v>
      </c>
      <c r="AB334">
        <v>0.93049999999999999</v>
      </c>
    </row>
    <row r="335" spans="1:28">
      <c r="A335" t="s">
        <v>3352</v>
      </c>
      <c r="B335" t="s">
        <v>2401</v>
      </c>
      <c r="C335" t="s">
        <v>3346</v>
      </c>
      <c r="D335" t="s">
        <v>2401</v>
      </c>
      <c r="E335" t="s">
        <v>2402</v>
      </c>
      <c r="F335">
        <v>66</v>
      </c>
      <c r="H335" t="s">
        <v>811</v>
      </c>
      <c r="I335" t="s">
        <v>804</v>
      </c>
      <c r="J335" t="s">
        <v>3871</v>
      </c>
      <c r="K335" t="s">
        <v>215</v>
      </c>
      <c r="L335" t="s">
        <v>3102</v>
      </c>
      <c r="M335" t="s">
        <v>257</v>
      </c>
      <c r="N335" t="s">
        <v>172</v>
      </c>
      <c r="O335" t="s">
        <v>179</v>
      </c>
      <c r="P335" t="s">
        <v>170</v>
      </c>
      <c r="Q335">
        <v>20</v>
      </c>
      <c r="R335">
        <v>20</v>
      </c>
      <c r="S335">
        <v>1.0287999999999999</v>
      </c>
      <c r="T335">
        <v>1.0139</v>
      </c>
      <c r="U335">
        <v>1.0426</v>
      </c>
      <c r="V335">
        <v>1.0425</v>
      </c>
      <c r="W335">
        <v>1.0351999999999999</v>
      </c>
      <c r="X335">
        <v>1.0373000000000001</v>
      </c>
      <c r="Y335">
        <v>1.0122</v>
      </c>
      <c r="Z335">
        <v>0.98080000000000001</v>
      </c>
      <c r="AA335">
        <v>0.94510000000000005</v>
      </c>
      <c r="AB335">
        <v>0.93049999999999999</v>
      </c>
    </row>
    <row r="336" spans="1:28">
      <c r="A336" t="s">
        <v>2533</v>
      </c>
      <c r="B336" t="s">
        <v>3872</v>
      </c>
      <c r="C336" t="s">
        <v>3660</v>
      </c>
      <c r="D336" t="s">
        <v>2534</v>
      </c>
      <c r="E336" t="s">
        <v>2535</v>
      </c>
      <c r="F336">
        <v>66</v>
      </c>
      <c r="H336" t="s">
        <v>811</v>
      </c>
      <c r="I336" t="s">
        <v>841</v>
      </c>
      <c r="J336" t="s">
        <v>3873</v>
      </c>
      <c r="K336" t="s">
        <v>176</v>
      </c>
      <c r="L336" t="s">
        <v>219</v>
      </c>
      <c r="M336" t="s">
        <v>219</v>
      </c>
      <c r="N336" t="s">
        <v>199</v>
      </c>
      <c r="O336" t="s">
        <v>3141</v>
      </c>
      <c r="P336" t="s">
        <v>219</v>
      </c>
      <c r="Q336">
        <v>50.49</v>
      </c>
      <c r="R336">
        <v>50</v>
      </c>
      <c r="AA336">
        <v>0.99639999999999995</v>
      </c>
      <c r="AB336">
        <v>0.98399999999999999</v>
      </c>
    </row>
    <row r="337" spans="1:28">
      <c r="A337" t="s">
        <v>2314</v>
      </c>
      <c r="B337" t="s">
        <v>3874</v>
      </c>
      <c r="C337" t="s">
        <v>3677</v>
      </c>
      <c r="D337" t="s">
        <v>2315</v>
      </c>
      <c r="E337" t="s">
        <v>2316</v>
      </c>
      <c r="F337">
        <v>132</v>
      </c>
      <c r="H337" t="s">
        <v>811</v>
      </c>
      <c r="I337" t="s">
        <v>841</v>
      </c>
      <c r="J337" t="s">
        <v>3875</v>
      </c>
      <c r="K337" t="s">
        <v>215</v>
      </c>
      <c r="L337" t="s">
        <v>219</v>
      </c>
      <c r="M337" t="s">
        <v>219</v>
      </c>
      <c r="N337" t="s">
        <v>199</v>
      </c>
      <c r="O337" t="s">
        <v>3244</v>
      </c>
      <c r="P337" t="s">
        <v>219</v>
      </c>
      <c r="Q337">
        <v>128</v>
      </c>
      <c r="R337">
        <v>116</v>
      </c>
      <c r="AA337">
        <v>0.88419999999999999</v>
      </c>
      <c r="AB337">
        <v>0.86280000000000001</v>
      </c>
    </row>
    <row r="338" spans="1:28">
      <c r="A338" t="s">
        <v>2774</v>
      </c>
      <c r="B338" t="s">
        <v>3876</v>
      </c>
      <c r="C338" t="s">
        <v>3688</v>
      </c>
      <c r="D338" t="s">
        <v>2775</v>
      </c>
      <c r="E338" t="s">
        <v>2776</v>
      </c>
      <c r="F338">
        <v>66</v>
      </c>
      <c r="H338" t="s">
        <v>811</v>
      </c>
      <c r="I338" t="s">
        <v>841</v>
      </c>
      <c r="J338" t="s">
        <v>3877</v>
      </c>
      <c r="K338" t="s">
        <v>184</v>
      </c>
      <c r="L338" t="s">
        <v>198</v>
      </c>
      <c r="M338" t="s">
        <v>198</v>
      </c>
      <c r="N338" t="s">
        <v>199</v>
      </c>
      <c r="O338" t="s">
        <v>200</v>
      </c>
      <c r="P338" t="s">
        <v>198</v>
      </c>
      <c r="Q338">
        <v>54</v>
      </c>
      <c r="R338">
        <v>54</v>
      </c>
      <c r="AA338">
        <v>1.0076000000000001</v>
      </c>
      <c r="AB338">
        <v>0.97729999999999995</v>
      </c>
    </row>
    <row r="339" spans="1:28">
      <c r="A339" t="s">
        <v>2537</v>
      </c>
      <c r="B339" t="s">
        <v>3878</v>
      </c>
      <c r="C339" t="s">
        <v>3766</v>
      </c>
      <c r="D339" t="s">
        <v>2538</v>
      </c>
      <c r="E339" t="s">
        <v>2539</v>
      </c>
      <c r="F339">
        <v>330</v>
      </c>
      <c r="H339" t="s">
        <v>811</v>
      </c>
      <c r="I339" t="s">
        <v>841</v>
      </c>
      <c r="J339" t="s">
        <v>3879</v>
      </c>
      <c r="K339" t="s">
        <v>176</v>
      </c>
      <c r="L339" t="s">
        <v>198</v>
      </c>
      <c r="M339" t="s">
        <v>198</v>
      </c>
      <c r="N339" t="s">
        <v>199</v>
      </c>
      <c r="O339" t="s">
        <v>200</v>
      </c>
      <c r="P339" t="s">
        <v>198</v>
      </c>
      <c r="Q339">
        <v>270</v>
      </c>
      <c r="R339">
        <v>270</v>
      </c>
      <c r="AA339">
        <v>0.8821</v>
      </c>
      <c r="AB339">
        <v>0.91579999999999995</v>
      </c>
    </row>
    <row r="340" spans="1:28">
      <c r="A340" t="s">
        <v>2541</v>
      </c>
      <c r="B340" t="s">
        <v>3880</v>
      </c>
      <c r="C340" t="s">
        <v>3209</v>
      </c>
      <c r="D340" t="s">
        <v>2543</v>
      </c>
      <c r="E340" t="s">
        <v>2421</v>
      </c>
      <c r="F340">
        <v>110</v>
      </c>
      <c r="H340" t="s">
        <v>811</v>
      </c>
      <c r="I340" t="s">
        <v>841</v>
      </c>
      <c r="J340" t="s">
        <v>3881</v>
      </c>
      <c r="K340" t="s">
        <v>176</v>
      </c>
      <c r="L340" t="s">
        <v>198</v>
      </c>
      <c r="M340" t="s">
        <v>198</v>
      </c>
      <c r="N340" t="s">
        <v>199</v>
      </c>
      <c r="O340" t="s">
        <v>200</v>
      </c>
      <c r="P340" t="s">
        <v>198</v>
      </c>
      <c r="Q340">
        <v>198.94</v>
      </c>
      <c r="R340">
        <v>198</v>
      </c>
      <c r="AA340">
        <v>1.0062</v>
      </c>
      <c r="AB340">
        <v>0.83840000000000003</v>
      </c>
    </row>
    <row r="341" spans="1:28">
      <c r="A341" t="s">
        <v>2647</v>
      </c>
      <c r="B341" t="s">
        <v>3882</v>
      </c>
      <c r="C341" t="s">
        <v>3340</v>
      </c>
      <c r="D341" t="s">
        <v>2648</v>
      </c>
      <c r="E341" t="s">
        <v>1211</v>
      </c>
      <c r="F341">
        <v>132</v>
      </c>
      <c r="H341" t="s">
        <v>811</v>
      </c>
      <c r="I341" t="s">
        <v>804</v>
      </c>
      <c r="J341" t="s">
        <v>3883</v>
      </c>
      <c r="K341" t="s">
        <v>176</v>
      </c>
      <c r="L341" t="s">
        <v>219</v>
      </c>
      <c r="M341" t="s">
        <v>219</v>
      </c>
      <c r="N341" t="s">
        <v>199</v>
      </c>
      <c r="O341" t="s">
        <v>3244</v>
      </c>
      <c r="P341" t="s">
        <v>219</v>
      </c>
      <c r="Q341">
        <v>15</v>
      </c>
      <c r="R341">
        <v>14.5</v>
      </c>
      <c r="AA341">
        <v>0.9708</v>
      </c>
      <c r="AB341">
        <v>0.96150000000000002</v>
      </c>
    </row>
    <row r="342" spans="1:28">
      <c r="A342" t="s">
        <v>2329</v>
      </c>
      <c r="B342" t="s">
        <v>3884</v>
      </c>
      <c r="C342" t="s">
        <v>3746</v>
      </c>
      <c r="D342" t="s">
        <v>2330</v>
      </c>
      <c r="E342" t="s">
        <v>1211</v>
      </c>
      <c r="F342">
        <v>132</v>
      </c>
      <c r="H342" t="s">
        <v>3747</v>
      </c>
      <c r="I342" t="s">
        <v>841</v>
      </c>
      <c r="J342" t="s">
        <v>3885</v>
      </c>
      <c r="K342" t="s">
        <v>215</v>
      </c>
      <c r="L342" t="s">
        <v>219</v>
      </c>
      <c r="M342" t="s">
        <v>219</v>
      </c>
      <c r="N342" t="s">
        <v>199</v>
      </c>
      <c r="O342" t="s">
        <v>3141</v>
      </c>
      <c r="P342" t="s">
        <v>219</v>
      </c>
      <c r="Q342">
        <v>118</v>
      </c>
      <c r="R342">
        <v>101</v>
      </c>
      <c r="AA342">
        <v>1.0146999999999999</v>
      </c>
      <c r="AB342">
        <v>1.0003</v>
      </c>
    </row>
    <row r="343" spans="1:28">
      <c r="A343" t="s">
        <v>3339</v>
      </c>
      <c r="B343" t="s">
        <v>3886</v>
      </c>
      <c r="C343" t="s">
        <v>3333</v>
      </c>
      <c r="D343" t="s">
        <v>2424</v>
      </c>
      <c r="E343" t="s">
        <v>1259</v>
      </c>
      <c r="F343">
        <v>132</v>
      </c>
      <c r="H343" t="s">
        <v>811</v>
      </c>
      <c r="I343" t="s">
        <v>804</v>
      </c>
      <c r="J343" t="s">
        <v>3887</v>
      </c>
      <c r="K343" t="s">
        <v>215</v>
      </c>
      <c r="L343" t="s">
        <v>219</v>
      </c>
      <c r="M343" t="s">
        <v>219</v>
      </c>
      <c r="N343" t="s">
        <v>199</v>
      </c>
      <c r="O343" t="s">
        <v>3141</v>
      </c>
      <c r="P343" t="s">
        <v>219</v>
      </c>
      <c r="Q343">
        <v>15</v>
      </c>
      <c r="R343">
        <v>15</v>
      </c>
      <c r="AA343">
        <v>1.0024999999999999</v>
      </c>
      <c r="AB343">
        <v>1.0024999999999999</v>
      </c>
    </row>
    <row r="344" spans="1:28">
      <c r="A344" t="s">
        <v>2427</v>
      </c>
      <c r="B344" t="s">
        <v>3888</v>
      </c>
      <c r="C344" t="s">
        <v>3750</v>
      </c>
      <c r="D344" t="s">
        <v>2428</v>
      </c>
      <c r="E344" t="s">
        <v>2649</v>
      </c>
      <c r="F344">
        <v>132</v>
      </c>
      <c r="H344" t="s">
        <v>3747</v>
      </c>
      <c r="I344" t="s">
        <v>841</v>
      </c>
      <c r="J344" t="s">
        <v>3889</v>
      </c>
      <c r="K344" t="s">
        <v>215</v>
      </c>
      <c r="L344" t="s">
        <v>219</v>
      </c>
      <c r="M344" t="s">
        <v>219</v>
      </c>
      <c r="N344" t="s">
        <v>199</v>
      </c>
      <c r="O344" t="s">
        <v>3141</v>
      </c>
      <c r="P344" t="s">
        <v>219</v>
      </c>
      <c r="Q344">
        <v>85.26</v>
      </c>
      <c r="R344">
        <v>75</v>
      </c>
      <c r="AA344">
        <v>0.95109999999999995</v>
      </c>
      <c r="AB344">
        <v>0.9486</v>
      </c>
    </row>
    <row r="345" spans="1:28">
      <c r="A345" t="s">
        <v>3801</v>
      </c>
      <c r="B345" t="s">
        <v>3890</v>
      </c>
      <c r="C345" t="s">
        <v>3771</v>
      </c>
      <c r="D345" t="s">
        <v>2961</v>
      </c>
      <c r="E345" t="s">
        <v>1214</v>
      </c>
      <c r="F345">
        <v>132</v>
      </c>
      <c r="H345" t="s">
        <v>811</v>
      </c>
      <c r="I345" t="s">
        <v>841</v>
      </c>
      <c r="J345" t="s">
        <v>3891</v>
      </c>
      <c r="K345" t="s">
        <v>166</v>
      </c>
      <c r="L345" t="s">
        <v>219</v>
      </c>
      <c r="M345" t="s">
        <v>219</v>
      </c>
      <c r="N345" t="s">
        <v>199</v>
      </c>
      <c r="O345" t="s">
        <v>268</v>
      </c>
      <c r="P345" t="s">
        <v>219</v>
      </c>
      <c r="Q345">
        <v>108</v>
      </c>
      <c r="R345">
        <v>95</v>
      </c>
      <c r="AA345">
        <v>0.99729999999999996</v>
      </c>
      <c r="AB345">
        <v>1.0057</v>
      </c>
    </row>
    <row r="346" spans="1:28">
      <c r="A346" t="s">
        <v>2664</v>
      </c>
      <c r="B346" t="s">
        <v>2665</v>
      </c>
      <c r="C346" t="s">
        <v>1297</v>
      </c>
      <c r="D346" t="s">
        <v>2665</v>
      </c>
      <c r="E346" t="s">
        <v>2666</v>
      </c>
      <c r="F346">
        <v>132</v>
      </c>
      <c r="H346" t="s">
        <v>811</v>
      </c>
      <c r="I346" t="s">
        <v>804</v>
      </c>
      <c r="J346" t="s">
        <v>3892</v>
      </c>
      <c r="K346" t="s">
        <v>176</v>
      </c>
      <c r="L346" t="s">
        <v>3102</v>
      </c>
      <c r="M346" t="s">
        <v>3348</v>
      </c>
      <c r="N346" t="s">
        <v>172</v>
      </c>
      <c r="O346" t="s">
        <v>254</v>
      </c>
      <c r="P346" t="s">
        <v>170</v>
      </c>
      <c r="Q346">
        <v>41.2</v>
      </c>
      <c r="R346">
        <v>41</v>
      </c>
      <c r="Y346">
        <v>1.0019</v>
      </c>
      <c r="Z346">
        <v>1.0022</v>
      </c>
      <c r="AA346">
        <v>1.0024</v>
      </c>
      <c r="AB346">
        <v>1.0012000000000001</v>
      </c>
    </row>
    <row r="347" spans="1:28">
      <c r="A347" t="s">
        <v>2795</v>
      </c>
      <c r="B347" t="s">
        <v>3893</v>
      </c>
      <c r="C347" t="s">
        <v>3782</v>
      </c>
      <c r="D347" t="s">
        <v>2796</v>
      </c>
      <c r="E347" t="s">
        <v>2797</v>
      </c>
      <c r="F347">
        <v>66</v>
      </c>
      <c r="H347" t="s">
        <v>811</v>
      </c>
      <c r="I347" t="s">
        <v>841</v>
      </c>
      <c r="J347" t="s">
        <v>3894</v>
      </c>
      <c r="K347" t="s">
        <v>184</v>
      </c>
      <c r="L347" t="s">
        <v>219</v>
      </c>
      <c r="M347" t="s">
        <v>219</v>
      </c>
      <c r="N347" t="s">
        <v>199</v>
      </c>
      <c r="O347" t="s">
        <v>220</v>
      </c>
      <c r="P347" t="s">
        <v>219</v>
      </c>
      <c r="Q347">
        <v>97.5</v>
      </c>
      <c r="R347">
        <v>88</v>
      </c>
      <c r="AA347">
        <v>0.92620000000000002</v>
      </c>
      <c r="AB347">
        <v>0.80840000000000001</v>
      </c>
    </row>
    <row r="348" spans="1:28">
      <c r="A348" t="s">
        <v>2563</v>
      </c>
      <c r="B348" t="s">
        <v>3895</v>
      </c>
      <c r="C348" t="s">
        <v>3784</v>
      </c>
      <c r="D348" t="s">
        <v>2564</v>
      </c>
      <c r="E348" t="s">
        <v>2680</v>
      </c>
      <c r="F348">
        <v>66</v>
      </c>
      <c r="H348" t="s">
        <v>811</v>
      </c>
      <c r="I348" t="s">
        <v>804</v>
      </c>
      <c r="J348" t="s">
        <v>3896</v>
      </c>
      <c r="K348" t="s">
        <v>176</v>
      </c>
      <c r="L348" t="s">
        <v>219</v>
      </c>
      <c r="M348" t="s">
        <v>219</v>
      </c>
      <c r="N348" t="s">
        <v>199</v>
      </c>
      <c r="O348" t="s">
        <v>268</v>
      </c>
      <c r="P348" t="s">
        <v>219</v>
      </c>
      <c r="Q348">
        <v>22</v>
      </c>
      <c r="R348">
        <v>20</v>
      </c>
      <c r="AA348">
        <v>0.8427</v>
      </c>
      <c r="AB348">
        <v>0.83279999999999998</v>
      </c>
    </row>
    <row r="349" spans="1:28">
      <c r="A349" t="s">
        <v>2559</v>
      </c>
      <c r="B349" t="s">
        <v>3897</v>
      </c>
      <c r="C349" t="s">
        <v>3784</v>
      </c>
      <c r="D349" t="s">
        <v>2560</v>
      </c>
      <c r="E349" t="s">
        <v>2680</v>
      </c>
      <c r="F349">
        <v>66</v>
      </c>
      <c r="H349" t="s">
        <v>811</v>
      </c>
      <c r="I349" t="s">
        <v>841</v>
      </c>
      <c r="J349" t="s">
        <v>3898</v>
      </c>
      <c r="K349" t="s">
        <v>176</v>
      </c>
      <c r="L349" t="s">
        <v>198</v>
      </c>
      <c r="M349" t="s">
        <v>198</v>
      </c>
      <c r="N349" t="s">
        <v>199</v>
      </c>
      <c r="O349" t="s">
        <v>200</v>
      </c>
      <c r="P349" t="s">
        <v>198</v>
      </c>
      <c r="Q349">
        <v>175</v>
      </c>
      <c r="R349">
        <v>172</v>
      </c>
      <c r="Z349">
        <v>0.8468</v>
      </c>
      <c r="AA349">
        <v>0.8427</v>
      </c>
      <c r="AB349">
        <v>0.83279999999999998</v>
      </c>
    </row>
    <row r="350" spans="1:28">
      <c r="A350" t="s">
        <v>2340</v>
      </c>
      <c r="B350" t="s">
        <v>3899</v>
      </c>
      <c r="C350" t="s">
        <v>3787</v>
      </c>
      <c r="D350" t="s">
        <v>2341</v>
      </c>
      <c r="E350" t="s">
        <v>2797</v>
      </c>
      <c r="F350">
        <v>66</v>
      </c>
      <c r="H350" t="s">
        <v>811</v>
      </c>
      <c r="I350" t="s">
        <v>841</v>
      </c>
      <c r="J350" t="s">
        <v>3900</v>
      </c>
      <c r="K350" t="s">
        <v>215</v>
      </c>
      <c r="L350" t="s">
        <v>219</v>
      </c>
      <c r="M350" t="s">
        <v>219</v>
      </c>
      <c r="N350" t="s">
        <v>199</v>
      </c>
      <c r="O350" t="s">
        <v>220</v>
      </c>
      <c r="P350" t="s">
        <v>219</v>
      </c>
      <c r="Q350">
        <v>57.5</v>
      </c>
      <c r="R350">
        <v>56</v>
      </c>
      <c r="AA350">
        <v>0.87409999999999999</v>
      </c>
      <c r="AB350">
        <v>0.82869999999999999</v>
      </c>
    </row>
    <row r="351" spans="1:28">
      <c r="A351" t="s">
        <v>2979</v>
      </c>
      <c r="B351" t="s">
        <v>3901</v>
      </c>
      <c r="C351" t="s">
        <v>3788</v>
      </c>
      <c r="D351" t="s">
        <v>2980</v>
      </c>
      <c r="E351" t="s">
        <v>2797</v>
      </c>
      <c r="F351">
        <v>66</v>
      </c>
      <c r="H351" t="s">
        <v>811</v>
      </c>
      <c r="I351" t="s">
        <v>841</v>
      </c>
      <c r="J351" t="s">
        <v>3902</v>
      </c>
      <c r="K351" t="s">
        <v>166</v>
      </c>
      <c r="L351" t="s">
        <v>198</v>
      </c>
      <c r="M351" t="s">
        <v>198</v>
      </c>
      <c r="N351" t="s">
        <v>199</v>
      </c>
      <c r="O351" t="s">
        <v>200</v>
      </c>
      <c r="P351" t="s">
        <v>198</v>
      </c>
      <c r="Q351">
        <v>91.92</v>
      </c>
      <c r="R351">
        <v>119</v>
      </c>
      <c r="AA351">
        <v>0.96889999999999998</v>
      </c>
      <c r="AB351">
        <v>0.9798</v>
      </c>
    </row>
    <row r="352" spans="1:28">
      <c r="A352" t="s">
        <v>2810</v>
      </c>
      <c r="B352" t="s">
        <v>3903</v>
      </c>
      <c r="C352" t="s">
        <v>3657</v>
      </c>
      <c r="D352" t="s">
        <v>2811</v>
      </c>
      <c r="E352" t="s">
        <v>1310</v>
      </c>
      <c r="F352">
        <v>66</v>
      </c>
      <c r="H352" t="s">
        <v>811</v>
      </c>
      <c r="I352" t="s">
        <v>804</v>
      </c>
      <c r="J352" t="s">
        <v>3904</v>
      </c>
      <c r="K352" t="s">
        <v>184</v>
      </c>
      <c r="L352" t="s">
        <v>198</v>
      </c>
      <c r="M352" t="s">
        <v>198</v>
      </c>
      <c r="N352" t="s">
        <v>199</v>
      </c>
      <c r="O352" t="s">
        <v>200</v>
      </c>
      <c r="P352" t="s">
        <v>198</v>
      </c>
      <c r="Q352">
        <v>28.7</v>
      </c>
      <c r="R352">
        <v>28</v>
      </c>
      <c r="AA352">
        <v>1.0016</v>
      </c>
      <c r="AB352">
        <v>0.97</v>
      </c>
    </row>
    <row r="353" spans="1:31">
      <c r="A353" t="str">
        <f>VLOOKUP($D353,wa_2!$A:$P,2,FALSE)</f>
        <v>Albany Grasmere Wind Farm</v>
      </c>
      <c r="B353" t="str">
        <f>VLOOKUP($D353,wa_2!$A:$Q,3,FALSE)</f>
        <v>ALBGRAS</v>
      </c>
      <c r="C353" t="str">
        <f>VLOOKUP($D353,wa_2!$A:$Q,17,FALSE)</f>
        <v>SRV AGWF Pty Ltd as trustee for AGWF Trust</v>
      </c>
      <c r="D353" t="s">
        <v>4412</v>
      </c>
      <c r="J353" t="str">
        <f>"{""lat"": "&amp;AD353&amp;",""lng"": "&amp;AE353&amp;"}"</f>
        <v>{"lat": -35.06573,"lng": 117.799674}</v>
      </c>
      <c r="K353" t="s">
        <v>4588</v>
      </c>
      <c r="L353" t="str">
        <f>VLOOKUP($D353,wa_2!$A:$Q,7,FALSE)</f>
        <v>Wind</v>
      </c>
      <c r="M353" t="str">
        <f>VLOOKUP($D353,wa_2!$A:$Q,8,FALSE)</f>
        <v>Wind</v>
      </c>
      <c r="P353" t="str">
        <f>VLOOKUP(M353,ref!A:B,2,FALSE)</f>
        <v>Wind</v>
      </c>
      <c r="Q353">
        <f>VLOOKUP($D353,wa_2!$A:$Q,16,FALSE)</f>
        <v>21.6</v>
      </c>
      <c r="S353">
        <f>SUMIFS(MLF_WA!$C:$C,MLF_WA!$E:$E,final!S$399,MLF_WA!$A:$A,VLOOKUP(final!$A353,ref!$D:$F,3,FALSE))</f>
        <v>1.0423</v>
      </c>
      <c r="T353">
        <f>SUMIFS(MLF_WA!$C:$C,MLF_WA!$E:$E,final!T$399,MLF_WA!$A:$A,VLOOKUP(final!$A353,ref!$D:$F,3,FALSE))</f>
        <v>1.0398000000000001</v>
      </c>
      <c r="U353">
        <f>SUMIFS(MLF_WA!$C:$C,MLF_WA!$E:$E,final!U$399,MLF_WA!$A:$A,VLOOKUP(final!$A353,ref!$D:$F,3,FALSE))</f>
        <v>1.0720000000000001</v>
      </c>
      <c r="V353">
        <f>SUMIFS(MLF_WA!$C:$C,MLF_WA!$E:$E,final!V$399,MLF_WA!$A:$A,VLOOKUP(final!$A353,ref!$D:$F,3,FALSE))</f>
        <v>1.0699000000000001</v>
      </c>
      <c r="W353">
        <f>SUMIFS(MLF_WA!$C:$C,MLF_WA!$E:$E,final!W$399,MLF_WA!$A:$A,VLOOKUP(final!$A353,ref!$D:$F,3,FALSE))</f>
        <v>1.0926</v>
      </c>
      <c r="X353">
        <f>SUMIFS(MLF_WA!$C:$C,MLF_WA!$E:$E,final!X$399,MLF_WA!$A:$A,VLOOKUP(final!$A353,ref!$D:$F,3,FALSE))</f>
        <v>1.0684</v>
      </c>
      <c r="Y353">
        <f>SUMIFS(MLF_WA!$C:$C,MLF_WA!$E:$E,final!Y$399,MLF_WA!$A:$A,VLOOKUP(final!$A353,ref!$D:$F,3,FALSE))</f>
        <v>1.0710999999999999</v>
      </c>
      <c r="Z353">
        <f>SUMIFS(MLF_WA!$C:$C,MLF_WA!$E:$E,final!Z$399,MLF_WA!$A:$A,VLOOKUP(final!$A353,ref!$D:$F,3,FALSE))</f>
        <v>1.0988</v>
      </c>
      <c r="AA353">
        <f>SUMIFS(MLF_WA!$C:$C,MLF_WA!$E:$E,final!AA$399,MLF_WA!$A:$A,VLOOKUP(final!$A353,ref!$D:$F,3,FALSE))</f>
        <v>1.0535000000000001</v>
      </c>
      <c r="AC353" t="str">
        <f>VLOOKUP($D353,wa_2!$A:$P,4,FALSE)</f>
        <v>-35.065730, 117.799674</v>
      </c>
      <c r="AD353">
        <f>VALUE(LEFT(AC353,FIND(",",AC353)-1))</f>
        <v>-35.065730000000002</v>
      </c>
      <c r="AE353" s="8">
        <f>VALUE(RIGHT(AC353,LEN(AC353)-FIND(",",AC353)))</f>
        <v>117.799674</v>
      </c>
    </row>
    <row r="354" spans="1:31">
      <c r="A354" t="str">
        <f>VLOOKUP($D354,wa_2!$A:$P,2,FALSE)</f>
        <v>Pinjarra Power Station</v>
      </c>
      <c r="B354" t="str">
        <f>VLOOKUP($D354,wa_2!$A:$Q,3,FALSE)</f>
        <v>PINJARRA</v>
      </c>
      <c r="C354" t="str">
        <f>VLOOKUP($D354,wa_2!$A:$Q,17,FALSE)</f>
        <v>Alinta Sales</v>
      </c>
      <c r="D354" t="s">
        <v>4416</v>
      </c>
      <c r="J354" t="str">
        <f t="shared" ref="J354:J397" si="0">"{""lat"": "&amp;AD354&amp;",""lng"": "&amp;AE354&amp;"}"</f>
        <v>{"lat": -32.647142,"lng": 115.946862}</v>
      </c>
      <c r="K354" t="s">
        <v>4588</v>
      </c>
      <c r="L354" t="str">
        <f>VLOOKUP($D354,wa_2!$A:$Q,7,FALSE)</f>
        <v>Gas</v>
      </c>
      <c r="M354" t="str">
        <f>VLOOKUP($D354,wa_2!$A:$Q,8,FALSE)</f>
        <v>Gas</v>
      </c>
      <c r="P354" t="str">
        <f>VLOOKUP(M354,ref!A:B,2,FALSE)</f>
        <v>Gas</v>
      </c>
      <c r="Q354">
        <f>VLOOKUP($D354,wa_2!$A:$Q,16,FALSE)</f>
        <v>143</v>
      </c>
      <c r="S354">
        <f>SUMIFS(MLF_WA!$C:$C,MLF_WA!$E:$E,final!S$399,MLF_WA!$A:$A,VLOOKUP(final!$A354,ref!$D:$F,3,FALSE))</f>
        <v>1.016</v>
      </c>
      <c r="T354">
        <f>SUMIFS(MLF_WA!$C:$C,MLF_WA!$E:$E,final!T$399,MLF_WA!$A:$A,VLOOKUP(final!$A354,ref!$D:$F,3,FALSE))</f>
        <v>1.0204</v>
      </c>
      <c r="U354">
        <f>SUMIFS(MLF_WA!$C:$C,MLF_WA!$E:$E,final!U$399,MLF_WA!$A:$A,VLOOKUP(final!$A354,ref!$D:$F,3,FALSE))</f>
        <v>1.0179</v>
      </c>
      <c r="V354">
        <f>SUMIFS(MLF_WA!$C:$C,MLF_WA!$E:$E,final!V$399,MLF_WA!$A:$A,VLOOKUP(final!$A354,ref!$D:$F,3,FALSE))</f>
        <v>1.0184</v>
      </c>
      <c r="W354">
        <f>SUMIFS(MLF_WA!$C:$C,MLF_WA!$E:$E,final!W$399,MLF_WA!$A:$A,VLOOKUP(final!$A354,ref!$D:$F,3,FALSE))</f>
        <v>1.0226</v>
      </c>
      <c r="X354">
        <f>SUMIFS(MLF_WA!$C:$C,MLF_WA!$E:$E,final!X$399,MLF_WA!$A:$A,VLOOKUP(final!$A354,ref!$D:$F,3,FALSE))</f>
        <v>1.02</v>
      </c>
      <c r="Y354">
        <f>SUMIFS(MLF_WA!$C:$C,MLF_WA!$E:$E,final!Y$399,MLF_WA!$A:$A,VLOOKUP(final!$A354,ref!$D:$F,3,FALSE))</f>
        <v>1.0166999999999999</v>
      </c>
      <c r="Z354">
        <f>SUMIFS(MLF_WA!$C:$C,MLF_WA!$E:$E,final!Z$399,MLF_WA!$A:$A,VLOOKUP(final!$A354,ref!$D:$F,3,FALSE))</f>
        <v>1.0194000000000001</v>
      </c>
      <c r="AA354">
        <f>SUMIFS(MLF_WA!$C:$C,MLF_WA!$E:$E,final!AA$399,MLF_WA!$A:$A,VLOOKUP(final!$A354,ref!$D:$F,3,FALSE))</f>
        <v>1.01</v>
      </c>
      <c r="AC354" t="str">
        <f>VLOOKUP($D354,wa_2!$A:$P,4,FALSE)</f>
        <v>-32.647142, 115.946862</v>
      </c>
      <c r="AD354">
        <f t="shared" ref="AD354:AD397" si="1">VALUE(LEFT(AC354,FIND(",",AC354)-1))</f>
        <v>-32.647142000000002</v>
      </c>
      <c r="AE354" s="8">
        <f t="shared" ref="AE354:AE397" si="2">VALUE(RIGHT(AC354,LEN(AC354)-FIND(",",AC354)))</f>
        <v>115.946862</v>
      </c>
    </row>
    <row r="355" spans="1:31">
      <c r="A355" t="str">
        <f>VLOOKUP($D355,wa_2!$A:$P,2,FALSE)</f>
        <v>Pinjarra Power Station</v>
      </c>
      <c r="B355" t="str">
        <f>VLOOKUP($D355,wa_2!$A:$Q,3,FALSE)</f>
        <v>PINJARRA</v>
      </c>
      <c r="C355" t="str">
        <f>VLOOKUP($D355,wa_2!$A:$Q,17,FALSE)</f>
        <v>Alinta Sales</v>
      </c>
      <c r="D355" t="s">
        <v>4418</v>
      </c>
      <c r="J355" t="str">
        <f t="shared" si="0"/>
        <v>{"lat": -32.647142,"lng": 115.946862}</v>
      </c>
      <c r="K355" t="s">
        <v>4588</v>
      </c>
      <c r="L355" t="str">
        <f>VLOOKUP($D355,wa_2!$A:$Q,7,FALSE)</f>
        <v>Gas</v>
      </c>
      <c r="M355" t="str">
        <f>VLOOKUP($D355,wa_2!$A:$Q,8,FALSE)</f>
        <v>Gas</v>
      </c>
      <c r="P355" t="str">
        <f>VLOOKUP(M355,ref!A:B,2,FALSE)</f>
        <v>Gas</v>
      </c>
      <c r="Q355">
        <f>VLOOKUP($D355,wa_2!$A:$Q,16,FALSE)</f>
        <v>143</v>
      </c>
      <c r="S355">
        <f>SUMIFS(MLF_WA!$C:$C,MLF_WA!$E:$E,final!S$399,MLF_WA!$A:$A,VLOOKUP(final!$A355,ref!$D:$F,3,FALSE))</f>
        <v>1.016</v>
      </c>
      <c r="T355">
        <f>SUMIFS(MLF_WA!$C:$C,MLF_WA!$E:$E,final!T$399,MLF_WA!$A:$A,VLOOKUP(final!$A355,ref!$D:$F,3,FALSE))</f>
        <v>1.0204</v>
      </c>
      <c r="U355">
        <f>SUMIFS(MLF_WA!$C:$C,MLF_WA!$E:$E,final!U$399,MLF_WA!$A:$A,VLOOKUP(final!$A355,ref!$D:$F,3,FALSE))</f>
        <v>1.0179</v>
      </c>
      <c r="V355">
        <f>SUMIFS(MLF_WA!$C:$C,MLF_WA!$E:$E,final!V$399,MLF_WA!$A:$A,VLOOKUP(final!$A355,ref!$D:$F,3,FALSE))</f>
        <v>1.0184</v>
      </c>
      <c r="W355">
        <f>SUMIFS(MLF_WA!$C:$C,MLF_WA!$E:$E,final!W$399,MLF_WA!$A:$A,VLOOKUP(final!$A355,ref!$D:$F,3,FALSE))</f>
        <v>1.0226</v>
      </c>
      <c r="X355">
        <f>SUMIFS(MLF_WA!$C:$C,MLF_WA!$E:$E,final!X$399,MLF_WA!$A:$A,VLOOKUP(final!$A355,ref!$D:$F,3,FALSE))</f>
        <v>1.02</v>
      </c>
      <c r="Y355">
        <f>SUMIFS(MLF_WA!$C:$C,MLF_WA!$E:$E,final!Y$399,MLF_WA!$A:$A,VLOOKUP(final!$A355,ref!$D:$F,3,FALSE))</f>
        <v>1.0166999999999999</v>
      </c>
      <c r="Z355">
        <f>SUMIFS(MLF_WA!$C:$C,MLF_WA!$E:$E,final!Z$399,MLF_WA!$A:$A,VLOOKUP(final!$A355,ref!$D:$F,3,FALSE))</f>
        <v>1.0194000000000001</v>
      </c>
      <c r="AA355">
        <f>SUMIFS(MLF_WA!$C:$C,MLF_WA!$E:$E,final!AA$399,MLF_WA!$A:$A,VLOOKUP(final!$A355,ref!$D:$F,3,FALSE))</f>
        <v>1.01</v>
      </c>
      <c r="AC355" t="str">
        <f>VLOOKUP($D355,wa_2!$A:$P,4,FALSE)</f>
        <v>-32.647142, 115.946862</v>
      </c>
      <c r="AD355">
        <f t="shared" si="1"/>
        <v>-32.647142000000002</v>
      </c>
      <c r="AE355" s="8">
        <f t="shared" si="2"/>
        <v>115.946862</v>
      </c>
    </row>
    <row r="356" spans="1:31">
      <c r="A356" t="str">
        <f>VLOOKUP($D356,wa_2!$A:$P,2,FALSE)</f>
        <v>Wagerup Power Station</v>
      </c>
      <c r="B356" t="str">
        <f>VLOOKUP($D356,wa_2!$A:$Q,3,FALSE)</f>
        <v>WAGERUP</v>
      </c>
      <c r="C356" t="str">
        <f>VLOOKUP($D356,wa_2!$A:$Q,17,FALSE)</f>
        <v>Alinta Sales</v>
      </c>
      <c r="D356" t="s">
        <v>4420</v>
      </c>
      <c r="J356" t="str">
        <f t="shared" si="0"/>
        <v>{"lat": -32.915898,"lng": 115.919063}</v>
      </c>
      <c r="K356" t="s">
        <v>4588</v>
      </c>
      <c r="L356" t="str">
        <f>VLOOKUP($D356,wa_2!$A:$Q,7,FALSE)</f>
        <v>Dual (Gas / Distillate)</v>
      </c>
      <c r="M356" t="str">
        <f>VLOOKUP($D356,wa_2!$A:$Q,8,FALSE)</f>
        <v>Gas</v>
      </c>
      <c r="P356" t="str">
        <f>VLOOKUP(M356,ref!A:B,2,FALSE)</f>
        <v>Gas</v>
      </c>
      <c r="Q356">
        <f>VLOOKUP($D356,wa_2!$A:$Q,16,FALSE)</f>
        <v>195.15199999999999</v>
      </c>
      <c r="S356">
        <f>SUMIFS(MLF_WA!$C:$C,MLF_WA!$E:$E,final!S$399,MLF_WA!$A:$A,VLOOKUP(final!$A356,ref!$D:$F,3,FALSE))</f>
        <v>0.98729999999999996</v>
      </c>
      <c r="T356">
        <f>SUMIFS(MLF_WA!$C:$C,MLF_WA!$E:$E,final!T$399,MLF_WA!$A:$A,VLOOKUP(final!$A356,ref!$D:$F,3,FALSE))</f>
        <v>0.99099999999999999</v>
      </c>
      <c r="U356">
        <f>SUMIFS(MLF_WA!$C:$C,MLF_WA!$E:$E,final!U$399,MLF_WA!$A:$A,VLOOKUP(final!$A356,ref!$D:$F,3,FALSE))</f>
        <v>0.98980000000000001</v>
      </c>
      <c r="V356">
        <f>SUMIFS(MLF_WA!$C:$C,MLF_WA!$E:$E,final!V$399,MLF_WA!$A:$A,VLOOKUP(final!$A356,ref!$D:$F,3,FALSE))</f>
        <v>0.98680000000000001</v>
      </c>
      <c r="W356">
        <f>SUMIFS(MLF_WA!$C:$C,MLF_WA!$E:$E,final!W$399,MLF_WA!$A:$A,VLOOKUP(final!$A356,ref!$D:$F,3,FALSE))</f>
        <v>0.99239999999999995</v>
      </c>
      <c r="X356">
        <f>SUMIFS(MLF_WA!$C:$C,MLF_WA!$E:$E,final!X$399,MLF_WA!$A:$A,VLOOKUP(final!$A356,ref!$D:$F,3,FALSE))</f>
        <v>0.99639999999999995</v>
      </c>
      <c r="Y356">
        <f>SUMIFS(MLF_WA!$C:$C,MLF_WA!$E:$E,final!Y$399,MLF_WA!$A:$A,VLOOKUP(final!$A356,ref!$D:$F,3,FALSE))</f>
        <v>0.98250000000000004</v>
      </c>
      <c r="Z356">
        <f>SUMIFS(MLF_WA!$C:$C,MLF_WA!$E:$E,final!Z$399,MLF_WA!$A:$A,VLOOKUP(final!$A356,ref!$D:$F,3,FALSE))</f>
        <v>0.99680000000000002</v>
      </c>
      <c r="AA356">
        <f>SUMIFS(MLF_WA!$C:$C,MLF_WA!$E:$E,final!AA$399,MLF_WA!$A:$A,VLOOKUP(final!$A356,ref!$D:$F,3,FALSE))</f>
        <v>0.97009999999999996</v>
      </c>
      <c r="AC356" t="str">
        <f>VLOOKUP($D356,wa_2!$A:$P,4,FALSE)</f>
        <v>-32.915898, 115.919063</v>
      </c>
      <c r="AD356">
        <f t="shared" si="1"/>
        <v>-32.915897999999999</v>
      </c>
      <c r="AE356" s="8">
        <f t="shared" si="2"/>
        <v>115.91906299999999</v>
      </c>
    </row>
    <row r="357" spans="1:31">
      <c r="A357" t="str">
        <f>VLOOKUP($D357,wa_2!$A:$P,2,FALSE)</f>
        <v>Wagerup Power Station</v>
      </c>
      <c r="B357" t="str">
        <f>VLOOKUP($D357,wa_2!$A:$Q,3,FALSE)</f>
        <v>WAGERUP</v>
      </c>
      <c r="C357" t="str">
        <f>VLOOKUP($D357,wa_2!$A:$Q,17,FALSE)</f>
        <v>Alinta Sales</v>
      </c>
      <c r="D357" t="s">
        <v>4425</v>
      </c>
      <c r="J357" t="str">
        <f t="shared" si="0"/>
        <v>{"lat": -32.915898,"lng": 115.919063}</v>
      </c>
      <c r="K357" t="s">
        <v>4588</v>
      </c>
      <c r="L357" t="str">
        <f>VLOOKUP($D357,wa_2!$A:$Q,7,FALSE)</f>
        <v>Dual (Gas / Distillate)</v>
      </c>
      <c r="M357" t="str">
        <f>VLOOKUP($D357,wa_2!$A:$Q,8,FALSE)</f>
        <v>Gas</v>
      </c>
      <c r="P357" t="str">
        <f>VLOOKUP(M357,ref!A:B,2,FALSE)</f>
        <v>Gas</v>
      </c>
      <c r="Q357">
        <f>VLOOKUP($D357,wa_2!$A:$Q,16,FALSE)</f>
        <v>196.84800000000001</v>
      </c>
      <c r="S357">
        <f>SUMIFS(MLF_WA!$C:$C,MLF_WA!$E:$E,final!S$399,MLF_WA!$A:$A,VLOOKUP(final!$A357,ref!$D:$F,3,FALSE))</f>
        <v>0.98729999999999996</v>
      </c>
      <c r="T357">
        <f>SUMIFS(MLF_WA!$C:$C,MLF_WA!$E:$E,final!T$399,MLF_WA!$A:$A,VLOOKUP(final!$A357,ref!$D:$F,3,FALSE))</f>
        <v>0.99099999999999999</v>
      </c>
      <c r="U357">
        <f>SUMIFS(MLF_WA!$C:$C,MLF_WA!$E:$E,final!U$399,MLF_WA!$A:$A,VLOOKUP(final!$A357,ref!$D:$F,3,FALSE))</f>
        <v>0.98980000000000001</v>
      </c>
      <c r="V357">
        <f>SUMIFS(MLF_WA!$C:$C,MLF_WA!$E:$E,final!V$399,MLF_WA!$A:$A,VLOOKUP(final!$A357,ref!$D:$F,3,FALSE))</f>
        <v>0.98680000000000001</v>
      </c>
      <c r="W357">
        <f>SUMIFS(MLF_WA!$C:$C,MLF_WA!$E:$E,final!W$399,MLF_WA!$A:$A,VLOOKUP(final!$A357,ref!$D:$F,3,FALSE))</f>
        <v>0.99239999999999995</v>
      </c>
      <c r="X357">
        <f>SUMIFS(MLF_WA!$C:$C,MLF_WA!$E:$E,final!X$399,MLF_WA!$A:$A,VLOOKUP(final!$A357,ref!$D:$F,3,FALSE))</f>
        <v>0.99639999999999995</v>
      </c>
      <c r="Y357">
        <f>SUMIFS(MLF_WA!$C:$C,MLF_WA!$E:$E,final!Y$399,MLF_WA!$A:$A,VLOOKUP(final!$A357,ref!$D:$F,3,FALSE))</f>
        <v>0.98250000000000004</v>
      </c>
      <c r="Z357">
        <f>SUMIFS(MLF_WA!$C:$C,MLF_WA!$E:$E,final!Z$399,MLF_WA!$A:$A,VLOOKUP(final!$A357,ref!$D:$F,3,FALSE))</f>
        <v>0.99680000000000002</v>
      </c>
      <c r="AA357">
        <f>SUMIFS(MLF_WA!$C:$C,MLF_WA!$E:$E,final!AA$399,MLF_WA!$A:$A,VLOOKUP(final!$A357,ref!$D:$F,3,FALSE))</f>
        <v>0.97009999999999996</v>
      </c>
      <c r="AC357" t="str">
        <f>VLOOKUP($D357,wa_2!$A:$P,4,FALSE)</f>
        <v>-32.915898, 115.919063</v>
      </c>
      <c r="AD357">
        <f t="shared" si="1"/>
        <v>-32.915897999999999</v>
      </c>
      <c r="AE357" s="8">
        <f t="shared" si="2"/>
        <v>115.91906299999999</v>
      </c>
    </row>
    <row r="358" spans="1:31">
      <c r="A358" t="str">
        <f>VLOOKUP($D358,wa_2!$A:$P,2,FALSE)</f>
        <v>Walkaway Wind Farm</v>
      </c>
      <c r="B358" t="str">
        <f>VLOOKUP($D358,wa_2!$A:$Q,3,FALSE)</f>
        <v>ALINTA_WWF</v>
      </c>
      <c r="C358" t="str">
        <f>VLOOKUP($D358,wa_2!$A:$Q,17,FALSE)</f>
        <v>Alinta Sales</v>
      </c>
      <c r="D358" t="s">
        <v>4427</v>
      </c>
      <c r="J358" t="str">
        <f t="shared" si="0"/>
        <v>{"lat": -28.902455,"lng": 114.892743}</v>
      </c>
      <c r="K358" t="s">
        <v>4588</v>
      </c>
      <c r="L358" t="str">
        <f>VLOOKUP($D358,wa_2!$A:$Q,7,FALSE)</f>
        <v>Wind</v>
      </c>
      <c r="M358" t="str">
        <f>VLOOKUP($D358,wa_2!$A:$Q,8,FALSE)</f>
        <v>Wind</v>
      </c>
      <c r="P358" t="str">
        <f>VLOOKUP(M358,ref!A:B,2,FALSE)</f>
        <v>Wind</v>
      </c>
      <c r="Q358">
        <f>VLOOKUP($D358,wa_2!$A:$Q,16,FALSE)</f>
        <v>89.1</v>
      </c>
      <c r="S358">
        <f>SUMIFS(MLF_WA!$C:$C,MLF_WA!$E:$E,final!S$399,MLF_WA!$A:$A,VLOOKUP(final!$A358,ref!$D:$F,3,FALSE))</f>
        <v>0.95479999999999998</v>
      </c>
      <c r="T358">
        <f>SUMIFS(MLF_WA!$C:$C,MLF_WA!$E:$E,final!T$399,MLF_WA!$A:$A,VLOOKUP(final!$A358,ref!$D:$F,3,FALSE))</f>
        <v>0.94940000000000002</v>
      </c>
      <c r="U358">
        <f>SUMIFS(MLF_WA!$C:$C,MLF_WA!$E:$E,final!U$399,MLF_WA!$A:$A,VLOOKUP(final!$A358,ref!$D:$F,3,FALSE))</f>
        <v>0.94440000000000002</v>
      </c>
      <c r="V358">
        <f>SUMIFS(MLF_WA!$C:$C,MLF_WA!$E:$E,final!V$399,MLF_WA!$A:$A,VLOOKUP(final!$A358,ref!$D:$F,3,FALSE))</f>
        <v>0.95599999999999996</v>
      </c>
      <c r="W358">
        <f>SUMIFS(MLF_WA!$C:$C,MLF_WA!$E:$E,final!W$399,MLF_WA!$A:$A,VLOOKUP(final!$A358,ref!$D:$F,3,FALSE))</f>
        <v>0.90269999999999995</v>
      </c>
      <c r="X358">
        <f>SUMIFS(MLF_WA!$C:$C,MLF_WA!$E:$E,final!X$399,MLF_WA!$A:$A,VLOOKUP(final!$A358,ref!$D:$F,3,FALSE))</f>
        <v>0.93840000000000001</v>
      </c>
      <c r="Y358">
        <f>SUMIFS(MLF_WA!$C:$C,MLF_WA!$E:$E,final!Y$399,MLF_WA!$A:$A,VLOOKUP(final!$A358,ref!$D:$F,3,FALSE))</f>
        <v>0.95189999999999997</v>
      </c>
      <c r="Z358">
        <f>SUMIFS(MLF_WA!$C:$C,MLF_WA!$E:$E,final!Z$399,MLF_WA!$A:$A,VLOOKUP(final!$A358,ref!$D:$F,3,FALSE))</f>
        <v>0.94869999999999999</v>
      </c>
      <c r="AA358">
        <f>SUMIFS(MLF_WA!$C:$C,MLF_WA!$E:$E,final!AA$399,MLF_WA!$A:$A,VLOOKUP(final!$A358,ref!$D:$F,3,FALSE))</f>
        <v>0.94750000000000001</v>
      </c>
      <c r="AC358" t="str">
        <f>VLOOKUP($D358,wa_2!$A:$P,4,FALSE)</f>
        <v>-28.902455, 114.892743</v>
      </c>
      <c r="AD358">
        <f t="shared" si="1"/>
        <v>-28.902455</v>
      </c>
      <c r="AE358" s="8">
        <f t="shared" si="2"/>
        <v>114.892743</v>
      </c>
    </row>
    <row r="359" spans="1:31">
      <c r="A359" t="str">
        <f>VLOOKUP($D359,wa_2!$A:$P,2,FALSE)</f>
        <v>Badgingarra Wind Farm</v>
      </c>
      <c r="B359" t="str">
        <f>VLOOKUP($D359,wa_2!$A:$Q,3,FALSE)</f>
        <v>BADGINGARRA_WF1</v>
      </c>
      <c r="C359" t="str">
        <f>VLOOKUP($D359,wa_2!$A:$Q,17,FALSE)</f>
        <v>Alinta Sales</v>
      </c>
      <c r="D359" t="s">
        <v>4429</v>
      </c>
      <c r="J359" t="str">
        <f t="shared" si="0"/>
        <v>{"lat": -30.406656,"lng": 115.334247}</v>
      </c>
      <c r="K359" t="s">
        <v>4588</v>
      </c>
      <c r="L359" t="str">
        <f>VLOOKUP($D359,wa_2!$A:$Q,7,FALSE)</f>
        <v>Wind</v>
      </c>
      <c r="M359" t="str">
        <f>VLOOKUP($D359,wa_2!$A:$Q,8,FALSE)</f>
        <v>Wind</v>
      </c>
      <c r="P359" t="str">
        <f>VLOOKUP(M359,ref!A:B,2,FALSE)</f>
        <v>Wind</v>
      </c>
      <c r="Q359">
        <f>VLOOKUP($D359,wa_2!$A:$Q,16,FALSE)</f>
        <v>130</v>
      </c>
      <c r="AC359" t="str">
        <f>VLOOKUP($D359,wa_2!$A:$P,4,FALSE)</f>
        <v>-30.406656, 115.334247</v>
      </c>
      <c r="AD359">
        <f t="shared" si="1"/>
        <v>-30.406656000000002</v>
      </c>
      <c r="AE359" s="8">
        <f t="shared" si="2"/>
        <v>115.334247</v>
      </c>
    </row>
    <row r="360" spans="1:31">
      <c r="A360" t="str">
        <f>VLOOKUP($D360,wa_2!$A:$P,2,FALSE)</f>
        <v>Bluewaters Power Station</v>
      </c>
      <c r="B360" t="str">
        <f>VLOOKUP($D360,wa_2!$A:$Q,3,FALSE)</f>
        <v>BLUEWATERS</v>
      </c>
      <c r="C360" t="str">
        <f>VLOOKUP($D360,wa_2!$A:$Q,17,FALSE)</f>
        <v>Bluewaters Power 1</v>
      </c>
      <c r="D360" t="s">
        <v>4433</v>
      </c>
      <c r="J360" t="str">
        <f t="shared" si="0"/>
        <v>{"lat": -33.330647,"lng": 116.228153}</v>
      </c>
      <c r="K360" t="s">
        <v>4588</v>
      </c>
      <c r="L360" t="str">
        <f>VLOOKUP($D360,wa_2!$A:$Q,7,FALSE)</f>
        <v>Coal</v>
      </c>
      <c r="M360" t="str">
        <f>VLOOKUP($D360,wa_2!$A:$Q,8,FALSE)</f>
        <v>Coal</v>
      </c>
      <c r="P360" t="str">
        <f>VLOOKUP(M360,ref!A:B,2,FALSE)</f>
        <v>Coal</v>
      </c>
      <c r="Q360">
        <f>VLOOKUP($D360,wa_2!$A:$Q,16,FALSE)</f>
        <v>217</v>
      </c>
      <c r="S360">
        <f>SUMIFS(MLF_WA!$C:$C,MLF_WA!$E:$E,final!S$399,MLF_WA!$A:$A,VLOOKUP(final!$A360,ref!$D:$F,3,FALSE))</f>
        <v>0.99939999999999996</v>
      </c>
      <c r="T360">
        <f>SUMIFS(MLF_WA!$C:$C,MLF_WA!$E:$E,final!T$399,MLF_WA!$A:$A,VLOOKUP(final!$A360,ref!$D:$F,3,FALSE))</f>
        <v>0.99870000000000003</v>
      </c>
      <c r="U360">
        <f>SUMIFS(MLF_WA!$C:$C,MLF_WA!$E:$E,final!U$399,MLF_WA!$A:$A,VLOOKUP(final!$A360,ref!$D:$F,3,FALSE))</f>
        <v>0.99870000000000003</v>
      </c>
      <c r="V360">
        <f>SUMIFS(MLF_WA!$C:$C,MLF_WA!$E:$E,final!V$399,MLF_WA!$A:$A,VLOOKUP(final!$A360,ref!$D:$F,3,FALSE))</f>
        <v>0.99919999999999998</v>
      </c>
      <c r="W360">
        <f>SUMIFS(MLF_WA!$C:$C,MLF_WA!$E:$E,final!W$399,MLF_WA!$A:$A,VLOOKUP(final!$A360,ref!$D:$F,3,FALSE))</f>
        <v>1.0004</v>
      </c>
      <c r="X360">
        <f>SUMIFS(MLF_WA!$C:$C,MLF_WA!$E:$E,final!X$399,MLF_WA!$A:$A,VLOOKUP(final!$A360,ref!$D:$F,3,FALSE))</f>
        <v>0.99939999999999996</v>
      </c>
      <c r="Y360">
        <f>SUMIFS(MLF_WA!$C:$C,MLF_WA!$E:$E,final!Y$399,MLF_WA!$A:$A,VLOOKUP(final!$A360,ref!$D:$F,3,FALSE))</f>
        <v>0.99980000000000002</v>
      </c>
      <c r="Z360">
        <f>SUMIFS(MLF_WA!$C:$C,MLF_WA!$E:$E,final!Z$399,MLF_WA!$A:$A,VLOOKUP(final!$A360,ref!$D:$F,3,FALSE))</f>
        <v>0.99919999999999998</v>
      </c>
      <c r="AA360">
        <f>SUMIFS(MLF_WA!$C:$C,MLF_WA!$E:$E,final!AA$399,MLF_WA!$A:$A,VLOOKUP(final!$A360,ref!$D:$F,3,FALSE))</f>
        <v>1.0004</v>
      </c>
      <c r="AC360" t="str">
        <f>VLOOKUP($D360,wa_2!$A:$P,4,FALSE)</f>
        <v>-33.330647, 116.228153</v>
      </c>
      <c r="AD360">
        <f t="shared" si="1"/>
        <v>-33.330646999999999</v>
      </c>
      <c r="AE360" s="8">
        <f t="shared" si="2"/>
        <v>116.22815300000001</v>
      </c>
    </row>
    <row r="361" spans="1:31">
      <c r="A361" t="str">
        <f>VLOOKUP($D361,wa_2!$A:$P,2,FALSE)</f>
        <v>Bluewaters Power Station</v>
      </c>
      <c r="B361" t="str">
        <f>VLOOKUP($D361,wa_2!$A:$Q,3,FALSE)</f>
        <v>BLUEWATERS</v>
      </c>
      <c r="C361" t="str">
        <f>VLOOKUP($D361,wa_2!$A:$Q,17,FALSE)</f>
        <v>Bluewaters Power 2</v>
      </c>
      <c r="D361" t="s">
        <v>4436</v>
      </c>
      <c r="J361" t="str">
        <f t="shared" si="0"/>
        <v>{"lat": -33.330647,"lng": 116.228153}</v>
      </c>
      <c r="K361" t="s">
        <v>4588</v>
      </c>
      <c r="L361" t="str">
        <f>VLOOKUP($D361,wa_2!$A:$Q,7,FALSE)</f>
        <v>Coal</v>
      </c>
      <c r="M361" t="str">
        <f>VLOOKUP($D361,wa_2!$A:$Q,8,FALSE)</f>
        <v>Coal</v>
      </c>
      <c r="P361" t="str">
        <f>VLOOKUP(M361,ref!A:B,2,FALSE)</f>
        <v>Coal</v>
      </c>
      <c r="Q361">
        <f>VLOOKUP($D361,wa_2!$A:$Q,16,FALSE)</f>
        <v>217</v>
      </c>
      <c r="S361">
        <f>SUMIFS(MLF_WA!$C:$C,MLF_WA!$E:$E,final!S$399,MLF_WA!$A:$A,VLOOKUP(final!$A361,ref!$D:$F,3,FALSE))</f>
        <v>0.99939999999999996</v>
      </c>
      <c r="T361">
        <f>SUMIFS(MLF_WA!$C:$C,MLF_WA!$E:$E,final!T$399,MLF_WA!$A:$A,VLOOKUP(final!$A361,ref!$D:$F,3,FALSE))</f>
        <v>0.99870000000000003</v>
      </c>
      <c r="U361">
        <f>SUMIFS(MLF_WA!$C:$C,MLF_WA!$E:$E,final!U$399,MLF_WA!$A:$A,VLOOKUP(final!$A361,ref!$D:$F,3,FALSE))</f>
        <v>0.99870000000000003</v>
      </c>
      <c r="V361">
        <f>SUMIFS(MLF_WA!$C:$C,MLF_WA!$E:$E,final!V$399,MLF_WA!$A:$A,VLOOKUP(final!$A361,ref!$D:$F,3,FALSE))</f>
        <v>0.99919999999999998</v>
      </c>
      <c r="W361">
        <f>SUMIFS(MLF_WA!$C:$C,MLF_WA!$E:$E,final!W$399,MLF_WA!$A:$A,VLOOKUP(final!$A361,ref!$D:$F,3,FALSE))</f>
        <v>1.0004</v>
      </c>
      <c r="X361">
        <f>SUMIFS(MLF_WA!$C:$C,MLF_WA!$E:$E,final!X$399,MLF_WA!$A:$A,VLOOKUP(final!$A361,ref!$D:$F,3,FALSE))</f>
        <v>0.99939999999999996</v>
      </c>
      <c r="Y361">
        <f>SUMIFS(MLF_WA!$C:$C,MLF_WA!$E:$E,final!Y$399,MLF_WA!$A:$A,VLOOKUP(final!$A361,ref!$D:$F,3,FALSE))</f>
        <v>0.99980000000000002</v>
      </c>
      <c r="Z361">
        <f>SUMIFS(MLF_WA!$C:$C,MLF_WA!$E:$E,final!Z$399,MLF_WA!$A:$A,VLOOKUP(final!$A361,ref!$D:$F,3,FALSE))</f>
        <v>0.99919999999999998</v>
      </c>
      <c r="AA361">
        <f>SUMIFS(MLF_WA!$C:$C,MLF_WA!$E:$E,final!AA$399,MLF_WA!$A:$A,VLOOKUP(final!$A361,ref!$D:$F,3,FALSE))</f>
        <v>1.0004</v>
      </c>
      <c r="AC361" t="str">
        <f>VLOOKUP($D361,wa_2!$A:$P,4,FALSE)</f>
        <v>-33.330647, 116.228153</v>
      </c>
      <c r="AD361">
        <f t="shared" si="1"/>
        <v>-33.330646999999999</v>
      </c>
      <c r="AE361" s="8">
        <f t="shared" si="2"/>
        <v>116.22815300000001</v>
      </c>
    </row>
    <row r="362" spans="1:31">
      <c r="A362" t="str">
        <f>VLOOKUP($D362,wa_2!$A:$P,2,FALSE)</f>
        <v>Cockburn Power Station</v>
      </c>
      <c r="B362" t="str">
        <f>VLOOKUP($D362,wa_2!$A:$Q,3,FALSE)</f>
        <v>COCKBURN_CCG1</v>
      </c>
      <c r="C362" t="str">
        <f>VLOOKUP($D362,wa_2!$A:$Q,17,FALSE)</f>
        <v>Synergy</v>
      </c>
      <c r="D362" t="s">
        <v>4438</v>
      </c>
      <c r="J362" t="str">
        <f t="shared" si="0"/>
        <v>{"lat": -32.200481,"lng": 115.774605}</v>
      </c>
      <c r="K362" t="s">
        <v>4588</v>
      </c>
      <c r="L362" t="str">
        <f>VLOOKUP($D362,wa_2!$A:$Q,7,FALSE)</f>
        <v>Gas</v>
      </c>
      <c r="M362" t="str">
        <f>VLOOKUP($D362,wa_2!$A:$Q,8,FALSE)</f>
        <v>Gas</v>
      </c>
      <c r="P362" t="str">
        <f>VLOOKUP(M362,ref!A:B,2,FALSE)</f>
        <v>Gas</v>
      </c>
      <c r="Q362">
        <f>VLOOKUP($D362,wa_2!$A:$Q,16,FALSE)</f>
        <v>249.7</v>
      </c>
      <c r="S362">
        <f>SUMIFS(MLF_WA!$C:$C,MLF_WA!$E:$E,final!S$399,MLF_WA!$A:$A,VLOOKUP(final!$A362,ref!$D:$F,3,FALSE))</f>
        <v>1.0143</v>
      </c>
      <c r="T362">
        <f>SUMIFS(MLF_WA!$C:$C,MLF_WA!$E:$E,final!T$399,MLF_WA!$A:$A,VLOOKUP(final!$A362,ref!$D:$F,3,FALSE))</f>
        <v>1.0141</v>
      </c>
      <c r="U362">
        <f>SUMIFS(MLF_WA!$C:$C,MLF_WA!$E:$E,final!U$399,MLF_WA!$A:$A,VLOOKUP(final!$A362,ref!$D:$F,3,FALSE))</f>
        <v>1.0164</v>
      </c>
      <c r="V362">
        <f>SUMIFS(MLF_WA!$C:$C,MLF_WA!$E:$E,final!V$399,MLF_WA!$A:$A,VLOOKUP(final!$A362,ref!$D:$F,3,FALSE))</f>
        <v>1.0201</v>
      </c>
      <c r="W362">
        <f>SUMIFS(MLF_WA!$C:$C,MLF_WA!$E:$E,final!W$399,MLF_WA!$A:$A,VLOOKUP(final!$A362,ref!$D:$F,3,FALSE))</f>
        <v>1.0212000000000001</v>
      </c>
      <c r="X362">
        <f>SUMIFS(MLF_WA!$C:$C,MLF_WA!$E:$E,final!X$399,MLF_WA!$A:$A,VLOOKUP(final!$A362,ref!$D:$F,3,FALSE))</f>
        <v>1.0174000000000001</v>
      </c>
      <c r="Y362">
        <f>SUMIFS(MLF_WA!$C:$C,MLF_WA!$E:$E,final!Y$399,MLF_WA!$A:$A,VLOOKUP(final!$A362,ref!$D:$F,3,FALSE))</f>
        <v>1.0236000000000001</v>
      </c>
      <c r="Z362">
        <f>SUMIFS(MLF_WA!$C:$C,MLF_WA!$E:$E,final!Z$399,MLF_WA!$A:$A,VLOOKUP(final!$A362,ref!$D:$F,3,FALSE))</f>
        <v>1.0205</v>
      </c>
      <c r="AA362">
        <f>SUMIFS(MLF_WA!$C:$C,MLF_WA!$E:$E,final!AA$399,MLF_WA!$A:$A,VLOOKUP(final!$A362,ref!$D:$F,3,FALSE))</f>
        <v>1.0301</v>
      </c>
      <c r="AC362" t="str">
        <f>VLOOKUP($D362,wa_2!$A:$P,4,FALSE)</f>
        <v>-32.200481, 115.774605</v>
      </c>
      <c r="AD362">
        <f t="shared" si="1"/>
        <v>-32.200481000000003</v>
      </c>
      <c r="AE362" s="8">
        <f t="shared" si="2"/>
        <v>115.77460499999999</v>
      </c>
    </row>
    <row r="363" spans="1:31">
      <c r="A363" t="str">
        <f>VLOOKUP($D363,wa_2!$A:$P,2,FALSE)</f>
        <v>Collie Power Station</v>
      </c>
      <c r="B363" t="str">
        <f>VLOOKUP($D363,wa_2!$A:$Q,3,FALSE)</f>
        <v>COLLIE_G1</v>
      </c>
      <c r="C363" t="str">
        <f>VLOOKUP($D363,wa_2!$A:$Q,17,FALSE)</f>
        <v>Synergy</v>
      </c>
      <c r="D363" t="s">
        <v>4440</v>
      </c>
      <c r="J363" t="str">
        <f t="shared" si="0"/>
        <v>{"lat": -33.341632,"lng": 116.262165}</v>
      </c>
      <c r="K363" t="s">
        <v>4588</v>
      </c>
      <c r="L363" t="str">
        <f>VLOOKUP($D363,wa_2!$A:$Q,7,FALSE)</f>
        <v>Coal</v>
      </c>
      <c r="M363" t="str">
        <f>VLOOKUP($D363,wa_2!$A:$Q,8,FALSE)</f>
        <v>Coal</v>
      </c>
      <c r="P363" t="str">
        <f>VLOOKUP(M363,ref!A:B,2,FALSE)</f>
        <v>Coal</v>
      </c>
      <c r="Q363">
        <f>VLOOKUP($D363,wa_2!$A:$Q,16,FALSE)</f>
        <v>318.3</v>
      </c>
      <c r="S363">
        <f>SUMIFS(MLF_WA!$C:$C,MLF_WA!$E:$E,final!S$399,MLF_WA!$A:$A,VLOOKUP(final!$A363,ref!$D:$F,3,FALSE))</f>
        <v>0.996</v>
      </c>
      <c r="T363">
        <f>SUMIFS(MLF_WA!$C:$C,MLF_WA!$E:$E,final!T$399,MLF_WA!$A:$A,VLOOKUP(final!$A363,ref!$D:$F,3,FALSE))</f>
        <v>0.99550000000000005</v>
      </c>
      <c r="U363">
        <f>SUMIFS(MLF_WA!$C:$C,MLF_WA!$E:$E,final!U$399,MLF_WA!$A:$A,VLOOKUP(final!$A363,ref!$D:$F,3,FALSE))</f>
        <v>0.99490000000000001</v>
      </c>
      <c r="V363">
        <f>SUMIFS(MLF_WA!$C:$C,MLF_WA!$E:$E,final!V$399,MLF_WA!$A:$A,VLOOKUP(final!$A363,ref!$D:$F,3,FALSE))</f>
        <v>0.99560000000000004</v>
      </c>
      <c r="W363">
        <f>SUMIFS(MLF_WA!$C:$C,MLF_WA!$E:$E,final!W$399,MLF_WA!$A:$A,VLOOKUP(final!$A363,ref!$D:$F,3,FALSE))</f>
        <v>0.99690000000000001</v>
      </c>
      <c r="X363">
        <f>SUMIFS(MLF_WA!$C:$C,MLF_WA!$E:$E,final!X$399,MLF_WA!$A:$A,VLOOKUP(final!$A363,ref!$D:$F,3,FALSE))</f>
        <v>0.996</v>
      </c>
      <c r="Y363">
        <f>SUMIFS(MLF_WA!$C:$C,MLF_WA!$E:$E,final!Y$399,MLF_WA!$A:$A,VLOOKUP(final!$A363,ref!$D:$F,3,FALSE))</f>
        <v>0.99660000000000004</v>
      </c>
      <c r="Z363">
        <f>SUMIFS(MLF_WA!$C:$C,MLF_WA!$E:$E,final!Z$399,MLF_WA!$A:$A,VLOOKUP(final!$A363,ref!$D:$F,3,FALSE))</f>
        <v>0.99590000000000001</v>
      </c>
      <c r="AA363">
        <f>SUMIFS(MLF_WA!$C:$C,MLF_WA!$E:$E,final!AA$399,MLF_WA!$A:$A,VLOOKUP(final!$A363,ref!$D:$F,3,FALSE))</f>
        <v>0.99739999999999995</v>
      </c>
      <c r="AC363" t="str">
        <f>VLOOKUP($D363,wa_2!$A:$P,4,FALSE)</f>
        <v>-33.341632, 116.262165</v>
      </c>
      <c r="AD363">
        <f t="shared" si="1"/>
        <v>-33.341631999999997</v>
      </c>
      <c r="AE363" s="8">
        <f t="shared" si="2"/>
        <v>116.262165</v>
      </c>
    </row>
    <row r="364" spans="1:31">
      <c r="A364" t="str">
        <f>VLOOKUP($D364,wa_2!$A:$P,2,FALSE)</f>
        <v>Emu Downs Wind Farm</v>
      </c>
      <c r="B364" t="str">
        <f>VLOOKUP($D364,wa_2!$A:$Q,3,FALSE)</f>
        <v>EDWFMAN_WF1</v>
      </c>
      <c r="C364" t="str">
        <f>VLOOKUP($D364,wa_2!$A:$Q,17,FALSE)</f>
        <v>EDWF Manager</v>
      </c>
      <c r="D364" t="s">
        <v>4443</v>
      </c>
      <c r="J364" t="str">
        <f t="shared" si="0"/>
        <v>{"lat": -30.475542,"lng": 115.381265}</v>
      </c>
      <c r="K364" t="s">
        <v>4588</v>
      </c>
      <c r="L364" t="str">
        <f>VLOOKUP($D364,wa_2!$A:$Q,7,FALSE)</f>
        <v>Wind</v>
      </c>
      <c r="M364" t="str">
        <f>VLOOKUP($D364,wa_2!$A:$Q,8,FALSE)</f>
        <v>Wind</v>
      </c>
      <c r="P364" t="str">
        <f>VLOOKUP(M364,ref!A:B,2,FALSE)</f>
        <v>Wind</v>
      </c>
      <c r="Q364">
        <f>VLOOKUP($D364,wa_2!$A:$Q,16,FALSE)</f>
        <v>80</v>
      </c>
      <c r="S364">
        <f>SUMIFS(MLF_WA!$C:$C,MLF_WA!$E:$E,final!S$399,MLF_WA!$A:$A,VLOOKUP(final!$A364,ref!$D:$F,3,FALSE))</f>
        <v>1.0048999999999999</v>
      </c>
      <c r="T364">
        <f>SUMIFS(MLF_WA!$C:$C,MLF_WA!$E:$E,final!T$399,MLF_WA!$A:$A,VLOOKUP(final!$A364,ref!$D:$F,3,FALSE))</f>
        <v>0.99880000000000002</v>
      </c>
      <c r="U364">
        <f>SUMIFS(MLF_WA!$C:$C,MLF_WA!$E:$E,final!U$399,MLF_WA!$A:$A,VLOOKUP(final!$A364,ref!$D:$F,3,FALSE))</f>
        <v>0.99450000000000005</v>
      </c>
      <c r="V364">
        <f>SUMIFS(MLF_WA!$C:$C,MLF_WA!$E:$E,final!V$399,MLF_WA!$A:$A,VLOOKUP(final!$A364,ref!$D:$F,3,FALSE))</f>
        <v>0.99370000000000003</v>
      </c>
      <c r="W364">
        <f>SUMIFS(MLF_WA!$C:$C,MLF_WA!$E:$E,final!W$399,MLF_WA!$A:$A,VLOOKUP(final!$A364,ref!$D:$F,3,FALSE))</f>
        <v>1.0021</v>
      </c>
      <c r="X364">
        <f>SUMIFS(MLF_WA!$C:$C,MLF_WA!$E:$E,final!X$399,MLF_WA!$A:$A,VLOOKUP(final!$A364,ref!$D:$F,3,FALSE))</f>
        <v>1.0130999999999999</v>
      </c>
      <c r="Y364">
        <f>SUMIFS(MLF_WA!$C:$C,MLF_WA!$E:$E,final!Y$399,MLF_WA!$A:$A,VLOOKUP(final!$A364,ref!$D:$F,3,FALSE))</f>
        <v>1.0147999999999999</v>
      </c>
      <c r="Z364">
        <f>SUMIFS(MLF_WA!$C:$C,MLF_WA!$E:$E,final!Z$399,MLF_WA!$A:$A,VLOOKUP(final!$A364,ref!$D:$F,3,FALSE))</f>
        <v>1.0150999999999999</v>
      </c>
      <c r="AA364">
        <f>SUMIFS(MLF_WA!$C:$C,MLF_WA!$E:$E,final!AA$399,MLF_WA!$A:$A,VLOOKUP(final!$A364,ref!$D:$F,3,FALSE))</f>
        <v>1.0269999999999999</v>
      </c>
      <c r="AC364" t="str">
        <f>VLOOKUP($D364,wa_2!$A:$P,4,FALSE)</f>
        <v>-30.475542, 115.381265</v>
      </c>
      <c r="AD364">
        <f t="shared" si="1"/>
        <v>-30.475542000000001</v>
      </c>
      <c r="AE364" s="8">
        <f t="shared" si="2"/>
        <v>115.381265</v>
      </c>
    </row>
    <row r="365" spans="1:31">
      <c r="A365" t="str">
        <f>VLOOKUP($D365,wa_2!$A:$P,2,FALSE)</f>
        <v>Albany Grasmere Wind Farm</v>
      </c>
      <c r="B365" t="str">
        <f>VLOOKUP($D365,wa_2!$A:$Q,3,FALSE)</f>
        <v>ALBGRAS</v>
      </c>
      <c r="C365" t="str">
        <f>VLOOKUP($D365,wa_2!$A:$Q,17,FALSE)</f>
        <v>SRV AGWF Pty Ltd as trustee for AGWF Trust</v>
      </c>
      <c r="D365" t="s">
        <v>4445</v>
      </c>
      <c r="J365" t="str">
        <f t="shared" si="0"/>
        <v>{"lat": -35.06573,"lng": 117.799674}</v>
      </c>
      <c r="K365" t="s">
        <v>4588</v>
      </c>
      <c r="L365" t="str">
        <f>VLOOKUP($D365,wa_2!$A:$Q,7,FALSE)</f>
        <v>Wind</v>
      </c>
      <c r="M365" t="str">
        <f>VLOOKUP($D365,wa_2!$A:$Q,8,FALSE)</f>
        <v>Wind</v>
      </c>
      <c r="P365" t="str">
        <f>VLOOKUP(M365,ref!A:B,2,FALSE)</f>
        <v>Wind</v>
      </c>
      <c r="Q365">
        <f>VLOOKUP($D365,wa_2!$A:$Q,16,FALSE)</f>
        <v>13.8</v>
      </c>
      <c r="S365">
        <f>SUMIFS(MLF_WA!$C:$C,MLF_WA!$E:$E,final!S$399,MLF_WA!$A:$A,VLOOKUP(final!$A365,ref!$D:$F,3,FALSE))</f>
        <v>1.0423</v>
      </c>
      <c r="T365">
        <f>SUMIFS(MLF_WA!$C:$C,MLF_WA!$E:$E,final!T$399,MLF_WA!$A:$A,VLOOKUP(final!$A365,ref!$D:$F,3,FALSE))</f>
        <v>1.0398000000000001</v>
      </c>
      <c r="U365">
        <f>SUMIFS(MLF_WA!$C:$C,MLF_WA!$E:$E,final!U$399,MLF_WA!$A:$A,VLOOKUP(final!$A365,ref!$D:$F,3,FALSE))</f>
        <v>1.0720000000000001</v>
      </c>
      <c r="V365">
        <f>SUMIFS(MLF_WA!$C:$C,MLF_WA!$E:$E,final!V$399,MLF_WA!$A:$A,VLOOKUP(final!$A365,ref!$D:$F,3,FALSE))</f>
        <v>1.0699000000000001</v>
      </c>
      <c r="W365">
        <f>SUMIFS(MLF_WA!$C:$C,MLF_WA!$E:$E,final!W$399,MLF_WA!$A:$A,VLOOKUP(final!$A365,ref!$D:$F,3,FALSE))</f>
        <v>1.0926</v>
      </c>
      <c r="X365">
        <f>SUMIFS(MLF_WA!$C:$C,MLF_WA!$E:$E,final!X$399,MLF_WA!$A:$A,VLOOKUP(final!$A365,ref!$D:$F,3,FALSE))</f>
        <v>1.0684</v>
      </c>
      <c r="Y365">
        <f>SUMIFS(MLF_WA!$C:$C,MLF_WA!$E:$E,final!Y$399,MLF_WA!$A:$A,VLOOKUP(final!$A365,ref!$D:$F,3,FALSE))</f>
        <v>1.0710999999999999</v>
      </c>
      <c r="Z365">
        <f>SUMIFS(MLF_WA!$C:$C,MLF_WA!$E:$E,final!Z$399,MLF_WA!$A:$A,VLOOKUP(final!$A365,ref!$D:$F,3,FALSE))</f>
        <v>1.0988</v>
      </c>
      <c r="AA365">
        <f>SUMIFS(MLF_WA!$C:$C,MLF_WA!$E:$E,final!AA$399,MLF_WA!$A:$A,VLOOKUP(final!$A365,ref!$D:$F,3,FALSE))</f>
        <v>1.0535000000000001</v>
      </c>
      <c r="AC365" t="str">
        <f>VLOOKUP($D365,wa_2!$A:$P,4,FALSE)</f>
        <v>-35.065730, 117.799674</v>
      </c>
      <c r="AD365">
        <f t="shared" si="1"/>
        <v>-35.065730000000002</v>
      </c>
      <c r="AE365" s="8">
        <f t="shared" si="2"/>
        <v>117.799674</v>
      </c>
    </row>
    <row r="366" spans="1:31">
      <c r="A366" t="str">
        <f>VLOOKUP($D366,wa_2!$A:$P,2,FALSE)</f>
        <v>Collgar Wind Farm</v>
      </c>
      <c r="B366" t="str">
        <f>VLOOKUP($D366,wa_2!$A:$Q,3,FALSE)</f>
        <v>INVESTEC_COLLGAR_WF1</v>
      </c>
      <c r="C366" t="str">
        <f>VLOOKUP($D366,wa_2!$A:$Q,17,FALSE)</f>
        <v>Collgar Wind Farm</v>
      </c>
      <c r="D366" t="s">
        <v>4448</v>
      </c>
      <c r="J366" t="str">
        <f t="shared" si="0"/>
        <v>{"lat": -31.554416,"lng": 118.444618}</v>
      </c>
      <c r="K366" t="s">
        <v>4588</v>
      </c>
      <c r="L366" t="str">
        <f>VLOOKUP($D366,wa_2!$A:$Q,7,FALSE)</f>
        <v>Wind</v>
      </c>
      <c r="M366" t="str">
        <f>VLOOKUP($D366,wa_2!$A:$Q,8,FALSE)</f>
        <v>Wind</v>
      </c>
      <c r="P366" t="str">
        <f>VLOOKUP(M366,ref!A:B,2,FALSE)</f>
        <v>Wind</v>
      </c>
      <c r="Q366">
        <f>VLOOKUP($D366,wa_2!$A:$Q,16,FALSE)</f>
        <v>206</v>
      </c>
      <c r="U366">
        <f>SUMIFS(MLF_WA!$C:$C,MLF_WA!$E:$E,final!U$399,MLF_WA!$A:$A,VLOOKUP(final!$A366,ref!$D:$F,3,FALSE))</f>
        <v>1.0392999999999999</v>
      </c>
      <c r="V366">
        <f>SUMIFS(MLF_WA!$C:$C,MLF_WA!$E:$E,final!V$399,MLF_WA!$A:$A,VLOOKUP(final!$A366,ref!$D:$F,3,FALSE))</f>
        <v>1.0145999999999999</v>
      </c>
      <c r="W366">
        <f>SUMIFS(MLF_WA!$C:$C,MLF_WA!$E:$E,final!W$399,MLF_WA!$A:$A,VLOOKUP(final!$A366,ref!$D:$F,3,FALSE))</f>
        <v>0.99839999999999995</v>
      </c>
      <c r="X366">
        <f>SUMIFS(MLF_WA!$C:$C,MLF_WA!$E:$E,final!X$399,MLF_WA!$A:$A,VLOOKUP(final!$A366,ref!$D:$F,3,FALSE))</f>
        <v>1.0031000000000001</v>
      </c>
      <c r="Y366">
        <f>SUMIFS(MLF_WA!$C:$C,MLF_WA!$E:$E,final!Y$399,MLF_WA!$A:$A,VLOOKUP(final!$A366,ref!$D:$F,3,FALSE))</f>
        <v>0.99229999999999996</v>
      </c>
      <c r="Z366">
        <f>SUMIFS(MLF_WA!$C:$C,MLF_WA!$E:$E,final!Z$399,MLF_WA!$A:$A,VLOOKUP(final!$A366,ref!$D:$F,3,FALSE))</f>
        <v>0.99119999999999997</v>
      </c>
      <c r="AA366">
        <f>SUMIFS(MLF_WA!$C:$C,MLF_WA!$E:$E,final!AA$399,MLF_WA!$A:$A,VLOOKUP(final!$A366,ref!$D:$F,3,FALSE))</f>
        <v>1.006</v>
      </c>
      <c r="AC366" t="str">
        <f>VLOOKUP($D366,wa_2!$A:$P,4,FALSE)</f>
        <v>-31.554416, 118.444618</v>
      </c>
      <c r="AD366">
        <f t="shared" si="1"/>
        <v>-31.554416</v>
      </c>
      <c r="AE366" s="8">
        <f t="shared" si="2"/>
        <v>118.44461800000001</v>
      </c>
    </row>
    <row r="367" spans="1:31">
      <c r="A367" t="str">
        <f>VLOOKUP($D367,wa_2!$A:$P,2,FALSE)</f>
        <v>Kemerton Power Station</v>
      </c>
      <c r="B367" t="str">
        <f>VLOOKUP($D367,wa_2!$A:$Q,3,FALSE)</f>
        <v>KEMERTON</v>
      </c>
      <c r="C367" t="str">
        <f>VLOOKUP($D367,wa_2!$A:$Q,17,FALSE)</f>
        <v>Synergy</v>
      </c>
      <c r="D367" t="s">
        <v>4451</v>
      </c>
      <c r="J367" t="str">
        <f t="shared" si="0"/>
        <v>{"lat": -33.163376,"lng": 115.780751}</v>
      </c>
      <c r="K367" t="s">
        <v>4588</v>
      </c>
      <c r="L367" t="str">
        <f>VLOOKUP($D367,wa_2!$A:$Q,7,FALSE)</f>
        <v>Dual (Gas / Distillate)</v>
      </c>
      <c r="M367" t="str">
        <f>VLOOKUP($D367,wa_2!$A:$Q,8,FALSE)</f>
        <v>Gas</v>
      </c>
      <c r="P367" t="str">
        <f>VLOOKUP(M367,ref!A:B,2,FALSE)</f>
        <v>Gas</v>
      </c>
      <c r="Q367">
        <f>VLOOKUP($D367,wa_2!$A:$Q,16,FALSE)</f>
        <v>154.69999999999999</v>
      </c>
      <c r="S367">
        <f>SUMIFS(MLF_WA!$C:$C,MLF_WA!$E:$E,final!S$399,MLF_WA!$A:$A,VLOOKUP(final!$A367,ref!$D:$F,3,FALSE))</f>
        <v>1.0077</v>
      </c>
      <c r="T367">
        <f>SUMIFS(MLF_WA!$C:$C,MLF_WA!$E:$E,final!T$399,MLF_WA!$A:$A,VLOOKUP(final!$A367,ref!$D:$F,3,FALSE))</f>
        <v>1.008</v>
      </c>
      <c r="U367">
        <f>SUMIFS(MLF_WA!$C:$C,MLF_WA!$E:$E,final!U$399,MLF_WA!$A:$A,VLOOKUP(final!$A367,ref!$D:$F,3,FALSE))</f>
        <v>1.0057</v>
      </c>
      <c r="V367">
        <f>SUMIFS(MLF_WA!$C:$C,MLF_WA!$E:$E,final!V$399,MLF_WA!$A:$A,VLOOKUP(final!$A367,ref!$D:$F,3,FALSE))</f>
        <v>1.0079</v>
      </c>
      <c r="W367">
        <f>SUMIFS(MLF_WA!$C:$C,MLF_WA!$E:$E,final!W$399,MLF_WA!$A:$A,VLOOKUP(final!$A367,ref!$D:$F,3,FALSE))</f>
        <v>1.0105999999999999</v>
      </c>
      <c r="X367">
        <f>SUMIFS(MLF_WA!$C:$C,MLF_WA!$E:$E,final!X$399,MLF_WA!$A:$A,VLOOKUP(final!$A367,ref!$D:$F,3,FALSE))</f>
        <v>1.0082</v>
      </c>
      <c r="Y367">
        <f>SUMIFS(MLF_WA!$C:$C,MLF_WA!$E:$E,final!Y$399,MLF_WA!$A:$A,VLOOKUP(final!$A367,ref!$D:$F,3,FALSE))</f>
        <v>1.0101</v>
      </c>
      <c r="Z367">
        <f>SUMIFS(MLF_WA!$C:$C,MLF_WA!$E:$E,final!Z$399,MLF_WA!$A:$A,VLOOKUP(final!$A367,ref!$D:$F,3,FALSE))</f>
        <v>1.0099</v>
      </c>
      <c r="AA367">
        <f>SUMIFS(MLF_WA!$C:$C,MLF_WA!$E:$E,final!AA$399,MLF_WA!$A:$A,VLOOKUP(final!$A367,ref!$D:$F,3,FALSE))</f>
        <v>1.0107999999999999</v>
      </c>
      <c r="AC367" t="str">
        <f>VLOOKUP($D367,wa_2!$A:$P,4,FALSE)</f>
        <v>-33.163376, 115.780751</v>
      </c>
      <c r="AD367">
        <f t="shared" si="1"/>
        <v>-33.163376</v>
      </c>
      <c r="AE367" s="8">
        <f t="shared" si="2"/>
        <v>115.780751</v>
      </c>
    </row>
    <row r="368" spans="1:31">
      <c r="A368" t="str">
        <f>VLOOKUP($D368,wa_2!$A:$P,2,FALSE)</f>
        <v>Kemerton Power Station</v>
      </c>
      <c r="B368" t="str">
        <f>VLOOKUP($D368,wa_2!$A:$Q,3,FALSE)</f>
        <v>KEMERTON</v>
      </c>
      <c r="C368" t="str">
        <f>VLOOKUP($D368,wa_2!$A:$Q,17,FALSE)</f>
        <v>Synergy</v>
      </c>
      <c r="D368" t="s">
        <v>4453</v>
      </c>
      <c r="J368" t="str">
        <f t="shared" si="0"/>
        <v>{"lat": -33.163376,"lng": 115.780751}</v>
      </c>
      <c r="K368" t="s">
        <v>4588</v>
      </c>
      <c r="L368" t="str">
        <f>VLOOKUP($D368,wa_2!$A:$Q,7,FALSE)</f>
        <v>Dual (Gas / Distillate)</v>
      </c>
      <c r="M368" t="str">
        <f>VLOOKUP($D368,wa_2!$A:$Q,8,FALSE)</f>
        <v>Gas</v>
      </c>
      <c r="P368" t="str">
        <f>VLOOKUP(M368,ref!A:B,2,FALSE)</f>
        <v>Gas</v>
      </c>
      <c r="Q368">
        <f>VLOOKUP($D368,wa_2!$A:$Q,16,FALSE)</f>
        <v>154.69999999999999</v>
      </c>
      <c r="S368">
        <f>SUMIFS(MLF_WA!$C:$C,MLF_WA!$E:$E,final!S$399,MLF_WA!$A:$A,VLOOKUP(final!$A368,ref!$D:$F,3,FALSE))</f>
        <v>1.0077</v>
      </c>
      <c r="T368">
        <f>SUMIFS(MLF_WA!$C:$C,MLF_WA!$E:$E,final!T$399,MLF_WA!$A:$A,VLOOKUP(final!$A368,ref!$D:$F,3,FALSE))</f>
        <v>1.008</v>
      </c>
      <c r="U368">
        <f>SUMIFS(MLF_WA!$C:$C,MLF_WA!$E:$E,final!U$399,MLF_WA!$A:$A,VLOOKUP(final!$A368,ref!$D:$F,3,FALSE))</f>
        <v>1.0057</v>
      </c>
      <c r="V368">
        <f>SUMIFS(MLF_WA!$C:$C,MLF_WA!$E:$E,final!V$399,MLF_WA!$A:$A,VLOOKUP(final!$A368,ref!$D:$F,3,FALSE))</f>
        <v>1.0079</v>
      </c>
      <c r="W368">
        <f>SUMIFS(MLF_WA!$C:$C,MLF_WA!$E:$E,final!W$399,MLF_WA!$A:$A,VLOOKUP(final!$A368,ref!$D:$F,3,FALSE))</f>
        <v>1.0105999999999999</v>
      </c>
      <c r="X368">
        <f>SUMIFS(MLF_WA!$C:$C,MLF_WA!$E:$E,final!X$399,MLF_WA!$A:$A,VLOOKUP(final!$A368,ref!$D:$F,3,FALSE))</f>
        <v>1.0082</v>
      </c>
      <c r="Y368">
        <f>SUMIFS(MLF_WA!$C:$C,MLF_WA!$E:$E,final!Y$399,MLF_WA!$A:$A,VLOOKUP(final!$A368,ref!$D:$F,3,FALSE))</f>
        <v>1.0101</v>
      </c>
      <c r="Z368">
        <f>SUMIFS(MLF_WA!$C:$C,MLF_WA!$E:$E,final!Z$399,MLF_WA!$A:$A,VLOOKUP(final!$A368,ref!$D:$F,3,FALSE))</f>
        <v>1.0099</v>
      </c>
      <c r="AA368">
        <f>SUMIFS(MLF_WA!$C:$C,MLF_WA!$E:$E,final!AA$399,MLF_WA!$A:$A,VLOOKUP(final!$A368,ref!$D:$F,3,FALSE))</f>
        <v>1.0107999999999999</v>
      </c>
      <c r="AC368" t="str">
        <f>VLOOKUP($D368,wa_2!$A:$P,4,FALSE)</f>
        <v>-33.163376, 115.780751</v>
      </c>
      <c r="AD368">
        <f t="shared" si="1"/>
        <v>-33.163376</v>
      </c>
      <c r="AE368" s="8">
        <f t="shared" si="2"/>
        <v>115.780751</v>
      </c>
    </row>
    <row r="369" spans="1:31">
      <c r="A369" t="str">
        <f>VLOOKUP($D369,wa_2!$A:$P,2,FALSE)</f>
        <v>Kwinana Power Station</v>
      </c>
      <c r="B369" t="str">
        <f>VLOOKUP($D369,wa_2!$A:$Q,3,FALSE)</f>
        <v>KWINANA</v>
      </c>
      <c r="C369" t="str">
        <f>VLOOKUP($D369,wa_2!$A:$Q,17,FALSE)</f>
        <v>Synergy</v>
      </c>
      <c r="D369" t="s">
        <v>4455</v>
      </c>
      <c r="J369" t="str">
        <f t="shared" si="0"/>
        <v>{"lat": -32.200446,"lng": 115.774561}</v>
      </c>
      <c r="K369" t="s">
        <v>4588</v>
      </c>
      <c r="L369" t="str">
        <f>VLOOKUP($D369,wa_2!$A:$Q,7,FALSE)</f>
        <v>Dual (Gas / Distillate)</v>
      </c>
      <c r="M369" t="str">
        <f>VLOOKUP($D369,wa_2!$A:$Q,8,FALSE)</f>
        <v>Gas</v>
      </c>
      <c r="P369" t="str">
        <f>VLOOKUP(M369,ref!A:B,2,FALSE)</f>
        <v>Gas</v>
      </c>
      <c r="Q369">
        <f>VLOOKUP($D369,wa_2!$A:$Q,16,FALSE)</f>
        <v>20.2</v>
      </c>
      <c r="S369">
        <f>SUMIFS(MLF_WA!$C:$C,MLF_WA!$E:$E,final!S$399,MLF_WA!$A:$A,VLOOKUP(final!$A369,ref!$D:$F,3,FALSE))</f>
        <v>1.0143</v>
      </c>
      <c r="T369">
        <f>SUMIFS(MLF_WA!$C:$C,MLF_WA!$E:$E,final!T$399,MLF_WA!$A:$A,VLOOKUP(final!$A369,ref!$D:$F,3,FALSE))</f>
        <v>1.0141</v>
      </c>
      <c r="U369">
        <f>SUMIFS(MLF_WA!$C:$C,MLF_WA!$E:$E,final!U$399,MLF_WA!$A:$A,VLOOKUP(final!$A369,ref!$D:$F,3,FALSE))</f>
        <v>1.0164</v>
      </c>
      <c r="V369">
        <f>SUMIFS(MLF_WA!$C:$C,MLF_WA!$E:$E,final!V$399,MLF_WA!$A:$A,VLOOKUP(final!$A369,ref!$D:$F,3,FALSE))</f>
        <v>1.0201</v>
      </c>
      <c r="W369">
        <f>SUMIFS(MLF_WA!$C:$C,MLF_WA!$E:$E,final!W$399,MLF_WA!$A:$A,VLOOKUP(final!$A369,ref!$D:$F,3,FALSE))</f>
        <v>1.0212000000000001</v>
      </c>
      <c r="X369">
        <f>SUMIFS(MLF_WA!$C:$C,MLF_WA!$E:$E,final!X$399,MLF_WA!$A:$A,VLOOKUP(final!$A369,ref!$D:$F,3,FALSE))</f>
        <v>1.0174000000000001</v>
      </c>
      <c r="Y369">
        <f>SUMIFS(MLF_WA!$C:$C,MLF_WA!$E:$E,final!Y$399,MLF_WA!$A:$A,VLOOKUP(final!$A369,ref!$D:$F,3,FALSE))</f>
        <v>1.0236000000000001</v>
      </c>
      <c r="Z369">
        <f>SUMIFS(MLF_WA!$C:$C,MLF_WA!$E:$E,final!Z$399,MLF_WA!$A:$A,VLOOKUP(final!$A369,ref!$D:$F,3,FALSE))</f>
        <v>1.0205</v>
      </c>
      <c r="AA369">
        <f>SUMIFS(MLF_WA!$C:$C,MLF_WA!$E:$E,final!AA$399,MLF_WA!$A:$A,VLOOKUP(final!$A369,ref!$D:$F,3,FALSE))</f>
        <v>1.0301</v>
      </c>
      <c r="AC369" t="str">
        <f>VLOOKUP($D369,wa_2!$A:$P,4,FALSE)</f>
        <v>-32.200446, 115.774561</v>
      </c>
      <c r="AD369">
        <f t="shared" si="1"/>
        <v>-32.200445999999999</v>
      </c>
      <c r="AE369" s="8">
        <f t="shared" si="2"/>
        <v>115.77456100000001</v>
      </c>
    </row>
    <row r="370" spans="1:31">
      <c r="A370" t="str">
        <f>VLOOKUP($D370,wa_2!$A:$P,2,FALSE)</f>
        <v>Kwinana Power Station</v>
      </c>
      <c r="B370" t="str">
        <f>VLOOKUP($D370,wa_2!$A:$Q,3,FALSE)</f>
        <v>KWINANA</v>
      </c>
      <c r="C370" t="str">
        <f>VLOOKUP($D370,wa_2!$A:$Q,17,FALSE)</f>
        <v>Synergy</v>
      </c>
      <c r="D370" t="s">
        <v>4457</v>
      </c>
      <c r="J370" t="str">
        <f t="shared" si="0"/>
        <v>{"lat": -32.200446,"lng": 115.774561}</v>
      </c>
      <c r="K370" t="s">
        <v>4588</v>
      </c>
      <c r="L370" t="str">
        <f>VLOOKUP($D370,wa_2!$A:$Q,7,FALSE)</f>
        <v>Dual (Gas / Distillate)</v>
      </c>
      <c r="M370" t="str">
        <f>VLOOKUP($D370,wa_2!$A:$Q,8,FALSE)</f>
        <v>Gas</v>
      </c>
      <c r="P370" t="str">
        <f>VLOOKUP(M370,ref!A:B,2,FALSE)</f>
        <v>Gas</v>
      </c>
      <c r="Q370">
        <f>VLOOKUP($D370,wa_2!$A:$Q,16,FALSE)</f>
        <v>103.2</v>
      </c>
      <c r="S370">
        <f>SUMIFS(MLF_WA!$C:$C,MLF_WA!$E:$E,final!S$399,MLF_WA!$A:$A,VLOOKUP(final!$A370,ref!$D:$F,3,FALSE))</f>
        <v>1.0143</v>
      </c>
      <c r="T370">
        <f>SUMIFS(MLF_WA!$C:$C,MLF_WA!$E:$E,final!T$399,MLF_WA!$A:$A,VLOOKUP(final!$A370,ref!$D:$F,3,FALSE))</f>
        <v>1.0141</v>
      </c>
      <c r="U370">
        <f>SUMIFS(MLF_WA!$C:$C,MLF_WA!$E:$E,final!U$399,MLF_WA!$A:$A,VLOOKUP(final!$A370,ref!$D:$F,3,FALSE))</f>
        <v>1.0164</v>
      </c>
      <c r="V370">
        <f>SUMIFS(MLF_WA!$C:$C,MLF_WA!$E:$E,final!V$399,MLF_WA!$A:$A,VLOOKUP(final!$A370,ref!$D:$F,3,FALSE))</f>
        <v>1.0201</v>
      </c>
      <c r="W370">
        <f>SUMIFS(MLF_WA!$C:$C,MLF_WA!$E:$E,final!W$399,MLF_WA!$A:$A,VLOOKUP(final!$A370,ref!$D:$F,3,FALSE))</f>
        <v>1.0212000000000001</v>
      </c>
      <c r="X370">
        <f>SUMIFS(MLF_WA!$C:$C,MLF_WA!$E:$E,final!X$399,MLF_WA!$A:$A,VLOOKUP(final!$A370,ref!$D:$F,3,FALSE))</f>
        <v>1.0174000000000001</v>
      </c>
      <c r="Y370">
        <f>SUMIFS(MLF_WA!$C:$C,MLF_WA!$E:$E,final!Y$399,MLF_WA!$A:$A,VLOOKUP(final!$A370,ref!$D:$F,3,FALSE))</f>
        <v>1.0236000000000001</v>
      </c>
      <c r="Z370">
        <f>SUMIFS(MLF_WA!$C:$C,MLF_WA!$E:$E,final!Z$399,MLF_WA!$A:$A,VLOOKUP(final!$A370,ref!$D:$F,3,FALSE))</f>
        <v>1.0205</v>
      </c>
      <c r="AA370">
        <f>SUMIFS(MLF_WA!$C:$C,MLF_WA!$E:$E,final!AA$399,MLF_WA!$A:$A,VLOOKUP(final!$A370,ref!$D:$F,3,FALSE))</f>
        <v>1.0301</v>
      </c>
      <c r="AC370" t="str">
        <f>VLOOKUP($D370,wa_2!$A:$P,4,FALSE)</f>
        <v>-32.200446, 115.774561</v>
      </c>
      <c r="AD370">
        <f t="shared" si="1"/>
        <v>-32.200445999999999</v>
      </c>
      <c r="AE370" s="8">
        <f t="shared" si="2"/>
        <v>115.77456100000001</v>
      </c>
    </row>
    <row r="371" spans="1:31">
      <c r="A371" t="str">
        <f>VLOOKUP($D371,wa_2!$A:$P,2,FALSE)</f>
        <v>Kwinana Power Station</v>
      </c>
      <c r="B371" t="str">
        <f>VLOOKUP($D371,wa_2!$A:$Q,3,FALSE)</f>
        <v>KWINANA</v>
      </c>
      <c r="C371" t="str">
        <f>VLOOKUP($D371,wa_2!$A:$Q,17,FALSE)</f>
        <v>Synergy</v>
      </c>
      <c r="D371" t="s">
        <v>4459</v>
      </c>
      <c r="J371" t="str">
        <f t="shared" si="0"/>
        <v>{"lat": -32.200446,"lng": 115.774561}</v>
      </c>
      <c r="K371" t="s">
        <v>4588</v>
      </c>
      <c r="L371" t="str">
        <f>VLOOKUP($D371,wa_2!$A:$Q,7,FALSE)</f>
        <v>Dual (Gas / Distillate)</v>
      </c>
      <c r="M371" t="str">
        <f>VLOOKUP($D371,wa_2!$A:$Q,8,FALSE)</f>
        <v>Gas</v>
      </c>
      <c r="P371" t="str">
        <f>VLOOKUP(M371,ref!A:B,2,FALSE)</f>
        <v>Gas</v>
      </c>
      <c r="Q371">
        <f>VLOOKUP($D371,wa_2!$A:$Q,16,FALSE)</f>
        <v>103.2</v>
      </c>
      <c r="S371">
        <f>SUMIFS(MLF_WA!$C:$C,MLF_WA!$E:$E,final!S$399,MLF_WA!$A:$A,VLOOKUP(final!$A371,ref!$D:$F,3,FALSE))</f>
        <v>1.0143</v>
      </c>
      <c r="T371">
        <f>SUMIFS(MLF_WA!$C:$C,MLF_WA!$E:$E,final!T$399,MLF_WA!$A:$A,VLOOKUP(final!$A371,ref!$D:$F,3,FALSE))</f>
        <v>1.0141</v>
      </c>
      <c r="U371">
        <f>SUMIFS(MLF_WA!$C:$C,MLF_WA!$E:$E,final!U$399,MLF_WA!$A:$A,VLOOKUP(final!$A371,ref!$D:$F,3,FALSE))</f>
        <v>1.0164</v>
      </c>
      <c r="V371">
        <f>SUMIFS(MLF_WA!$C:$C,MLF_WA!$E:$E,final!V$399,MLF_WA!$A:$A,VLOOKUP(final!$A371,ref!$D:$F,3,FALSE))</f>
        <v>1.0201</v>
      </c>
      <c r="W371">
        <f>SUMIFS(MLF_WA!$C:$C,MLF_WA!$E:$E,final!W$399,MLF_WA!$A:$A,VLOOKUP(final!$A371,ref!$D:$F,3,FALSE))</f>
        <v>1.0212000000000001</v>
      </c>
      <c r="X371">
        <f>SUMIFS(MLF_WA!$C:$C,MLF_WA!$E:$E,final!X$399,MLF_WA!$A:$A,VLOOKUP(final!$A371,ref!$D:$F,3,FALSE))</f>
        <v>1.0174000000000001</v>
      </c>
      <c r="Y371">
        <f>SUMIFS(MLF_WA!$C:$C,MLF_WA!$E:$E,final!Y$399,MLF_WA!$A:$A,VLOOKUP(final!$A371,ref!$D:$F,3,FALSE))</f>
        <v>1.0236000000000001</v>
      </c>
      <c r="Z371">
        <f>SUMIFS(MLF_WA!$C:$C,MLF_WA!$E:$E,final!Z$399,MLF_WA!$A:$A,VLOOKUP(final!$A371,ref!$D:$F,3,FALSE))</f>
        <v>1.0205</v>
      </c>
      <c r="AA371">
        <f>SUMIFS(MLF_WA!$C:$C,MLF_WA!$E:$E,final!AA$399,MLF_WA!$A:$A,VLOOKUP(final!$A371,ref!$D:$F,3,FALSE))</f>
        <v>1.0301</v>
      </c>
      <c r="AC371" t="str">
        <f>VLOOKUP($D371,wa_2!$A:$P,4,FALSE)</f>
        <v>-32.200446, 115.774561</v>
      </c>
      <c r="AD371">
        <f t="shared" si="1"/>
        <v>-32.200445999999999</v>
      </c>
      <c r="AE371" s="8">
        <f t="shared" si="2"/>
        <v>115.77456100000001</v>
      </c>
    </row>
    <row r="372" spans="1:31">
      <c r="A372" t="str">
        <f>VLOOKUP($D372,wa_2!$A:$P,2,FALSE)</f>
        <v>Muja Power Station</v>
      </c>
      <c r="B372" t="str">
        <f>VLOOKUP($D372,wa_2!$A:$Q,3,FALSE)</f>
        <v>MUJA</v>
      </c>
      <c r="C372" t="str">
        <f>VLOOKUP($D372,wa_2!$A:$Q,17,FALSE)</f>
        <v>Synergy</v>
      </c>
      <c r="D372" t="s">
        <v>4461</v>
      </c>
      <c r="J372" t="str">
        <f t="shared" si="0"/>
        <v>{"lat": -33.446183,"lng": 116.306602}</v>
      </c>
      <c r="K372" t="s">
        <v>4588</v>
      </c>
      <c r="L372" t="str">
        <f>VLOOKUP($D372,wa_2!$A:$Q,7,FALSE)</f>
        <v>Coal</v>
      </c>
      <c r="M372" t="str">
        <f>VLOOKUP($D372,wa_2!$A:$Q,8,FALSE)</f>
        <v>Coal</v>
      </c>
      <c r="P372" t="str">
        <f>VLOOKUP(M372,ref!A:B,2,FALSE)</f>
        <v>Coal</v>
      </c>
      <c r="Q372">
        <f>VLOOKUP($D372,wa_2!$A:$Q,16,FALSE)</f>
        <v>195.8</v>
      </c>
      <c r="S372">
        <f>SUMIFS(MLF_WA!$C:$C,MLF_WA!$E:$E,final!S$399,MLF_WA!$A:$A,VLOOKUP(final!$A372,ref!$D:$F,3,FALSE))</f>
        <v>1</v>
      </c>
      <c r="T372">
        <f>SUMIFS(MLF_WA!$C:$C,MLF_WA!$E:$E,final!T$399,MLF_WA!$A:$A,VLOOKUP(final!$A372,ref!$D:$F,3,FALSE))</f>
        <v>1</v>
      </c>
      <c r="U372">
        <f>SUMIFS(MLF_WA!$C:$C,MLF_WA!$E:$E,final!U$399,MLF_WA!$A:$A,VLOOKUP(final!$A372,ref!$D:$F,3,FALSE))</f>
        <v>1</v>
      </c>
      <c r="V372">
        <f>SUMIFS(MLF_WA!$C:$C,MLF_WA!$E:$E,final!V$399,MLF_WA!$A:$A,VLOOKUP(final!$A372,ref!$D:$F,3,FALSE))</f>
        <v>1</v>
      </c>
      <c r="W372">
        <f>SUMIFS(MLF_WA!$C:$C,MLF_WA!$E:$E,final!W$399,MLF_WA!$A:$A,VLOOKUP(final!$A372,ref!$D:$F,3,FALSE))</f>
        <v>1</v>
      </c>
      <c r="X372">
        <f>SUMIFS(MLF_WA!$C:$C,MLF_WA!$E:$E,final!X$399,MLF_WA!$A:$A,VLOOKUP(final!$A372,ref!$D:$F,3,FALSE))</f>
        <v>1</v>
      </c>
      <c r="Y372">
        <f>SUMIFS(MLF_WA!$C:$C,MLF_WA!$E:$E,final!Y$399,MLF_WA!$A:$A,VLOOKUP(final!$A372,ref!$D:$F,3,FALSE))</f>
        <v>1</v>
      </c>
      <c r="Z372">
        <f>SUMIFS(MLF_WA!$C:$C,MLF_WA!$E:$E,final!Z$399,MLF_WA!$A:$A,VLOOKUP(final!$A372,ref!$D:$F,3,FALSE))</f>
        <v>0.99950000000000006</v>
      </c>
      <c r="AA372">
        <f>SUMIFS(MLF_WA!$C:$C,MLF_WA!$E:$E,final!AA$399,MLF_WA!$A:$A,VLOOKUP(final!$A372,ref!$D:$F,3,FALSE))</f>
        <v>1</v>
      </c>
      <c r="AC372" t="str">
        <f>VLOOKUP($D372,wa_2!$A:$P,4,FALSE)</f>
        <v>-33.446183, 116.306602</v>
      </c>
      <c r="AD372">
        <f t="shared" si="1"/>
        <v>-33.446182999999998</v>
      </c>
      <c r="AE372" s="8">
        <f t="shared" si="2"/>
        <v>116.306602</v>
      </c>
    </row>
    <row r="373" spans="1:31">
      <c r="A373" t="str">
        <f>VLOOKUP($D373,wa_2!$A:$P,2,FALSE)</f>
        <v>Muja Power Station</v>
      </c>
      <c r="B373" t="str">
        <f>VLOOKUP($D373,wa_2!$A:$Q,3,FALSE)</f>
        <v>MUJA</v>
      </c>
      <c r="C373" t="str">
        <f>VLOOKUP($D373,wa_2!$A:$Q,17,FALSE)</f>
        <v>Synergy</v>
      </c>
      <c r="D373" t="s">
        <v>4463</v>
      </c>
      <c r="J373" t="str">
        <f t="shared" si="0"/>
        <v>{"lat": -33.446183,"lng": 116.306602}</v>
      </c>
      <c r="K373" t="s">
        <v>4588</v>
      </c>
      <c r="L373" t="str">
        <f>VLOOKUP($D373,wa_2!$A:$Q,7,FALSE)</f>
        <v>Coal</v>
      </c>
      <c r="M373" t="str">
        <f>VLOOKUP($D373,wa_2!$A:$Q,8,FALSE)</f>
        <v>Coal</v>
      </c>
      <c r="P373" t="str">
        <f>VLOOKUP(M373,ref!A:B,2,FALSE)</f>
        <v>Coal</v>
      </c>
      <c r="Q373">
        <f>VLOOKUP($D373,wa_2!$A:$Q,16,FALSE)</f>
        <v>193.6</v>
      </c>
      <c r="S373">
        <f>SUMIFS(MLF_WA!$C:$C,MLF_WA!$E:$E,final!S$399,MLF_WA!$A:$A,VLOOKUP(final!$A373,ref!$D:$F,3,FALSE))</f>
        <v>1</v>
      </c>
      <c r="T373">
        <f>SUMIFS(MLF_WA!$C:$C,MLF_WA!$E:$E,final!T$399,MLF_WA!$A:$A,VLOOKUP(final!$A373,ref!$D:$F,3,FALSE))</f>
        <v>1</v>
      </c>
      <c r="U373">
        <f>SUMIFS(MLF_WA!$C:$C,MLF_WA!$E:$E,final!U$399,MLF_WA!$A:$A,VLOOKUP(final!$A373,ref!$D:$F,3,FALSE))</f>
        <v>1</v>
      </c>
      <c r="V373">
        <f>SUMIFS(MLF_WA!$C:$C,MLF_WA!$E:$E,final!V$399,MLF_WA!$A:$A,VLOOKUP(final!$A373,ref!$D:$F,3,FALSE))</f>
        <v>1</v>
      </c>
      <c r="W373">
        <f>SUMIFS(MLF_WA!$C:$C,MLF_WA!$E:$E,final!W$399,MLF_WA!$A:$A,VLOOKUP(final!$A373,ref!$D:$F,3,FALSE))</f>
        <v>1</v>
      </c>
      <c r="X373">
        <f>SUMIFS(MLF_WA!$C:$C,MLF_WA!$E:$E,final!X$399,MLF_WA!$A:$A,VLOOKUP(final!$A373,ref!$D:$F,3,FALSE))</f>
        <v>1</v>
      </c>
      <c r="Y373">
        <f>SUMIFS(MLF_WA!$C:$C,MLF_WA!$E:$E,final!Y$399,MLF_WA!$A:$A,VLOOKUP(final!$A373,ref!$D:$F,3,FALSE))</f>
        <v>1</v>
      </c>
      <c r="Z373">
        <f>SUMIFS(MLF_WA!$C:$C,MLF_WA!$E:$E,final!Z$399,MLF_WA!$A:$A,VLOOKUP(final!$A373,ref!$D:$F,3,FALSE))</f>
        <v>0.99950000000000006</v>
      </c>
      <c r="AA373">
        <f>SUMIFS(MLF_WA!$C:$C,MLF_WA!$E:$E,final!AA$399,MLF_WA!$A:$A,VLOOKUP(final!$A373,ref!$D:$F,3,FALSE))</f>
        <v>1</v>
      </c>
      <c r="AC373" t="str">
        <f>VLOOKUP($D373,wa_2!$A:$P,4,FALSE)</f>
        <v>-33.446183, 116.306602</v>
      </c>
      <c r="AD373">
        <f t="shared" si="1"/>
        <v>-33.446182999999998</v>
      </c>
      <c r="AE373" s="8">
        <f t="shared" si="2"/>
        <v>116.306602</v>
      </c>
    </row>
    <row r="374" spans="1:31">
      <c r="A374" t="str">
        <f>VLOOKUP($D374,wa_2!$A:$P,2,FALSE)</f>
        <v>Muja Power Station</v>
      </c>
      <c r="B374" t="str">
        <f>VLOOKUP($D374,wa_2!$A:$Q,3,FALSE)</f>
        <v>MUJA</v>
      </c>
      <c r="C374" t="str">
        <f>VLOOKUP($D374,wa_2!$A:$Q,17,FALSE)</f>
        <v>Synergy</v>
      </c>
      <c r="D374" t="s">
        <v>4465</v>
      </c>
      <c r="J374" t="str">
        <f t="shared" si="0"/>
        <v>{"lat": -33.446183,"lng": 116.306602}</v>
      </c>
      <c r="K374" t="s">
        <v>4588</v>
      </c>
      <c r="L374" t="str">
        <f>VLOOKUP($D374,wa_2!$A:$Q,7,FALSE)</f>
        <v>Coal</v>
      </c>
      <c r="M374" t="str">
        <f>VLOOKUP($D374,wa_2!$A:$Q,8,FALSE)</f>
        <v>Coal</v>
      </c>
      <c r="P374" t="str">
        <f>VLOOKUP(M374,ref!A:B,2,FALSE)</f>
        <v>Coal</v>
      </c>
      <c r="Q374">
        <f>VLOOKUP($D374,wa_2!$A:$Q,16,FALSE)</f>
        <v>212.6</v>
      </c>
      <c r="S374">
        <f>SUMIFS(MLF_WA!$C:$C,MLF_WA!$E:$E,final!S$399,MLF_WA!$A:$A,VLOOKUP(final!$A374,ref!$D:$F,3,FALSE))</f>
        <v>1</v>
      </c>
      <c r="T374">
        <f>SUMIFS(MLF_WA!$C:$C,MLF_WA!$E:$E,final!T$399,MLF_WA!$A:$A,VLOOKUP(final!$A374,ref!$D:$F,3,FALSE))</f>
        <v>1</v>
      </c>
      <c r="U374">
        <f>SUMIFS(MLF_WA!$C:$C,MLF_WA!$E:$E,final!U$399,MLF_WA!$A:$A,VLOOKUP(final!$A374,ref!$D:$F,3,FALSE))</f>
        <v>1</v>
      </c>
      <c r="V374">
        <f>SUMIFS(MLF_WA!$C:$C,MLF_WA!$E:$E,final!V$399,MLF_WA!$A:$A,VLOOKUP(final!$A374,ref!$D:$F,3,FALSE))</f>
        <v>1</v>
      </c>
      <c r="W374">
        <f>SUMIFS(MLF_WA!$C:$C,MLF_WA!$E:$E,final!W$399,MLF_WA!$A:$A,VLOOKUP(final!$A374,ref!$D:$F,3,FALSE))</f>
        <v>1</v>
      </c>
      <c r="X374">
        <f>SUMIFS(MLF_WA!$C:$C,MLF_WA!$E:$E,final!X$399,MLF_WA!$A:$A,VLOOKUP(final!$A374,ref!$D:$F,3,FALSE))</f>
        <v>1</v>
      </c>
      <c r="Y374">
        <f>SUMIFS(MLF_WA!$C:$C,MLF_WA!$E:$E,final!Y$399,MLF_WA!$A:$A,VLOOKUP(final!$A374,ref!$D:$F,3,FALSE))</f>
        <v>1</v>
      </c>
      <c r="Z374">
        <f>SUMIFS(MLF_WA!$C:$C,MLF_WA!$E:$E,final!Z$399,MLF_WA!$A:$A,VLOOKUP(final!$A374,ref!$D:$F,3,FALSE))</f>
        <v>0.99950000000000006</v>
      </c>
      <c r="AA374">
        <f>SUMIFS(MLF_WA!$C:$C,MLF_WA!$E:$E,final!AA$399,MLF_WA!$A:$A,VLOOKUP(final!$A374,ref!$D:$F,3,FALSE))</f>
        <v>1</v>
      </c>
      <c r="AC374" t="str">
        <f>VLOOKUP($D374,wa_2!$A:$P,4,FALSE)</f>
        <v>-33.446183, 116.306602</v>
      </c>
      <c r="AD374">
        <f t="shared" si="1"/>
        <v>-33.446182999999998</v>
      </c>
      <c r="AE374" s="8">
        <f t="shared" si="2"/>
        <v>116.306602</v>
      </c>
    </row>
    <row r="375" spans="1:31">
      <c r="A375" t="str">
        <f>VLOOKUP($D375,wa_2!$A:$P,2,FALSE)</f>
        <v>Muja Power Station</v>
      </c>
      <c r="B375" t="str">
        <f>VLOOKUP($D375,wa_2!$A:$Q,3,FALSE)</f>
        <v>MUJA</v>
      </c>
      <c r="C375" t="str">
        <f>VLOOKUP($D375,wa_2!$A:$Q,17,FALSE)</f>
        <v>Synergy</v>
      </c>
      <c r="D375" t="s">
        <v>4467</v>
      </c>
      <c r="J375" t="str">
        <f t="shared" si="0"/>
        <v>{"lat": -33.446183,"lng": 116.306602}</v>
      </c>
      <c r="K375" t="s">
        <v>4588</v>
      </c>
      <c r="L375" t="str">
        <f>VLOOKUP($D375,wa_2!$A:$Q,7,FALSE)</f>
        <v>Coal</v>
      </c>
      <c r="M375" t="str">
        <f>VLOOKUP($D375,wa_2!$A:$Q,8,FALSE)</f>
        <v>Coal</v>
      </c>
      <c r="P375" t="str">
        <f>VLOOKUP(M375,ref!A:B,2,FALSE)</f>
        <v>Coal</v>
      </c>
      <c r="Q375">
        <f>VLOOKUP($D375,wa_2!$A:$Q,16,FALSE)</f>
        <v>212.6</v>
      </c>
      <c r="S375">
        <f>SUMIFS(MLF_WA!$C:$C,MLF_WA!$E:$E,final!S$399,MLF_WA!$A:$A,VLOOKUP(final!$A375,ref!$D:$F,3,FALSE))</f>
        <v>1</v>
      </c>
      <c r="T375">
        <f>SUMIFS(MLF_WA!$C:$C,MLF_WA!$E:$E,final!T$399,MLF_WA!$A:$A,VLOOKUP(final!$A375,ref!$D:$F,3,FALSE))</f>
        <v>1</v>
      </c>
      <c r="U375">
        <f>SUMIFS(MLF_WA!$C:$C,MLF_WA!$E:$E,final!U$399,MLF_WA!$A:$A,VLOOKUP(final!$A375,ref!$D:$F,3,FALSE))</f>
        <v>1</v>
      </c>
      <c r="V375">
        <f>SUMIFS(MLF_WA!$C:$C,MLF_WA!$E:$E,final!V$399,MLF_WA!$A:$A,VLOOKUP(final!$A375,ref!$D:$F,3,FALSE))</f>
        <v>1</v>
      </c>
      <c r="W375">
        <f>SUMIFS(MLF_WA!$C:$C,MLF_WA!$E:$E,final!W$399,MLF_WA!$A:$A,VLOOKUP(final!$A375,ref!$D:$F,3,FALSE))</f>
        <v>1</v>
      </c>
      <c r="X375">
        <f>SUMIFS(MLF_WA!$C:$C,MLF_WA!$E:$E,final!X$399,MLF_WA!$A:$A,VLOOKUP(final!$A375,ref!$D:$F,3,FALSE))</f>
        <v>1</v>
      </c>
      <c r="Y375">
        <f>SUMIFS(MLF_WA!$C:$C,MLF_WA!$E:$E,final!Y$399,MLF_WA!$A:$A,VLOOKUP(final!$A375,ref!$D:$F,3,FALSE))</f>
        <v>1</v>
      </c>
      <c r="Z375">
        <f>SUMIFS(MLF_WA!$C:$C,MLF_WA!$E:$E,final!Z$399,MLF_WA!$A:$A,VLOOKUP(final!$A375,ref!$D:$F,3,FALSE))</f>
        <v>0.99950000000000006</v>
      </c>
      <c r="AA375">
        <f>SUMIFS(MLF_WA!$C:$C,MLF_WA!$E:$E,final!AA$399,MLF_WA!$A:$A,VLOOKUP(final!$A375,ref!$D:$F,3,FALSE))</f>
        <v>1</v>
      </c>
      <c r="AC375" t="str">
        <f>VLOOKUP($D375,wa_2!$A:$P,4,FALSE)</f>
        <v>-33.446183, 116.306602</v>
      </c>
      <c r="AD375">
        <f t="shared" si="1"/>
        <v>-33.446182999999998</v>
      </c>
      <c r="AE375" s="8">
        <f t="shared" si="2"/>
        <v>116.306602</v>
      </c>
    </row>
    <row r="376" spans="1:31">
      <c r="A376" t="str">
        <f>VLOOKUP($D376,wa_2!$A:$P,2,FALSE)</f>
        <v>Mungarra Power Station</v>
      </c>
      <c r="B376" t="str">
        <f>VLOOKUP($D376,wa_2!$A:$Q,3,FALSE)</f>
        <v>MUNGARRA</v>
      </c>
      <c r="C376" t="str">
        <f>VLOOKUP($D376,wa_2!$A:$Q,17,FALSE)</f>
        <v>Synergy</v>
      </c>
      <c r="D376" t="s">
        <v>4469</v>
      </c>
      <c r="J376" t="str">
        <f t="shared" si="0"/>
        <v>{"lat": -28.8879,"lng": 115.118195}</v>
      </c>
      <c r="K376" t="s">
        <v>4588</v>
      </c>
      <c r="L376" t="str">
        <f>VLOOKUP($D376,wa_2!$A:$Q,7,FALSE)</f>
        <v>Gas</v>
      </c>
      <c r="M376" t="str">
        <f>VLOOKUP($D376,wa_2!$A:$Q,8,FALSE)</f>
        <v>Gas</v>
      </c>
      <c r="P376" t="str">
        <f>VLOOKUP(M376,ref!A:B,2,FALSE)</f>
        <v>Gas</v>
      </c>
      <c r="Q376">
        <f>VLOOKUP($D376,wa_2!$A:$Q,16,FALSE)</f>
        <v>39.5</v>
      </c>
      <c r="S376">
        <f>SUMIFS(MLF_WA!$C:$C,MLF_WA!$E:$E,final!S$399,MLF_WA!$A:$A,VLOOKUP(final!$A376,ref!$D:$F,3,FALSE))</f>
        <v>1.0169999999999999</v>
      </c>
      <c r="T376">
        <f>SUMIFS(MLF_WA!$C:$C,MLF_WA!$E:$E,final!T$399,MLF_WA!$A:$A,VLOOKUP(final!$A376,ref!$D:$F,3,FALSE))</f>
        <v>1.0248999999999999</v>
      </c>
      <c r="U376">
        <f>SUMIFS(MLF_WA!$C:$C,MLF_WA!$E:$E,final!U$399,MLF_WA!$A:$A,VLOOKUP(final!$A376,ref!$D:$F,3,FALSE))</f>
        <v>1.0181</v>
      </c>
      <c r="V376">
        <f>SUMIFS(MLF_WA!$C:$C,MLF_WA!$E:$E,final!V$399,MLF_WA!$A:$A,VLOOKUP(final!$A376,ref!$D:$F,3,FALSE))</f>
        <v>1.0353000000000001</v>
      </c>
      <c r="W376">
        <f>SUMIFS(MLF_WA!$C:$C,MLF_WA!$E:$E,final!W$399,MLF_WA!$A:$A,VLOOKUP(final!$A376,ref!$D:$F,3,FALSE))</f>
        <v>1.0145999999999999</v>
      </c>
      <c r="X376">
        <f>SUMIFS(MLF_WA!$C:$C,MLF_WA!$E:$E,final!X$399,MLF_WA!$A:$A,VLOOKUP(final!$A376,ref!$D:$F,3,FALSE))</f>
        <v>0.99629999999999996</v>
      </c>
      <c r="Y376">
        <f>SUMIFS(MLF_WA!$C:$C,MLF_WA!$E:$E,final!Y$399,MLF_WA!$A:$A,VLOOKUP(final!$A376,ref!$D:$F,3,FALSE))</f>
        <v>1.0059</v>
      </c>
      <c r="Z376">
        <f>SUMIFS(MLF_WA!$C:$C,MLF_WA!$E:$E,final!Z$399,MLF_WA!$A:$A,VLOOKUP(final!$A376,ref!$D:$F,3,FALSE))</f>
        <v>1.0118</v>
      </c>
      <c r="AA376">
        <f>SUMIFS(MLF_WA!$C:$C,MLF_WA!$E:$E,final!AA$399,MLF_WA!$A:$A,VLOOKUP(final!$A376,ref!$D:$F,3,FALSE))</f>
        <v>0.99570000000000003</v>
      </c>
      <c r="AC376" t="str">
        <f>VLOOKUP($D376,wa_2!$A:$P,4,FALSE)</f>
        <v>-28.887900, 115.118195</v>
      </c>
      <c r="AD376">
        <f t="shared" si="1"/>
        <v>-28.887899999999998</v>
      </c>
      <c r="AE376" s="8">
        <f t="shared" si="2"/>
        <v>115.118195</v>
      </c>
    </row>
    <row r="377" spans="1:31">
      <c r="A377" t="str">
        <f>VLOOKUP($D377,wa_2!$A:$P,2,FALSE)</f>
        <v>Mungarra Power Station</v>
      </c>
      <c r="B377" t="str">
        <f>VLOOKUP($D377,wa_2!$A:$Q,3,FALSE)</f>
        <v>MUNGARRA</v>
      </c>
      <c r="C377" t="str">
        <f>VLOOKUP($D377,wa_2!$A:$Q,17,FALSE)</f>
        <v>Synergy</v>
      </c>
      <c r="D377" t="s">
        <v>4472</v>
      </c>
      <c r="J377" t="str">
        <f t="shared" si="0"/>
        <v>{"lat": -28.8879,"lng": 115.118195}</v>
      </c>
      <c r="K377" t="s">
        <v>4588</v>
      </c>
      <c r="L377" t="str">
        <f>VLOOKUP($D377,wa_2!$A:$Q,7,FALSE)</f>
        <v>Gas</v>
      </c>
      <c r="M377" t="str">
        <f>VLOOKUP($D377,wa_2!$A:$Q,8,FALSE)</f>
        <v>Gas</v>
      </c>
      <c r="P377" t="str">
        <f>VLOOKUP(M377,ref!A:B,2,FALSE)</f>
        <v>Gas</v>
      </c>
      <c r="Q377">
        <f>VLOOKUP($D377,wa_2!$A:$Q,16,FALSE)</f>
        <v>39.5</v>
      </c>
      <c r="S377">
        <f>SUMIFS(MLF_WA!$C:$C,MLF_WA!$E:$E,final!S$399,MLF_WA!$A:$A,VLOOKUP(final!$A377,ref!$D:$F,3,FALSE))</f>
        <v>1.0169999999999999</v>
      </c>
      <c r="T377">
        <f>SUMIFS(MLF_WA!$C:$C,MLF_WA!$E:$E,final!T$399,MLF_WA!$A:$A,VLOOKUP(final!$A377,ref!$D:$F,3,FALSE))</f>
        <v>1.0248999999999999</v>
      </c>
      <c r="U377">
        <f>SUMIFS(MLF_WA!$C:$C,MLF_WA!$E:$E,final!U$399,MLF_WA!$A:$A,VLOOKUP(final!$A377,ref!$D:$F,3,FALSE))</f>
        <v>1.0181</v>
      </c>
      <c r="V377">
        <f>SUMIFS(MLF_WA!$C:$C,MLF_WA!$E:$E,final!V$399,MLF_WA!$A:$A,VLOOKUP(final!$A377,ref!$D:$F,3,FALSE))</f>
        <v>1.0353000000000001</v>
      </c>
      <c r="W377">
        <f>SUMIFS(MLF_WA!$C:$C,MLF_WA!$E:$E,final!W$399,MLF_WA!$A:$A,VLOOKUP(final!$A377,ref!$D:$F,3,FALSE))</f>
        <v>1.0145999999999999</v>
      </c>
      <c r="X377">
        <f>SUMIFS(MLF_WA!$C:$C,MLF_WA!$E:$E,final!X$399,MLF_WA!$A:$A,VLOOKUP(final!$A377,ref!$D:$F,3,FALSE))</f>
        <v>0.99629999999999996</v>
      </c>
      <c r="Y377">
        <f>SUMIFS(MLF_WA!$C:$C,MLF_WA!$E:$E,final!Y$399,MLF_WA!$A:$A,VLOOKUP(final!$A377,ref!$D:$F,3,FALSE))</f>
        <v>1.0059</v>
      </c>
      <c r="Z377">
        <f>SUMIFS(MLF_WA!$C:$C,MLF_WA!$E:$E,final!Z$399,MLF_WA!$A:$A,VLOOKUP(final!$A377,ref!$D:$F,3,FALSE))</f>
        <v>1.0118</v>
      </c>
      <c r="AA377">
        <f>SUMIFS(MLF_WA!$C:$C,MLF_WA!$E:$E,final!AA$399,MLF_WA!$A:$A,VLOOKUP(final!$A377,ref!$D:$F,3,FALSE))</f>
        <v>0.99570000000000003</v>
      </c>
      <c r="AC377" t="str">
        <f>VLOOKUP($D377,wa_2!$A:$P,4,FALSE)</f>
        <v>-28.887900, 115.118195</v>
      </c>
      <c r="AD377">
        <f t="shared" si="1"/>
        <v>-28.887899999999998</v>
      </c>
      <c r="AE377" s="8">
        <f t="shared" si="2"/>
        <v>115.118195</v>
      </c>
    </row>
    <row r="378" spans="1:31">
      <c r="A378" t="str">
        <f>VLOOKUP($D378,wa_2!$A:$P,2,FALSE)</f>
        <v>Mungarra Power Station</v>
      </c>
      <c r="B378" t="str">
        <f>VLOOKUP($D378,wa_2!$A:$Q,3,FALSE)</f>
        <v>MUNGARRA</v>
      </c>
      <c r="C378" t="str">
        <f>VLOOKUP($D378,wa_2!$A:$Q,17,FALSE)</f>
        <v>Synergy</v>
      </c>
      <c r="D378" t="s">
        <v>4474</v>
      </c>
      <c r="J378" t="str">
        <f t="shared" si="0"/>
        <v>{"lat": -28.8879,"lng": 115.118195}</v>
      </c>
      <c r="K378" t="s">
        <v>4588</v>
      </c>
      <c r="L378" t="str">
        <f>VLOOKUP($D378,wa_2!$A:$Q,7,FALSE)</f>
        <v>Gas</v>
      </c>
      <c r="M378" t="str">
        <f>VLOOKUP($D378,wa_2!$A:$Q,8,FALSE)</f>
        <v>Gas</v>
      </c>
      <c r="P378" t="str">
        <f>VLOOKUP(M378,ref!A:B,2,FALSE)</f>
        <v>Gas</v>
      </c>
      <c r="Q378">
        <f>VLOOKUP($D378,wa_2!$A:$Q,16,FALSE)</f>
        <v>38</v>
      </c>
      <c r="S378">
        <f>SUMIFS(MLF_WA!$C:$C,MLF_WA!$E:$E,final!S$399,MLF_WA!$A:$A,VLOOKUP(final!$A378,ref!$D:$F,3,FALSE))</f>
        <v>1.0169999999999999</v>
      </c>
      <c r="T378">
        <f>SUMIFS(MLF_WA!$C:$C,MLF_WA!$E:$E,final!T$399,MLF_WA!$A:$A,VLOOKUP(final!$A378,ref!$D:$F,3,FALSE))</f>
        <v>1.0248999999999999</v>
      </c>
      <c r="U378">
        <f>SUMIFS(MLF_WA!$C:$C,MLF_WA!$E:$E,final!U$399,MLF_WA!$A:$A,VLOOKUP(final!$A378,ref!$D:$F,3,FALSE))</f>
        <v>1.0181</v>
      </c>
      <c r="V378">
        <f>SUMIFS(MLF_WA!$C:$C,MLF_WA!$E:$E,final!V$399,MLF_WA!$A:$A,VLOOKUP(final!$A378,ref!$D:$F,3,FALSE))</f>
        <v>1.0353000000000001</v>
      </c>
      <c r="W378">
        <f>SUMIFS(MLF_WA!$C:$C,MLF_WA!$E:$E,final!W$399,MLF_WA!$A:$A,VLOOKUP(final!$A378,ref!$D:$F,3,FALSE))</f>
        <v>1.0145999999999999</v>
      </c>
      <c r="X378">
        <f>SUMIFS(MLF_WA!$C:$C,MLF_WA!$E:$E,final!X$399,MLF_WA!$A:$A,VLOOKUP(final!$A378,ref!$D:$F,3,FALSE))</f>
        <v>0.99629999999999996</v>
      </c>
      <c r="Y378">
        <f>SUMIFS(MLF_WA!$C:$C,MLF_WA!$E:$E,final!Y$399,MLF_WA!$A:$A,VLOOKUP(final!$A378,ref!$D:$F,3,FALSE))</f>
        <v>1.0059</v>
      </c>
      <c r="Z378">
        <f>SUMIFS(MLF_WA!$C:$C,MLF_WA!$E:$E,final!Z$399,MLF_WA!$A:$A,VLOOKUP(final!$A378,ref!$D:$F,3,FALSE))</f>
        <v>1.0118</v>
      </c>
      <c r="AA378">
        <f>SUMIFS(MLF_WA!$C:$C,MLF_WA!$E:$E,final!AA$399,MLF_WA!$A:$A,VLOOKUP(final!$A378,ref!$D:$F,3,FALSE))</f>
        <v>0.99570000000000003</v>
      </c>
      <c r="AC378" t="str">
        <f>VLOOKUP($D378,wa_2!$A:$P,4,FALSE)</f>
        <v>-28.887900, 115.118195</v>
      </c>
      <c r="AD378">
        <f t="shared" si="1"/>
        <v>-28.887899999999998</v>
      </c>
      <c r="AE378" s="8">
        <f t="shared" si="2"/>
        <v>115.118195</v>
      </c>
    </row>
    <row r="379" spans="1:31">
      <c r="A379" t="str">
        <f>VLOOKUP($D379,wa_2!$A:$P,2,FALSE)</f>
        <v>Mumbida Wind Farm</v>
      </c>
      <c r="B379" t="str">
        <f>VLOOKUP($D379,wa_2!$A:$Q,3,FALSE)</f>
        <v>MWF_MUMBIDA_WF1</v>
      </c>
      <c r="C379" t="str">
        <f>VLOOKUP($D379,wa_2!$A:$Q,17,FALSE)</f>
        <v>Mumbida Wind Farm</v>
      </c>
      <c r="D379" t="s">
        <v>4477</v>
      </c>
      <c r="J379" t="str">
        <f t="shared" si="0"/>
        <v>{"lat": -29.011024,"lng": 114.968452}</v>
      </c>
      <c r="K379" t="s">
        <v>4588</v>
      </c>
      <c r="L379" t="str">
        <f>VLOOKUP($D379,wa_2!$A:$Q,7,FALSE)</f>
        <v>Wind</v>
      </c>
      <c r="M379" t="str">
        <f>VLOOKUP($D379,wa_2!$A:$Q,8,FALSE)</f>
        <v>Wind</v>
      </c>
      <c r="P379" t="str">
        <f>VLOOKUP(M379,ref!A:B,2,FALSE)</f>
        <v>Wind</v>
      </c>
      <c r="Q379">
        <f>VLOOKUP($D379,wa_2!$A:$Q,16,FALSE)</f>
        <v>55</v>
      </c>
      <c r="V379">
        <f>SUMIFS(MLF_WA!$C:$C,MLF_WA!$E:$E,final!V$399,MLF_WA!$A:$A,VLOOKUP(final!$A379,ref!$D:$F,3,FALSE))</f>
        <v>1.0353000000000001</v>
      </c>
      <c r="W379">
        <f>SUMIFS(MLF_WA!$C:$C,MLF_WA!$E:$E,final!W$399,MLF_WA!$A:$A,VLOOKUP(final!$A379,ref!$D:$F,3,FALSE))</f>
        <v>0.90969999999999995</v>
      </c>
      <c r="X379">
        <f>SUMIFS(MLF_WA!$C:$C,MLF_WA!$E:$E,final!X$399,MLF_WA!$A:$A,VLOOKUP(final!$A379,ref!$D:$F,3,FALSE))</f>
        <v>0.95699999999999996</v>
      </c>
      <c r="Y379">
        <f>SUMIFS(MLF_WA!$C:$C,MLF_WA!$E:$E,final!Y$399,MLF_WA!$A:$A,VLOOKUP(final!$A379,ref!$D:$F,3,FALSE))</f>
        <v>0.96960000000000002</v>
      </c>
      <c r="Z379">
        <f>SUMIFS(MLF_WA!$C:$C,MLF_WA!$E:$E,final!Z$399,MLF_WA!$A:$A,VLOOKUP(final!$A379,ref!$D:$F,3,FALSE))</f>
        <v>0.96679999999999999</v>
      </c>
      <c r="AA379">
        <f>SUMIFS(MLF_WA!$C:$C,MLF_WA!$E:$E,final!AA$399,MLF_WA!$A:$A,VLOOKUP(final!$A379,ref!$D:$F,3,FALSE))</f>
        <v>0.95730000000000004</v>
      </c>
      <c r="AC379" t="str">
        <f>VLOOKUP($D379,wa_2!$A:$P,4,FALSE)</f>
        <v>-29.011024, 114.968452</v>
      </c>
      <c r="AD379">
        <f t="shared" si="1"/>
        <v>-29.011023999999999</v>
      </c>
      <c r="AE379" s="8">
        <f t="shared" si="2"/>
        <v>114.968452</v>
      </c>
    </row>
    <row r="380" spans="1:31">
      <c r="A380" t="str">
        <f>VLOOKUP($D380,wa_2!$A:$P,2,FALSE)</f>
        <v>Merredin Gas Turbine</v>
      </c>
      <c r="B380" t="str">
        <f>VLOOKUP($D380,wa_2!$A:$Q,3,FALSE)</f>
        <v>NAMKKN_MERR_SG1</v>
      </c>
      <c r="C380" t="str">
        <f>VLOOKUP($D380,wa_2!$A:$Q,17,FALSE)</f>
        <v>Merredin Energy</v>
      </c>
      <c r="D380" t="s">
        <v>4480</v>
      </c>
      <c r="J380" t="str">
        <f t="shared" si="0"/>
        <v>{"lat": -31.493723,"lng": 118.24373}</v>
      </c>
      <c r="K380" t="s">
        <v>4588</v>
      </c>
      <c r="L380" t="str">
        <f>VLOOKUP($D380,wa_2!$A:$Q,7,FALSE)</f>
        <v>Distillate</v>
      </c>
      <c r="M380" t="str">
        <f>VLOOKUP($D380,wa_2!$A:$Q,8,FALSE)</f>
        <v>Distillate</v>
      </c>
      <c r="P380" t="str">
        <f>VLOOKUP(M380,ref!A:B,2,FALSE)</f>
        <v>Diesel</v>
      </c>
      <c r="Q380">
        <f>VLOOKUP($D380,wa_2!$A:$Q,16,FALSE)</f>
        <v>92.6</v>
      </c>
      <c r="V380">
        <f>SUMIFS(MLF_WA!$C:$C,MLF_WA!$E:$E,final!V$399,MLF_WA!$A:$A,VLOOKUP(final!$A380,ref!$D:$F,3,FALSE))</f>
        <v>1.0405</v>
      </c>
      <c r="W380">
        <f>SUMIFS(MLF_WA!$C:$C,MLF_WA!$E:$E,final!W$399,MLF_WA!$A:$A,VLOOKUP(final!$A380,ref!$D:$F,3,FALSE))</f>
        <v>0.96289999999999998</v>
      </c>
      <c r="X380">
        <f>SUMIFS(MLF_WA!$C:$C,MLF_WA!$E:$E,final!X$399,MLF_WA!$A:$A,VLOOKUP(final!$A380,ref!$D:$F,3,FALSE))</f>
        <v>1.0439000000000001</v>
      </c>
      <c r="Y380">
        <f>SUMIFS(MLF_WA!$C:$C,MLF_WA!$E:$E,final!Y$399,MLF_WA!$A:$A,VLOOKUP(final!$A380,ref!$D:$F,3,FALSE))</f>
        <v>0.99970000000000003</v>
      </c>
      <c r="Z380">
        <f>SUMIFS(MLF_WA!$C:$C,MLF_WA!$E:$E,final!Z$399,MLF_WA!$A:$A,VLOOKUP(final!$A380,ref!$D:$F,3,FALSE))</f>
        <v>0.99970000000000003</v>
      </c>
      <c r="AA380">
        <f>SUMIFS(MLF_WA!$C:$C,MLF_WA!$E:$E,final!AA$399,MLF_WA!$A:$A,VLOOKUP(final!$A380,ref!$D:$F,3,FALSE))</f>
        <v>0.99970000000000003</v>
      </c>
      <c r="AC380" t="str">
        <f>VLOOKUP($D380,wa_2!$A:$P,4,FALSE)</f>
        <v>-31.493723, 118.243730</v>
      </c>
      <c r="AD380">
        <f t="shared" si="1"/>
        <v>-31.493722999999999</v>
      </c>
      <c r="AE380" s="8">
        <f t="shared" si="2"/>
        <v>118.24373</v>
      </c>
    </row>
    <row r="381" spans="1:31">
      <c r="A381" t="str">
        <f>VLOOKUP($D381,wa_2!$A:$P,2,FALSE)</f>
        <v>Newgen Kwinana Power Station</v>
      </c>
      <c r="B381" t="str">
        <f>VLOOKUP($D381,wa_2!$A:$Q,3,FALSE)</f>
        <v>NEWGEN_KWIN</v>
      </c>
      <c r="C381" t="str">
        <f>VLOOKUP($D381,wa_2!$A:$Q,17,FALSE)</f>
        <v>NewGen Power Kwinana</v>
      </c>
      <c r="D381" t="s">
        <v>4483</v>
      </c>
      <c r="J381" t="str">
        <f t="shared" si="0"/>
        <v>{"lat": -32.201968,"lng": 115.773205}</v>
      </c>
      <c r="K381" t="s">
        <v>4588</v>
      </c>
      <c r="L381" t="str">
        <f>VLOOKUP($D381,wa_2!$A:$Q,7,FALSE)</f>
        <v>Gas</v>
      </c>
      <c r="M381" t="str">
        <f>VLOOKUP($D381,wa_2!$A:$Q,8,FALSE)</f>
        <v>Gas</v>
      </c>
      <c r="P381" t="str">
        <f>VLOOKUP(M381,ref!A:B,2,FALSE)</f>
        <v>Gas</v>
      </c>
      <c r="Q381">
        <f>VLOOKUP($D381,wa_2!$A:$Q,16,FALSE)</f>
        <v>335</v>
      </c>
      <c r="S381">
        <f>SUMIFS(MLF_WA!$C:$C,MLF_WA!$E:$E,final!S$399,MLF_WA!$A:$A,VLOOKUP(final!$A381,ref!$D:$F,3,FALSE))</f>
        <v>1.0229999999999999</v>
      </c>
      <c r="T381">
        <f>SUMIFS(MLF_WA!$C:$C,MLF_WA!$E:$E,final!T$399,MLF_WA!$A:$A,VLOOKUP(final!$A381,ref!$D:$F,3,FALSE))</f>
        <v>1.0229999999999999</v>
      </c>
      <c r="U381">
        <f>SUMIFS(MLF_WA!$C:$C,MLF_WA!$E:$E,final!U$399,MLF_WA!$A:$A,VLOOKUP(final!$A381,ref!$D:$F,3,FALSE))</f>
        <v>1.0208999999999999</v>
      </c>
      <c r="V381">
        <f>SUMIFS(MLF_WA!$C:$C,MLF_WA!$E:$E,final!V$399,MLF_WA!$A:$A,VLOOKUP(final!$A381,ref!$D:$F,3,FALSE))</f>
        <v>1.0224</v>
      </c>
      <c r="W381">
        <f>SUMIFS(MLF_WA!$C:$C,MLF_WA!$E:$E,final!W$399,MLF_WA!$A:$A,VLOOKUP(final!$A381,ref!$D:$F,3,FALSE))</f>
        <v>1.0243</v>
      </c>
      <c r="X381">
        <f>SUMIFS(MLF_WA!$C:$C,MLF_WA!$E:$E,final!X$399,MLF_WA!$A:$A,VLOOKUP(final!$A381,ref!$D:$F,3,FALSE))</f>
        <v>1.0208999999999999</v>
      </c>
      <c r="Y381">
        <f>SUMIFS(MLF_WA!$C:$C,MLF_WA!$E:$E,final!Y$399,MLF_WA!$A:$A,VLOOKUP(final!$A381,ref!$D:$F,3,FALSE))</f>
        <v>1.0230999999999999</v>
      </c>
      <c r="Z381">
        <f>SUMIFS(MLF_WA!$C:$C,MLF_WA!$E:$E,final!Z$399,MLF_WA!$A:$A,VLOOKUP(final!$A381,ref!$D:$F,3,FALSE))</f>
        <v>1.0221</v>
      </c>
      <c r="AA381">
        <f>SUMIFS(MLF_WA!$C:$C,MLF_WA!$E:$E,final!AA$399,MLF_WA!$A:$A,VLOOKUP(final!$A381,ref!$D:$F,3,FALSE))</f>
        <v>1.0246999999999999</v>
      </c>
      <c r="AC381" t="str">
        <f>VLOOKUP($D381,wa_2!$A:$P,4,FALSE)</f>
        <v>-32.201968, 115.773205</v>
      </c>
      <c r="AD381">
        <f t="shared" si="1"/>
        <v>-32.201968000000001</v>
      </c>
      <c r="AE381" s="8">
        <f t="shared" si="2"/>
        <v>115.773205</v>
      </c>
    </row>
    <row r="382" spans="1:31">
      <c r="A382" t="str">
        <f>VLOOKUP($D382,wa_2!$A:$P,2,FALSE)</f>
        <v>Neerabup Power Station</v>
      </c>
      <c r="B382" t="str">
        <f>VLOOKUP($D382,wa_2!$A:$Q,3,FALSE)</f>
        <v>NEWGEN_NEERABUP_GT1</v>
      </c>
      <c r="C382" t="str">
        <f>VLOOKUP($D382,wa_2!$A:$Q,17,FALSE)</f>
        <v>NewGen Neerabup Partnership</v>
      </c>
      <c r="D382" t="s">
        <v>4486</v>
      </c>
      <c r="J382" t="str">
        <f t="shared" si="0"/>
        <v>{"lat": -31.671172,"lng": 115.801042}</v>
      </c>
      <c r="K382" t="s">
        <v>4588</v>
      </c>
      <c r="L382" t="str">
        <f>VLOOKUP($D382,wa_2!$A:$Q,7,FALSE)</f>
        <v>Gas</v>
      </c>
      <c r="M382" t="str">
        <f>VLOOKUP($D382,wa_2!$A:$Q,8,FALSE)</f>
        <v>Gas</v>
      </c>
      <c r="P382" t="str">
        <f>VLOOKUP(M382,ref!A:B,2,FALSE)</f>
        <v>Gas</v>
      </c>
      <c r="Q382">
        <f>VLOOKUP($D382,wa_2!$A:$Q,16,FALSE)</f>
        <v>342</v>
      </c>
      <c r="S382">
        <f>SUMIFS(MLF_WA!$C:$C,MLF_WA!$E:$E,final!S$399,MLF_WA!$A:$A,VLOOKUP(final!$A382,ref!$D:$F,3,FALSE))</f>
        <v>1.0246999999999999</v>
      </c>
      <c r="T382">
        <f>SUMIFS(MLF_WA!$C:$C,MLF_WA!$E:$E,final!T$399,MLF_WA!$A:$A,VLOOKUP(final!$A382,ref!$D:$F,3,FALSE))</f>
        <v>1.0383</v>
      </c>
      <c r="U382">
        <f>SUMIFS(MLF_WA!$C:$C,MLF_WA!$E:$E,final!U$399,MLF_WA!$A:$A,VLOOKUP(final!$A382,ref!$D:$F,3,FALSE))</f>
        <v>1.0265</v>
      </c>
      <c r="V382">
        <f>SUMIFS(MLF_WA!$C:$C,MLF_WA!$E:$E,final!V$399,MLF_WA!$A:$A,VLOOKUP(final!$A382,ref!$D:$F,3,FALSE))</f>
        <v>1.0379</v>
      </c>
      <c r="W382">
        <f>SUMIFS(MLF_WA!$C:$C,MLF_WA!$E:$E,final!W$399,MLF_WA!$A:$A,VLOOKUP(final!$A382,ref!$D:$F,3,FALSE))</f>
        <v>1.0392999999999999</v>
      </c>
      <c r="X382">
        <f>SUMIFS(MLF_WA!$C:$C,MLF_WA!$E:$E,final!X$399,MLF_WA!$A:$A,VLOOKUP(final!$A382,ref!$D:$F,3,FALSE))</f>
        <v>1.0278</v>
      </c>
      <c r="Y382">
        <f>SUMIFS(MLF_WA!$C:$C,MLF_WA!$E:$E,final!Y$399,MLF_WA!$A:$A,VLOOKUP(final!$A382,ref!$D:$F,3,FALSE))</f>
        <v>1.0374000000000001</v>
      </c>
      <c r="Z382">
        <f>SUMIFS(MLF_WA!$C:$C,MLF_WA!$E:$E,final!Z$399,MLF_WA!$A:$A,VLOOKUP(final!$A382,ref!$D:$F,3,FALSE))</f>
        <v>1.0355000000000001</v>
      </c>
      <c r="AA382">
        <f>SUMIFS(MLF_WA!$C:$C,MLF_WA!$E:$E,final!AA$399,MLF_WA!$A:$A,VLOOKUP(final!$A382,ref!$D:$F,3,FALSE))</f>
        <v>1.0371999999999999</v>
      </c>
      <c r="AC382" t="str">
        <f>VLOOKUP($D382,wa_2!$A:$P,4,FALSE)</f>
        <v>-31.671172, 115.801042</v>
      </c>
      <c r="AD382">
        <f t="shared" si="1"/>
        <v>-31.671171999999999</v>
      </c>
      <c r="AE382" s="8">
        <f t="shared" si="2"/>
        <v>115.801042</v>
      </c>
    </row>
    <row r="383" spans="1:31">
      <c r="A383" t="str">
        <f>VLOOKUP($D383,wa_2!$A:$P,2,FALSE)</f>
        <v>Kwinana Power Station</v>
      </c>
      <c r="B383" t="str">
        <f>VLOOKUP($D383,wa_2!$A:$Q,3,FALSE)</f>
        <v>KWINANA</v>
      </c>
      <c r="C383" t="str">
        <f>VLOOKUP($D383,wa_2!$A:$Q,17,FALSE)</f>
        <v>Western Energy</v>
      </c>
      <c r="D383" t="s">
        <v>4489</v>
      </c>
      <c r="J383" t="str">
        <f t="shared" si="0"/>
        <v>{"lat": -32.200446,"lng": 115.774561}</v>
      </c>
      <c r="K383" t="s">
        <v>4588</v>
      </c>
      <c r="L383" t="str">
        <f>VLOOKUP($D383,wa_2!$A:$Q,7,FALSE)</f>
        <v>Dual (Gas / Distillate)</v>
      </c>
      <c r="M383" t="str">
        <f>VLOOKUP($D383,wa_2!$A:$Q,8,FALSE)</f>
        <v>Gas</v>
      </c>
      <c r="P383" t="str">
        <f>VLOOKUP(M383,ref!A:B,2,FALSE)</f>
        <v>Gas</v>
      </c>
      <c r="Q383">
        <f>VLOOKUP($D383,wa_2!$A:$Q,16,FALSE)</f>
        <v>116</v>
      </c>
      <c r="S383">
        <f>SUMIFS(MLF_WA!$C:$C,MLF_WA!$E:$E,final!S$399,MLF_WA!$A:$A,VLOOKUP(final!$A383,ref!$D:$F,3,FALSE))</f>
        <v>1.0143</v>
      </c>
      <c r="T383">
        <f>SUMIFS(MLF_WA!$C:$C,MLF_WA!$E:$E,final!T$399,MLF_WA!$A:$A,VLOOKUP(final!$A383,ref!$D:$F,3,FALSE))</f>
        <v>1.0141</v>
      </c>
      <c r="U383">
        <f>SUMIFS(MLF_WA!$C:$C,MLF_WA!$E:$E,final!U$399,MLF_WA!$A:$A,VLOOKUP(final!$A383,ref!$D:$F,3,FALSE))</f>
        <v>1.0164</v>
      </c>
      <c r="V383">
        <f>SUMIFS(MLF_WA!$C:$C,MLF_WA!$E:$E,final!V$399,MLF_WA!$A:$A,VLOOKUP(final!$A383,ref!$D:$F,3,FALSE))</f>
        <v>1.0201</v>
      </c>
      <c r="W383">
        <f>SUMIFS(MLF_WA!$C:$C,MLF_WA!$E:$E,final!W$399,MLF_WA!$A:$A,VLOOKUP(final!$A383,ref!$D:$F,3,FALSE))</f>
        <v>1.0212000000000001</v>
      </c>
      <c r="X383">
        <f>SUMIFS(MLF_WA!$C:$C,MLF_WA!$E:$E,final!X$399,MLF_WA!$A:$A,VLOOKUP(final!$A383,ref!$D:$F,3,FALSE))</f>
        <v>1.0174000000000001</v>
      </c>
      <c r="Y383">
        <f>SUMIFS(MLF_WA!$C:$C,MLF_WA!$E:$E,final!Y$399,MLF_WA!$A:$A,VLOOKUP(final!$A383,ref!$D:$F,3,FALSE))</f>
        <v>1.0236000000000001</v>
      </c>
      <c r="Z383">
        <f>SUMIFS(MLF_WA!$C:$C,MLF_WA!$E:$E,final!Z$399,MLF_WA!$A:$A,VLOOKUP(final!$A383,ref!$D:$F,3,FALSE))</f>
        <v>1.0205</v>
      </c>
      <c r="AA383">
        <f>SUMIFS(MLF_WA!$C:$C,MLF_WA!$E:$E,final!AA$399,MLF_WA!$A:$A,VLOOKUP(final!$A383,ref!$D:$F,3,FALSE))</f>
        <v>1.0301</v>
      </c>
      <c r="AC383" t="str">
        <f>VLOOKUP($D383,wa_2!$A:$P,4,FALSE)</f>
        <v>-32.200446, 115.774561</v>
      </c>
      <c r="AD383">
        <f t="shared" si="1"/>
        <v>-32.200445999999999</v>
      </c>
      <c r="AE383" s="8">
        <f t="shared" si="2"/>
        <v>115.77456100000001</v>
      </c>
    </row>
    <row r="384" spans="1:31">
      <c r="A384" t="str">
        <f>VLOOKUP($D384,wa_2!$A:$P,2,FALSE)</f>
        <v>Pinjar Power Station</v>
      </c>
      <c r="B384" t="str">
        <f>VLOOKUP($D384,wa_2!$A:$Q,3,FALSE)</f>
        <v>PINJAR</v>
      </c>
      <c r="C384" t="str">
        <f>VLOOKUP($D384,wa_2!$A:$Q,17,FALSE)</f>
        <v>Synergy</v>
      </c>
      <c r="D384" t="s">
        <v>4490</v>
      </c>
      <c r="J384" t="str">
        <f t="shared" si="0"/>
        <v>{"lat": -31.558486,"lng": 115.820729}</v>
      </c>
      <c r="K384" t="s">
        <v>4588</v>
      </c>
      <c r="L384" t="str">
        <f>VLOOKUP($D384,wa_2!$A:$Q,7,FALSE)</f>
        <v>Dual (Gas / Distillate)</v>
      </c>
      <c r="M384" t="str">
        <f>VLOOKUP($D384,wa_2!$A:$Q,8,FALSE)</f>
        <v>Gas</v>
      </c>
      <c r="P384" t="str">
        <f>VLOOKUP(M384,ref!A:B,2,FALSE)</f>
        <v>Gas</v>
      </c>
      <c r="Q384">
        <f>VLOOKUP($D384,wa_2!$A:$Q,16,FALSE)</f>
        <v>38.5</v>
      </c>
      <c r="S384">
        <f>SUMIFS(MLF_WA!$C:$C,MLF_WA!$E:$E,final!S$399,MLF_WA!$A:$A,VLOOKUP(final!$A384,ref!$D:$F,3,FALSE))</f>
        <v>1.0293000000000001</v>
      </c>
      <c r="T384">
        <f>SUMIFS(MLF_WA!$C:$C,MLF_WA!$E:$E,final!T$399,MLF_WA!$A:$A,VLOOKUP(final!$A384,ref!$D:$F,3,FALSE))</f>
        <v>1.0305</v>
      </c>
      <c r="U384">
        <f>SUMIFS(MLF_WA!$C:$C,MLF_WA!$E:$E,final!U$399,MLF_WA!$A:$A,VLOOKUP(final!$A384,ref!$D:$F,3,FALSE))</f>
        <v>1.0295000000000001</v>
      </c>
      <c r="V384">
        <f>SUMIFS(MLF_WA!$C:$C,MLF_WA!$E:$E,final!V$399,MLF_WA!$A:$A,VLOOKUP(final!$A384,ref!$D:$F,3,FALSE))</f>
        <v>1.0311999999999999</v>
      </c>
      <c r="W384">
        <f>SUMIFS(MLF_WA!$C:$C,MLF_WA!$E:$E,final!W$399,MLF_WA!$A:$A,VLOOKUP(final!$A384,ref!$D:$F,3,FALSE))</f>
        <v>1.0396000000000001</v>
      </c>
      <c r="X384">
        <f>SUMIFS(MLF_WA!$C:$C,MLF_WA!$E:$E,final!X$399,MLF_WA!$A:$A,VLOOKUP(final!$A384,ref!$D:$F,3,FALSE))</f>
        <v>1.0298</v>
      </c>
      <c r="Y384">
        <f>SUMIFS(MLF_WA!$C:$C,MLF_WA!$E:$E,final!Y$399,MLF_WA!$A:$A,VLOOKUP(final!$A384,ref!$D:$F,3,FALSE))</f>
        <v>1.0322</v>
      </c>
      <c r="Z384">
        <f>SUMIFS(MLF_WA!$C:$C,MLF_WA!$E:$E,final!Z$399,MLF_WA!$A:$A,VLOOKUP(final!$A384,ref!$D:$F,3,FALSE))</f>
        <v>1.0322</v>
      </c>
      <c r="AA384">
        <f>SUMIFS(MLF_WA!$C:$C,MLF_WA!$E:$E,final!AA$399,MLF_WA!$A:$A,VLOOKUP(final!$A384,ref!$D:$F,3,FALSE))</f>
        <v>1.0322</v>
      </c>
      <c r="AC384" t="str">
        <f>VLOOKUP($D384,wa_2!$A:$P,4,FALSE)</f>
        <v>-31.558486, 115.820729</v>
      </c>
      <c r="AD384">
        <f t="shared" si="1"/>
        <v>-31.558485999999998</v>
      </c>
      <c r="AE384" s="8">
        <f t="shared" si="2"/>
        <v>115.820729</v>
      </c>
    </row>
    <row r="385" spans="1:31">
      <c r="A385" t="str">
        <f>VLOOKUP($D385,wa_2!$A:$P,2,FALSE)</f>
        <v>Pinjar Power Station</v>
      </c>
      <c r="B385" t="str">
        <f>VLOOKUP($D385,wa_2!$A:$Q,3,FALSE)</f>
        <v>PINJAR</v>
      </c>
      <c r="C385" t="str">
        <f>VLOOKUP($D385,wa_2!$A:$Q,17,FALSE)</f>
        <v>Synergy</v>
      </c>
      <c r="D385" t="s">
        <v>4492</v>
      </c>
      <c r="J385" t="str">
        <f t="shared" si="0"/>
        <v>{"lat": -31.558486,"lng": 115.820729}</v>
      </c>
      <c r="K385" t="s">
        <v>4588</v>
      </c>
      <c r="L385" t="str">
        <f>VLOOKUP($D385,wa_2!$A:$Q,7,FALSE)</f>
        <v>Gas</v>
      </c>
      <c r="M385" t="str">
        <f>VLOOKUP($D385,wa_2!$A:$Q,8,FALSE)</f>
        <v>Gas</v>
      </c>
      <c r="P385" t="str">
        <f>VLOOKUP(M385,ref!A:B,2,FALSE)</f>
        <v>Gas</v>
      </c>
      <c r="Q385">
        <f>VLOOKUP($D385,wa_2!$A:$Q,16,FALSE)</f>
        <v>118.2</v>
      </c>
      <c r="S385">
        <f>SUMIFS(MLF_WA!$C:$C,MLF_WA!$E:$E,final!S$399,MLF_WA!$A:$A,VLOOKUP(final!$A385,ref!$D:$F,3,FALSE))</f>
        <v>1.0293000000000001</v>
      </c>
      <c r="T385">
        <f>SUMIFS(MLF_WA!$C:$C,MLF_WA!$E:$E,final!T$399,MLF_WA!$A:$A,VLOOKUP(final!$A385,ref!$D:$F,3,FALSE))</f>
        <v>1.0305</v>
      </c>
      <c r="U385">
        <f>SUMIFS(MLF_WA!$C:$C,MLF_WA!$E:$E,final!U$399,MLF_WA!$A:$A,VLOOKUP(final!$A385,ref!$D:$F,3,FALSE))</f>
        <v>1.0295000000000001</v>
      </c>
      <c r="V385">
        <f>SUMIFS(MLF_WA!$C:$C,MLF_WA!$E:$E,final!V$399,MLF_WA!$A:$A,VLOOKUP(final!$A385,ref!$D:$F,3,FALSE))</f>
        <v>1.0311999999999999</v>
      </c>
      <c r="W385">
        <f>SUMIFS(MLF_WA!$C:$C,MLF_WA!$E:$E,final!W$399,MLF_WA!$A:$A,VLOOKUP(final!$A385,ref!$D:$F,3,FALSE))</f>
        <v>1.0396000000000001</v>
      </c>
      <c r="X385">
        <f>SUMIFS(MLF_WA!$C:$C,MLF_WA!$E:$E,final!X$399,MLF_WA!$A:$A,VLOOKUP(final!$A385,ref!$D:$F,3,FALSE))</f>
        <v>1.0298</v>
      </c>
      <c r="Y385">
        <f>SUMIFS(MLF_WA!$C:$C,MLF_WA!$E:$E,final!Y$399,MLF_WA!$A:$A,VLOOKUP(final!$A385,ref!$D:$F,3,FALSE))</f>
        <v>1.0322</v>
      </c>
      <c r="Z385">
        <f>SUMIFS(MLF_WA!$C:$C,MLF_WA!$E:$E,final!Z$399,MLF_WA!$A:$A,VLOOKUP(final!$A385,ref!$D:$F,3,FALSE))</f>
        <v>1.0322</v>
      </c>
      <c r="AA385">
        <f>SUMIFS(MLF_WA!$C:$C,MLF_WA!$E:$E,final!AA$399,MLF_WA!$A:$A,VLOOKUP(final!$A385,ref!$D:$F,3,FALSE))</f>
        <v>1.0322</v>
      </c>
      <c r="AC385" t="str">
        <f>VLOOKUP($D385,wa_2!$A:$P,4,FALSE)</f>
        <v>-31.558486, 115.820729</v>
      </c>
      <c r="AD385">
        <f t="shared" si="1"/>
        <v>-31.558485999999998</v>
      </c>
      <c r="AE385" s="8">
        <f t="shared" si="2"/>
        <v>115.820729</v>
      </c>
    </row>
    <row r="386" spans="1:31">
      <c r="A386" t="str">
        <f>VLOOKUP($D386,wa_2!$A:$P,2,FALSE)</f>
        <v>Pinjar Power Station</v>
      </c>
      <c r="B386" t="str">
        <f>VLOOKUP($D386,wa_2!$A:$Q,3,FALSE)</f>
        <v>PINJAR</v>
      </c>
      <c r="C386" t="str">
        <f>VLOOKUP($D386,wa_2!$A:$Q,17,FALSE)</f>
        <v>Synergy</v>
      </c>
      <c r="D386" t="s">
        <v>4494</v>
      </c>
      <c r="J386" t="str">
        <f t="shared" si="0"/>
        <v>{"lat": -31.558486,"lng": 115.820729}</v>
      </c>
      <c r="K386" t="s">
        <v>4588</v>
      </c>
      <c r="L386" t="str">
        <f>VLOOKUP($D386,wa_2!$A:$Q,7,FALSE)</f>
        <v>Gas</v>
      </c>
      <c r="M386" t="str">
        <f>VLOOKUP($D386,wa_2!$A:$Q,8,FALSE)</f>
        <v>Gas</v>
      </c>
      <c r="P386" t="str">
        <f>VLOOKUP(M386,ref!A:B,2,FALSE)</f>
        <v>Gas</v>
      </c>
      <c r="Q386">
        <f>VLOOKUP($D386,wa_2!$A:$Q,16,FALSE)</f>
        <v>130</v>
      </c>
      <c r="S386">
        <f>SUMIFS(MLF_WA!$C:$C,MLF_WA!$E:$E,final!S$399,MLF_WA!$A:$A,VLOOKUP(final!$A386,ref!$D:$F,3,FALSE))</f>
        <v>1.0293000000000001</v>
      </c>
      <c r="T386">
        <f>SUMIFS(MLF_WA!$C:$C,MLF_WA!$E:$E,final!T$399,MLF_WA!$A:$A,VLOOKUP(final!$A386,ref!$D:$F,3,FALSE))</f>
        <v>1.0305</v>
      </c>
      <c r="U386">
        <f>SUMIFS(MLF_WA!$C:$C,MLF_WA!$E:$E,final!U$399,MLF_WA!$A:$A,VLOOKUP(final!$A386,ref!$D:$F,3,FALSE))</f>
        <v>1.0295000000000001</v>
      </c>
      <c r="V386">
        <f>SUMIFS(MLF_WA!$C:$C,MLF_WA!$E:$E,final!V$399,MLF_WA!$A:$A,VLOOKUP(final!$A386,ref!$D:$F,3,FALSE))</f>
        <v>1.0311999999999999</v>
      </c>
      <c r="W386">
        <f>SUMIFS(MLF_WA!$C:$C,MLF_WA!$E:$E,final!W$399,MLF_WA!$A:$A,VLOOKUP(final!$A386,ref!$D:$F,3,FALSE))</f>
        <v>1.0396000000000001</v>
      </c>
      <c r="X386">
        <f>SUMIFS(MLF_WA!$C:$C,MLF_WA!$E:$E,final!X$399,MLF_WA!$A:$A,VLOOKUP(final!$A386,ref!$D:$F,3,FALSE))</f>
        <v>1.0298</v>
      </c>
      <c r="Y386">
        <f>SUMIFS(MLF_WA!$C:$C,MLF_WA!$E:$E,final!Y$399,MLF_WA!$A:$A,VLOOKUP(final!$A386,ref!$D:$F,3,FALSE))</f>
        <v>1.0322</v>
      </c>
      <c r="Z386">
        <f>SUMIFS(MLF_WA!$C:$C,MLF_WA!$E:$E,final!Z$399,MLF_WA!$A:$A,VLOOKUP(final!$A386,ref!$D:$F,3,FALSE))</f>
        <v>1.0322</v>
      </c>
      <c r="AA386">
        <f>SUMIFS(MLF_WA!$C:$C,MLF_WA!$E:$E,final!AA$399,MLF_WA!$A:$A,VLOOKUP(final!$A386,ref!$D:$F,3,FALSE))</f>
        <v>1.0322</v>
      </c>
      <c r="AC386" t="str">
        <f>VLOOKUP($D386,wa_2!$A:$P,4,FALSE)</f>
        <v>-31.558486, 115.820729</v>
      </c>
      <c r="AD386">
        <f t="shared" si="1"/>
        <v>-31.558485999999998</v>
      </c>
      <c r="AE386" s="8">
        <f t="shared" si="2"/>
        <v>115.820729</v>
      </c>
    </row>
    <row r="387" spans="1:31">
      <c r="A387" t="str">
        <f>VLOOKUP($D387,wa_2!$A:$P,2,FALSE)</f>
        <v>Pinjar Power Station</v>
      </c>
      <c r="B387" t="str">
        <f>VLOOKUP($D387,wa_2!$A:$Q,3,FALSE)</f>
        <v>PINJAR</v>
      </c>
      <c r="C387" t="str">
        <f>VLOOKUP($D387,wa_2!$A:$Q,17,FALSE)</f>
        <v>Synergy</v>
      </c>
      <c r="D387" t="s">
        <v>4496</v>
      </c>
      <c r="J387" t="str">
        <f t="shared" si="0"/>
        <v>{"lat": -31.558486,"lng": 115.820729}</v>
      </c>
      <c r="K387" t="s">
        <v>4588</v>
      </c>
      <c r="L387" t="str">
        <f>VLOOKUP($D387,wa_2!$A:$Q,7,FALSE)</f>
        <v>Dual (Gas / Distillate)</v>
      </c>
      <c r="M387" t="str">
        <f>VLOOKUP($D387,wa_2!$A:$Q,8,FALSE)</f>
        <v>Gas</v>
      </c>
      <c r="P387" t="str">
        <f>VLOOKUP(M387,ref!A:B,2,FALSE)</f>
        <v>Gas</v>
      </c>
      <c r="Q387">
        <f>VLOOKUP($D387,wa_2!$A:$Q,16,FALSE)</f>
        <v>38.5</v>
      </c>
      <c r="S387">
        <f>SUMIFS(MLF_WA!$C:$C,MLF_WA!$E:$E,final!S$399,MLF_WA!$A:$A,VLOOKUP(final!$A387,ref!$D:$F,3,FALSE))</f>
        <v>1.0293000000000001</v>
      </c>
      <c r="T387">
        <f>SUMIFS(MLF_WA!$C:$C,MLF_WA!$E:$E,final!T$399,MLF_WA!$A:$A,VLOOKUP(final!$A387,ref!$D:$F,3,FALSE))</f>
        <v>1.0305</v>
      </c>
      <c r="U387">
        <f>SUMIFS(MLF_WA!$C:$C,MLF_WA!$E:$E,final!U$399,MLF_WA!$A:$A,VLOOKUP(final!$A387,ref!$D:$F,3,FALSE))</f>
        <v>1.0295000000000001</v>
      </c>
      <c r="V387">
        <f>SUMIFS(MLF_WA!$C:$C,MLF_WA!$E:$E,final!V$399,MLF_WA!$A:$A,VLOOKUP(final!$A387,ref!$D:$F,3,FALSE))</f>
        <v>1.0311999999999999</v>
      </c>
      <c r="W387">
        <f>SUMIFS(MLF_WA!$C:$C,MLF_WA!$E:$E,final!W$399,MLF_WA!$A:$A,VLOOKUP(final!$A387,ref!$D:$F,3,FALSE))</f>
        <v>1.0396000000000001</v>
      </c>
      <c r="X387">
        <f>SUMIFS(MLF_WA!$C:$C,MLF_WA!$E:$E,final!X$399,MLF_WA!$A:$A,VLOOKUP(final!$A387,ref!$D:$F,3,FALSE))</f>
        <v>1.0298</v>
      </c>
      <c r="Y387">
        <f>SUMIFS(MLF_WA!$C:$C,MLF_WA!$E:$E,final!Y$399,MLF_WA!$A:$A,VLOOKUP(final!$A387,ref!$D:$F,3,FALSE))</f>
        <v>1.0322</v>
      </c>
      <c r="Z387">
        <f>SUMIFS(MLF_WA!$C:$C,MLF_WA!$E:$E,final!Z$399,MLF_WA!$A:$A,VLOOKUP(final!$A387,ref!$D:$F,3,FALSE))</f>
        <v>1.0322</v>
      </c>
      <c r="AA387">
        <f>SUMIFS(MLF_WA!$C:$C,MLF_WA!$E:$E,final!AA$399,MLF_WA!$A:$A,VLOOKUP(final!$A387,ref!$D:$F,3,FALSE))</f>
        <v>1.0322</v>
      </c>
      <c r="AC387" t="str">
        <f>VLOOKUP($D387,wa_2!$A:$P,4,FALSE)</f>
        <v>-31.558486, 115.820729</v>
      </c>
      <c r="AD387">
        <f t="shared" si="1"/>
        <v>-31.558485999999998</v>
      </c>
      <c r="AE387" s="8">
        <f t="shared" si="2"/>
        <v>115.820729</v>
      </c>
    </row>
    <row r="388" spans="1:31">
      <c r="A388" t="str">
        <f>VLOOKUP($D388,wa_2!$A:$P,2,FALSE)</f>
        <v>Pinjar Power Station</v>
      </c>
      <c r="B388" t="str">
        <f>VLOOKUP($D388,wa_2!$A:$Q,3,FALSE)</f>
        <v>PINJAR</v>
      </c>
      <c r="C388" t="str">
        <f>VLOOKUP($D388,wa_2!$A:$Q,17,FALSE)</f>
        <v>Synergy</v>
      </c>
      <c r="D388" t="s">
        <v>4498</v>
      </c>
      <c r="J388" t="str">
        <f t="shared" si="0"/>
        <v>{"lat": -31.558486,"lng": 115.820729}</v>
      </c>
      <c r="K388" t="s">
        <v>4588</v>
      </c>
      <c r="L388" t="str">
        <f>VLOOKUP($D388,wa_2!$A:$Q,7,FALSE)</f>
        <v>Dual (Gas / Distillate)</v>
      </c>
      <c r="M388" t="str">
        <f>VLOOKUP($D388,wa_2!$A:$Q,8,FALSE)</f>
        <v>Gas</v>
      </c>
      <c r="P388" t="str">
        <f>VLOOKUP(M388,ref!A:B,2,FALSE)</f>
        <v>Gas</v>
      </c>
      <c r="Q388">
        <f>VLOOKUP($D388,wa_2!$A:$Q,16,FALSE)</f>
        <v>39.299999999999997</v>
      </c>
      <c r="S388">
        <f>SUMIFS(MLF_WA!$C:$C,MLF_WA!$E:$E,final!S$399,MLF_WA!$A:$A,VLOOKUP(final!$A388,ref!$D:$F,3,FALSE))</f>
        <v>1.0293000000000001</v>
      </c>
      <c r="T388">
        <f>SUMIFS(MLF_WA!$C:$C,MLF_WA!$E:$E,final!T$399,MLF_WA!$A:$A,VLOOKUP(final!$A388,ref!$D:$F,3,FALSE))</f>
        <v>1.0305</v>
      </c>
      <c r="U388">
        <f>SUMIFS(MLF_WA!$C:$C,MLF_WA!$E:$E,final!U$399,MLF_WA!$A:$A,VLOOKUP(final!$A388,ref!$D:$F,3,FALSE))</f>
        <v>1.0295000000000001</v>
      </c>
      <c r="V388">
        <f>SUMIFS(MLF_WA!$C:$C,MLF_WA!$E:$E,final!V$399,MLF_WA!$A:$A,VLOOKUP(final!$A388,ref!$D:$F,3,FALSE))</f>
        <v>1.0311999999999999</v>
      </c>
      <c r="W388">
        <f>SUMIFS(MLF_WA!$C:$C,MLF_WA!$E:$E,final!W$399,MLF_WA!$A:$A,VLOOKUP(final!$A388,ref!$D:$F,3,FALSE))</f>
        <v>1.0396000000000001</v>
      </c>
      <c r="X388">
        <f>SUMIFS(MLF_WA!$C:$C,MLF_WA!$E:$E,final!X$399,MLF_WA!$A:$A,VLOOKUP(final!$A388,ref!$D:$F,3,FALSE))</f>
        <v>1.0298</v>
      </c>
      <c r="Y388">
        <f>SUMIFS(MLF_WA!$C:$C,MLF_WA!$E:$E,final!Y$399,MLF_WA!$A:$A,VLOOKUP(final!$A388,ref!$D:$F,3,FALSE))</f>
        <v>1.0322</v>
      </c>
      <c r="Z388">
        <f>SUMIFS(MLF_WA!$C:$C,MLF_WA!$E:$E,final!Z$399,MLF_WA!$A:$A,VLOOKUP(final!$A388,ref!$D:$F,3,FALSE))</f>
        <v>1.0322</v>
      </c>
      <c r="AA388">
        <f>SUMIFS(MLF_WA!$C:$C,MLF_WA!$E:$E,final!AA$399,MLF_WA!$A:$A,VLOOKUP(final!$A388,ref!$D:$F,3,FALSE))</f>
        <v>1.0322</v>
      </c>
      <c r="AC388" t="str">
        <f>VLOOKUP($D388,wa_2!$A:$P,4,FALSE)</f>
        <v>-31.558486, 115.820729</v>
      </c>
      <c r="AD388">
        <f t="shared" si="1"/>
        <v>-31.558485999999998</v>
      </c>
      <c r="AE388" s="8">
        <f t="shared" si="2"/>
        <v>115.820729</v>
      </c>
    </row>
    <row r="389" spans="1:31">
      <c r="A389" t="str">
        <f>VLOOKUP($D389,wa_2!$A:$P,2,FALSE)</f>
        <v>Pinjar Power Station</v>
      </c>
      <c r="B389" t="str">
        <f>VLOOKUP($D389,wa_2!$A:$Q,3,FALSE)</f>
        <v>PINJAR</v>
      </c>
      <c r="C389" t="str">
        <f>VLOOKUP($D389,wa_2!$A:$Q,17,FALSE)</f>
        <v>Synergy</v>
      </c>
      <c r="D389" t="s">
        <v>4500</v>
      </c>
      <c r="J389" t="str">
        <f t="shared" si="0"/>
        <v>{"lat": -31.558486,"lng": 115.820729}</v>
      </c>
      <c r="K389" t="s">
        <v>4588</v>
      </c>
      <c r="L389" t="str">
        <f>VLOOKUP($D389,wa_2!$A:$Q,7,FALSE)</f>
        <v>Dual (Gas / Distillate)</v>
      </c>
      <c r="M389" t="str">
        <f>VLOOKUP($D389,wa_2!$A:$Q,8,FALSE)</f>
        <v>Gas</v>
      </c>
      <c r="P389" t="str">
        <f>VLOOKUP(M389,ref!A:B,2,FALSE)</f>
        <v>Gas</v>
      </c>
      <c r="Q389">
        <f>VLOOKUP($D389,wa_2!$A:$Q,16,FALSE)</f>
        <v>39.299999999999997</v>
      </c>
      <c r="S389">
        <f>SUMIFS(MLF_WA!$C:$C,MLF_WA!$E:$E,final!S$399,MLF_WA!$A:$A,VLOOKUP(final!$A389,ref!$D:$F,3,FALSE))</f>
        <v>1.0293000000000001</v>
      </c>
      <c r="T389">
        <f>SUMIFS(MLF_WA!$C:$C,MLF_WA!$E:$E,final!T$399,MLF_WA!$A:$A,VLOOKUP(final!$A389,ref!$D:$F,3,FALSE))</f>
        <v>1.0305</v>
      </c>
      <c r="U389">
        <f>SUMIFS(MLF_WA!$C:$C,MLF_WA!$E:$E,final!U$399,MLF_WA!$A:$A,VLOOKUP(final!$A389,ref!$D:$F,3,FALSE))</f>
        <v>1.0295000000000001</v>
      </c>
      <c r="V389">
        <f>SUMIFS(MLF_WA!$C:$C,MLF_WA!$E:$E,final!V$399,MLF_WA!$A:$A,VLOOKUP(final!$A389,ref!$D:$F,3,FALSE))</f>
        <v>1.0311999999999999</v>
      </c>
      <c r="W389">
        <f>SUMIFS(MLF_WA!$C:$C,MLF_WA!$E:$E,final!W$399,MLF_WA!$A:$A,VLOOKUP(final!$A389,ref!$D:$F,3,FALSE))</f>
        <v>1.0396000000000001</v>
      </c>
      <c r="X389">
        <f>SUMIFS(MLF_WA!$C:$C,MLF_WA!$E:$E,final!X$399,MLF_WA!$A:$A,VLOOKUP(final!$A389,ref!$D:$F,3,FALSE))</f>
        <v>1.0298</v>
      </c>
      <c r="Y389">
        <f>SUMIFS(MLF_WA!$C:$C,MLF_WA!$E:$E,final!Y$399,MLF_WA!$A:$A,VLOOKUP(final!$A389,ref!$D:$F,3,FALSE))</f>
        <v>1.0322</v>
      </c>
      <c r="Z389">
        <f>SUMIFS(MLF_WA!$C:$C,MLF_WA!$E:$E,final!Z$399,MLF_WA!$A:$A,VLOOKUP(final!$A389,ref!$D:$F,3,FALSE))</f>
        <v>1.0322</v>
      </c>
      <c r="AA389">
        <f>SUMIFS(MLF_WA!$C:$C,MLF_WA!$E:$E,final!AA$399,MLF_WA!$A:$A,VLOOKUP(final!$A389,ref!$D:$F,3,FALSE))</f>
        <v>1.0322</v>
      </c>
      <c r="AC389" t="str">
        <f>VLOOKUP($D389,wa_2!$A:$P,4,FALSE)</f>
        <v>-31.558486, 115.820729</v>
      </c>
      <c r="AD389">
        <f t="shared" si="1"/>
        <v>-31.558485999999998</v>
      </c>
      <c r="AE389" s="8">
        <f t="shared" si="2"/>
        <v>115.820729</v>
      </c>
    </row>
    <row r="390" spans="1:31">
      <c r="A390" t="str">
        <f>VLOOKUP($D390,wa_2!$A:$P,2,FALSE)</f>
        <v>Pinjar Power Station</v>
      </c>
      <c r="B390" t="str">
        <f>VLOOKUP($D390,wa_2!$A:$Q,3,FALSE)</f>
        <v>PINJAR</v>
      </c>
      <c r="C390" t="str">
        <f>VLOOKUP($D390,wa_2!$A:$Q,17,FALSE)</f>
        <v>Synergy</v>
      </c>
      <c r="D390" t="s">
        <v>4502</v>
      </c>
      <c r="J390" t="str">
        <f t="shared" si="0"/>
        <v>{"lat": -31.558486,"lng": 115.820729}</v>
      </c>
      <c r="K390" t="s">
        <v>4588</v>
      </c>
      <c r="L390" t="str">
        <f>VLOOKUP($D390,wa_2!$A:$Q,7,FALSE)</f>
        <v>Dual (Gas / Distillate)</v>
      </c>
      <c r="M390" t="str">
        <f>VLOOKUP($D390,wa_2!$A:$Q,8,FALSE)</f>
        <v>Gas</v>
      </c>
      <c r="P390" t="str">
        <f>VLOOKUP(M390,ref!A:B,2,FALSE)</f>
        <v>Gas</v>
      </c>
      <c r="Q390">
        <f>VLOOKUP($D390,wa_2!$A:$Q,16,FALSE)</f>
        <v>39.299999999999997</v>
      </c>
      <c r="S390">
        <f>SUMIFS(MLF_WA!$C:$C,MLF_WA!$E:$E,final!S$399,MLF_WA!$A:$A,VLOOKUP(final!$A390,ref!$D:$F,3,FALSE))</f>
        <v>1.0293000000000001</v>
      </c>
      <c r="T390">
        <f>SUMIFS(MLF_WA!$C:$C,MLF_WA!$E:$E,final!T$399,MLF_WA!$A:$A,VLOOKUP(final!$A390,ref!$D:$F,3,FALSE))</f>
        <v>1.0305</v>
      </c>
      <c r="U390">
        <f>SUMIFS(MLF_WA!$C:$C,MLF_WA!$E:$E,final!U$399,MLF_WA!$A:$A,VLOOKUP(final!$A390,ref!$D:$F,3,FALSE))</f>
        <v>1.0295000000000001</v>
      </c>
      <c r="V390">
        <f>SUMIFS(MLF_WA!$C:$C,MLF_WA!$E:$E,final!V$399,MLF_WA!$A:$A,VLOOKUP(final!$A390,ref!$D:$F,3,FALSE))</f>
        <v>1.0311999999999999</v>
      </c>
      <c r="W390">
        <f>SUMIFS(MLF_WA!$C:$C,MLF_WA!$E:$E,final!W$399,MLF_WA!$A:$A,VLOOKUP(final!$A390,ref!$D:$F,3,FALSE))</f>
        <v>1.0396000000000001</v>
      </c>
      <c r="X390">
        <f>SUMIFS(MLF_WA!$C:$C,MLF_WA!$E:$E,final!X$399,MLF_WA!$A:$A,VLOOKUP(final!$A390,ref!$D:$F,3,FALSE))</f>
        <v>1.0298</v>
      </c>
      <c r="Y390">
        <f>SUMIFS(MLF_WA!$C:$C,MLF_WA!$E:$E,final!Y$399,MLF_WA!$A:$A,VLOOKUP(final!$A390,ref!$D:$F,3,FALSE))</f>
        <v>1.0322</v>
      </c>
      <c r="Z390">
        <f>SUMIFS(MLF_WA!$C:$C,MLF_WA!$E:$E,final!Z$399,MLF_WA!$A:$A,VLOOKUP(final!$A390,ref!$D:$F,3,FALSE))</f>
        <v>1.0322</v>
      </c>
      <c r="AA390">
        <f>SUMIFS(MLF_WA!$C:$C,MLF_WA!$E:$E,final!AA$399,MLF_WA!$A:$A,VLOOKUP(final!$A390,ref!$D:$F,3,FALSE))</f>
        <v>1.0322</v>
      </c>
      <c r="AC390" t="str">
        <f>VLOOKUP($D390,wa_2!$A:$P,4,FALSE)</f>
        <v>-31.558486, 115.820729</v>
      </c>
      <c r="AD390">
        <f t="shared" si="1"/>
        <v>-31.558485999999998</v>
      </c>
      <c r="AE390" s="8">
        <f t="shared" si="2"/>
        <v>115.820729</v>
      </c>
    </row>
    <row r="391" spans="1:31">
      <c r="A391" t="str">
        <f>VLOOKUP($D391,wa_2!$A:$P,2,FALSE)</f>
        <v>Pinjar Power Station</v>
      </c>
      <c r="B391" t="str">
        <f>VLOOKUP($D391,wa_2!$A:$Q,3,FALSE)</f>
        <v>PINJAR</v>
      </c>
      <c r="C391" t="str">
        <f>VLOOKUP($D391,wa_2!$A:$Q,17,FALSE)</f>
        <v>Synergy</v>
      </c>
      <c r="D391" t="s">
        <v>4504</v>
      </c>
      <c r="J391" t="str">
        <f t="shared" si="0"/>
        <v>{"lat": -31.558486,"lng": 115.820729}</v>
      </c>
      <c r="K391" t="s">
        <v>4588</v>
      </c>
      <c r="L391" t="str">
        <f>VLOOKUP($D391,wa_2!$A:$Q,7,FALSE)</f>
        <v>Dual (Gas / Distillate)</v>
      </c>
      <c r="M391" t="str">
        <f>VLOOKUP($D391,wa_2!$A:$Q,8,FALSE)</f>
        <v>Gas</v>
      </c>
      <c r="P391" t="str">
        <f>VLOOKUP(M391,ref!A:B,2,FALSE)</f>
        <v>Gas</v>
      </c>
      <c r="Q391">
        <f>VLOOKUP($D391,wa_2!$A:$Q,16,FALSE)</f>
        <v>39.299999999999997</v>
      </c>
      <c r="S391">
        <f>SUMIFS(MLF_WA!$C:$C,MLF_WA!$E:$E,final!S$399,MLF_WA!$A:$A,VLOOKUP(final!$A391,ref!$D:$F,3,FALSE))</f>
        <v>1.0293000000000001</v>
      </c>
      <c r="T391">
        <f>SUMIFS(MLF_WA!$C:$C,MLF_WA!$E:$E,final!T$399,MLF_WA!$A:$A,VLOOKUP(final!$A391,ref!$D:$F,3,FALSE))</f>
        <v>1.0305</v>
      </c>
      <c r="U391">
        <f>SUMIFS(MLF_WA!$C:$C,MLF_WA!$E:$E,final!U$399,MLF_WA!$A:$A,VLOOKUP(final!$A391,ref!$D:$F,3,FALSE))</f>
        <v>1.0295000000000001</v>
      </c>
      <c r="V391">
        <f>SUMIFS(MLF_WA!$C:$C,MLF_WA!$E:$E,final!V$399,MLF_WA!$A:$A,VLOOKUP(final!$A391,ref!$D:$F,3,FALSE))</f>
        <v>1.0311999999999999</v>
      </c>
      <c r="W391">
        <f>SUMIFS(MLF_WA!$C:$C,MLF_WA!$E:$E,final!W$399,MLF_WA!$A:$A,VLOOKUP(final!$A391,ref!$D:$F,3,FALSE))</f>
        <v>1.0396000000000001</v>
      </c>
      <c r="X391">
        <f>SUMIFS(MLF_WA!$C:$C,MLF_WA!$E:$E,final!X$399,MLF_WA!$A:$A,VLOOKUP(final!$A391,ref!$D:$F,3,FALSE))</f>
        <v>1.0298</v>
      </c>
      <c r="Y391">
        <f>SUMIFS(MLF_WA!$C:$C,MLF_WA!$E:$E,final!Y$399,MLF_WA!$A:$A,VLOOKUP(final!$A391,ref!$D:$F,3,FALSE))</f>
        <v>1.0322</v>
      </c>
      <c r="Z391">
        <f>SUMIFS(MLF_WA!$C:$C,MLF_WA!$E:$E,final!Z$399,MLF_WA!$A:$A,VLOOKUP(final!$A391,ref!$D:$F,3,FALSE))</f>
        <v>1.0322</v>
      </c>
      <c r="AA391">
        <f>SUMIFS(MLF_WA!$C:$C,MLF_WA!$E:$E,final!AA$399,MLF_WA!$A:$A,VLOOKUP(final!$A391,ref!$D:$F,3,FALSE))</f>
        <v>1.0322</v>
      </c>
      <c r="AC391" t="str">
        <f>VLOOKUP($D391,wa_2!$A:$P,4,FALSE)</f>
        <v>-31.558486, 115.820729</v>
      </c>
      <c r="AD391">
        <f t="shared" si="1"/>
        <v>-31.558485999999998</v>
      </c>
      <c r="AE391" s="8">
        <f t="shared" si="2"/>
        <v>115.820729</v>
      </c>
    </row>
    <row r="392" spans="1:31">
      <c r="A392" t="str">
        <f>VLOOKUP($D392,wa_2!$A:$P,2,FALSE)</f>
        <v>Pinjar Power Station</v>
      </c>
      <c r="B392" t="str">
        <f>VLOOKUP($D392,wa_2!$A:$Q,3,FALSE)</f>
        <v>PINJAR</v>
      </c>
      <c r="C392" t="str">
        <f>VLOOKUP($D392,wa_2!$A:$Q,17,FALSE)</f>
        <v>Synergy</v>
      </c>
      <c r="D392" t="s">
        <v>4506</v>
      </c>
      <c r="J392" t="str">
        <f t="shared" si="0"/>
        <v>{"lat": -31.558486,"lng": 115.820729}</v>
      </c>
      <c r="K392" t="s">
        <v>4588</v>
      </c>
      <c r="L392" t="str">
        <f>VLOOKUP($D392,wa_2!$A:$Q,7,FALSE)</f>
        <v>Gas</v>
      </c>
      <c r="M392" t="str">
        <f>VLOOKUP($D392,wa_2!$A:$Q,8,FALSE)</f>
        <v>Gas</v>
      </c>
      <c r="P392" t="str">
        <f>VLOOKUP(M392,ref!A:B,2,FALSE)</f>
        <v>Gas</v>
      </c>
      <c r="Q392">
        <f>VLOOKUP($D392,wa_2!$A:$Q,16,FALSE)</f>
        <v>118.2</v>
      </c>
      <c r="S392">
        <f>SUMIFS(MLF_WA!$C:$C,MLF_WA!$E:$E,final!S$399,MLF_WA!$A:$A,VLOOKUP(final!$A392,ref!$D:$F,3,FALSE))</f>
        <v>1.0293000000000001</v>
      </c>
      <c r="T392">
        <f>SUMIFS(MLF_WA!$C:$C,MLF_WA!$E:$E,final!T$399,MLF_WA!$A:$A,VLOOKUP(final!$A392,ref!$D:$F,3,FALSE))</f>
        <v>1.0305</v>
      </c>
      <c r="U392">
        <f>SUMIFS(MLF_WA!$C:$C,MLF_WA!$E:$E,final!U$399,MLF_WA!$A:$A,VLOOKUP(final!$A392,ref!$D:$F,3,FALSE))</f>
        <v>1.0295000000000001</v>
      </c>
      <c r="V392">
        <f>SUMIFS(MLF_WA!$C:$C,MLF_WA!$E:$E,final!V$399,MLF_WA!$A:$A,VLOOKUP(final!$A392,ref!$D:$F,3,FALSE))</f>
        <v>1.0311999999999999</v>
      </c>
      <c r="W392">
        <f>SUMIFS(MLF_WA!$C:$C,MLF_WA!$E:$E,final!W$399,MLF_WA!$A:$A,VLOOKUP(final!$A392,ref!$D:$F,3,FALSE))</f>
        <v>1.0396000000000001</v>
      </c>
      <c r="X392">
        <f>SUMIFS(MLF_WA!$C:$C,MLF_WA!$E:$E,final!X$399,MLF_WA!$A:$A,VLOOKUP(final!$A392,ref!$D:$F,3,FALSE))</f>
        <v>1.0298</v>
      </c>
      <c r="Y392">
        <f>SUMIFS(MLF_WA!$C:$C,MLF_WA!$E:$E,final!Y$399,MLF_WA!$A:$A,VLOOKUP(final!$A392,ref!$D:$F,3,FALSE))</f>
        <v>1.0322</v>
      </c>
      <c r="Z392">
        <f>SUMIFS(MLF_WA!$C:$C,MLF_WA!$E:$E,final!Z$399,MLF_WA!$A:$A,VLOOKUP(final!$A392,ref!$D:$F,3,FALSE))</f>
        <v>1.0322</v>
      </c>
      <c r="AA392">
        <f>SUMIFS(MLF_WA!$C:$C,MLF_WA!$E:$E,final!AA$399,MLF_WA!$A:$A,VLOOKUP(final!$A392,ref!$D:$F,3,FALSE))</f>
        <v>1.0322</v>
      </c>
      <c r="AC392" t="str">
        <f>VLOOKUP($D392,wa_2!$A:$P,4,FALSE)</f>
        <v>-31.558486, 115.820729</v>
      </c>
      <c r="AD392">
        <f t="shared" si="1"/>
        <v>-31.558485999999998</v>
      </c>
      <c r="AE392" s="8">
        <f t="shared" si="2"/>
        <v>115.820729</v>
      </c>
    </row>
    <row r="393" spans="1:31">
      <c r="A393" t="str">
        <f>VLOOKUP($D393,wa_2!$A:$P,2,FALSE)</f>
        <v>Kwinana Power Station</v>
      </c>
      <c r="B393" t="str">
        <f>VLOOKUP($D393,wa_2!$A:$Q,3,FALSE)</f>
        <v>KWINANA</v>
      </c>
      <c r="C393" t="str">
        <f>VLOOKUP($D393,wa_2!$A:$Q,17,FALSE)</f>
        <v>Synergy</v>
      </c>
      <c r="D393" t="s">
        <v>4508</v>
      </c>
      <c r="J393" t="str">
        <f t="shared" si="0"/>
        <v>{"lat": -32.200446,"lng": 115.774561}</v>
      </c>
      <c r="K393" t="s">
        <v>4588</v>
      </c>
      <c r="L393" t="str">
        <f>VLOOKUP($D393,wa_2!$A:$Q,7,FALSE)</f>
        <v>Gas</v>
      </c>
      <c r="M393" t="str">
        <f>VLOOKUP($D393,wa_2!$A:$Q,8,FALSE)</f>
        <v>Gas</v>
      </c>
      <c r="P393" t="str">
        <f>VLOOKUP(M393,ref!A:B,2,FALSE)</f>
        <v>Gas</v>
      </c>
      <c r="Q393">
        <f>VLOOKUP($D393,wa_2!$A:$Q,16,FALSE)</f>
        <v>85.7</v>
      </c>
      <c r="S393">
        <f>SUMIFS(MLF_WA!$C:$C,MLF_WA!$E:$E,final!S$399,MLF_WA!$A:$A,VLOOKUP(final!$A393,ref!$D:$F,3,FALSE))</f>
        <v>1.0143</v>
      </c>
      <c r="T393">
        <f>SUMIFS(MLF_WA!$C:$C,MLF_WA!$E:$E,final!T$399,MLF_WA!$A:$A,VLOOKUP(final!$A393,ref!$D:$F,3,FALSE))</f>
        <v>1.0141</v>
      </c>
      <c r="U393">
        <f>SUMIFS(MLF_WA!$C:$C,MLF_WA!$E:$E,final!U$399,MLF_WA!$A:$A,VLOOKUP(final!$A393,ref!$D:$F,3,FALSE))</f>
        <v>1.0164</v>
      </c>
      <c r="V393">
        <f>SUMIFS(MLF_WA!$C:$C,MLF_WA!$E:$E,final!V$399,MLF_WA!$A:$A,VLOOKUP(final!$A393,ref!$D:$F,3,FALSE))</f>
        <v>1.0201</v>
      </c>
      <c r="W393">
        <f>SUMIFS(MLF_WA!$C:$C,MLF_WA!$E:$E,final!W$399,MLF_WA!$A:$A,VLOOKUP(final!$A393,ref!$D:$F,3,FALSE))</f>
        <v>1.0212000000000001</v>
      </c>
      <c r="X393">
        <f>SUMIFS(MLF_WA!$C:$C,MLF_WA!$E:$E,final!X$399,MLF_WA!$A:$A,VLOOKUP(final!$A393,ref!$D:$F,3,FALSE))</f>
        <v>1.0174000000000001</v>
      </c>
      <c r="Y393">
        <f>SUMIFS(MLF_WA!$C:$C,MLF_WA!$E:$E,final!Y$399,MLF_WA!$A:$A,VLOOKUP(final!$A393,ref!$D:$F,3,FALSE))</f>
        <v>1.0236000000000001</v>
      </c>
      <c r="Z393">
        <f>SUMIFS(MLF_WA!$C:$C,MLF_WA!$E:$E,final!Z$399,MLF_WA!$A:$A,VLOOKUP(final!$A393,ref!$D:$F,3,FALSE))</f>
        <v>1.0205</v>
      </c>
      <c r="AA393">
        <f>SUMIFS(MLF_WA!$C:$C,MLF_WA!$E:$E,final!AA$399,MLF_WA!$A:$A,VLOOKUP(final!$A393,ref!$D:$F,3,FALSE))</f>
        <v>1.0301</v>
      </c>
      <c r="AC393" t="str">
        <f>VLOOKUP($D393,wa_2!$A:$P,4,FALSE)</f>
        <v>-32.200446, 115.774561</v>
      </c>
      <c r="AD393">
        <f t="shared" si="1"/>
        <v>-32.200445999999999</v>
      </c>
      <c r="AE393" s="8">
        <f t="shared" si="2"/>
        <v>115.77456100000001</v>
      </c>
    </row>
    <row r="394" spans="1:31">
      <c r="A394" t="str">
        <f>VLOOKUP($D394,wa_2!$A:$P,2,FALSE)</f>
        <v>Parkeston Power Station</v>
      </c>
      <c r="B394" t="str">
        <f>VLOOKUP($D394,wa_2!$A:$Q,3,FALSE)</f>
        <v>GLDFLDPW</v>
      </c>
      <c r="C394" t="str">
        <f>VLOOKUP($D394,wa_2!$A:$Q,17,FALSE)</f>
        <v>Goldfields Power</v>
      </c>
      <c r="D394" t="s">
        <v>4511</v>
      </c>
      <c r="J394" t="str">
        <f t="shared" si="0"/>
        <v>{"lat": -30.737852,"lng": 121.506503}</v>
      </c>
      <c r="K394" t="s">
        <v>4588</v>
      </c>
      <c r="L394" t="str">
        <f>VLOOKUP($D394,wa_2!$A:$Q,7,FALSE)</f>
        <v>Dual (Gas / Distillate)</v>
      </c>
      <c r="M394" t="str">
        <f>VLOOKUP($D394,wa_2!$A:$Q,8,FALSE)</f>
        <v>Gas</v>
      </c>
      <c r="P394" t="str">
        <f>VLOOKUP(M394,ref!A:B,2,FALSE)</f>
        <v>Gas</v>
      </c>
      <c r="Q394">
        <f>VLOOKUP($D394,wa_2!$A:$Q,16,FALSE)</f>
        <v>68</v>
      </c>
      <c r="S394">
        <f>SUMIFS(MLF_WA!$C:$C,MLF_WA!$E:$E,final!S$399,MLF_WA!$A:$A,VLOOKUP(final!$A394,ref!$D:$F,3,FALSE))</f>
        <v>1.2123999999999999</v>
      </c>
      <c r="T394">
        <f>SUMIFS(MLF_WA!$C:$C,MLF_WA!$E:$E,final!T$399,MLF_WA!$A:$A,VLOOKUP(final!$A394,ref!$D:$F,3,FALSE))</f>
        <v>1.2977000000000001</v>
      </c>
      <c r="U394">
        <f>SUMIFS(MLF_WA!$C:$C,MLF_WA!$E:$E,final!U$399,MLF_WA!$A:$A,VLOOKUP(final!$A394,ref!$D:$F,3,FALSE))</f>
        <v>1.2428999999999999</v>
      </c>
      <c r="V394">
        <f>SUMIFS(MLF_WA!$C:$C,MLF_WA!$E:$E,final!V$399,MLF_WA!$A:$A,VLOOKUP(final!$A394,ref!$D:$F,3,FALSE))</f>
        <v>1.2012</v>
      </c>
      <c r="W394">
        <f>SUMIFS(MLF_WA!$C:$C,MLF_WA!$E:$E,final!W$399,MLF_WA!$A:$A,VLOOKUP(final!$A394,ref!$D:$F,3,FALSE))</f>
        <v>1.1604000000000001</v>
      </c>
      <c r="X394">
        <f>SUMIFS(MLF_WA!$C:$C,MLF_WA!$E:$E,final!X$399,MLF_WA!$A:$A,VLOOKUP(final!$A394,ref!$D:$F,3,FALSE))</f>
        <v>1.1896</v>
      </c>
      <c r="Y394">
        <f>SUMIFS(MLF_WA!$C:$C,MLF_WA!$E:$E,final!Y$399,MLF_WA!$A:$A,VLOOKUP(final!$A394,ref!$D:$F,3,FALSE))</f>
        <v>1.1468</v>
      </c>
      <c r="Z394">
        <f>SUMIFS(MLF_WA!$C:$C,MLF_WA!$E:$E,final!Z$399,MLF_WA!$A:$A,VLOOKUP(final!$A394,ref!$D:$F,3,FALSE))</f>
        <v>1.1529</v>
      </c>
      <c r="AA394">
        <f>SUMIFS(MLF_WA!$C:$C,MLF_WA!$E:$E,final!AA$399,MLF_WA!$A:$A,VLOOKUP(final!$A394,ref!$D:$F,3,FALSE))</f>
        <v>1.1686000000000001</v>
      </c>
      <c r="AC394" t="str">
        <f>VLOOKUP($D394,wa_2!$A:$P,4,FALSE)</f>
        <v>-30.737852, 121.506503</v>
      </c>
      <c r="AD394">
        <f t="shared" si="1"/>
        <v>-30.737852</v>
      </c>
      <c r="AE394" s="8">
        <f t="shared" si="2"/>
        <v>121.506503</v>
      </c>
    </row>
    <row r="395" spans="1:31">
      <c r="A395" t="str">
        <f>VLOOKUP($D395,wa_2!$A:$P,2,FALSE)</f>
        <v>Kambalda Power Station</v>
      </c>
      <c r="B395" t="str">
        <f>VLOOKUP($D395,wa_2!$A:$Q,3,FALSE)</f>
        <v>STHRNCRS</v>
      </c>
      <c r="C395" t="str">
        <f>VLOOKUP($D395,wa_2!$A:$Q,17,FALSE)</f>
        <v>Southern Cross Energy</v>
      </c>
      <c r="D395" t="s">
        <v>4515</v>
      </c>
      <c r="J395" t="str">
        <f t="shared" si="0"/>
        <v>{"lat": -31.191899,"lng": 121.674087}</v>
      </c>
      <c r="K395" t="s">
        <v>4588</v>
      </c>
      <c r="L395" t="str">
        <f>VLOOKUP($D395,wa_2!$A:$Q,7,FALSE)</f>
        <v>Gas</v>
      </c>
      <c r="M395" t="str">
        <f>VLOOKUP($D395,wa_2!$A:$Q,8,FALSE)</f>
        <v>Gas</v>
      </c>
      <c r="P395" t="str">
        <f>VLOOKUP(M395,ref!A:B,2,FALSE)</f>
        <v>Gas</v>
      </c>
      <c r="Q395">
        <f>VLOOKUP($D395,wa_2!$A:$Q,16,FALSE)</f>
        <v>23</v>
      </c>
      <c r="AC395" t="str">
        <f>VLOOKUP($D395,wa_2!$A:$P,4,FALSE)</f>
        <v>-31.191899, 121.674087</v>
      </c>
      <c r="AD395">
        <f t="shared" si="1"/>
        <v>-31.191898999999999</v>
      </c>
      <c r="AE395" s="8">
        <f t="shared" si="2"/>
        <v>121.674087</v>
      </c>
    </row>
    <row r="396" spans="1:31">
      <c r="A396" t="str">
        <f>VLOOKUP($D396,wa_2!$A:$P,2,FALSE)</f>
        <v>West Kalgoorlie Power Station</v>
      </c>
      <c r="B396" t="str">
        <f>VLOOKUP($D396,wa_2!$A:$Q,3,FALSE)</f>
        <v>WEST_KALGOORLIE</v>
      </c>
      <c r="C396" t="str">
        <f>VLOOKUP($D396,wa_2!$A:$Q,17,FALSE)</f>
        <v>Synergy</v>
      </c>
      <c r="D396" t="s">
        <v>4517</v>
      </c>
      <c r="J396" t="str">
        <f t="shared" si="0"/>
        <v>{"lat": -30.780366,"lng": 121.423686}</v>
      </c>
      <c r="K396" t="s">
        <v>4588</v>
      </c>
      <c r="L396" t="str">
        <f>VLOOKUP($D396,wa_2!$A:$Q,7,FALSE)</f>
        <v>Distillate</v>
      </c>
      <c r="M396" t="str">
        <f>VLOOKUP($D396,wa_2!$A:$Q,8,FALSE)</f>
        <v>Gas</v>
      </c>
      <c r="P396" t="str">
        <f>VLOOKUP(M396,ref!A:B,2,FALSE)</f>
        <v>Gas</v>
      </c>
      <c r="Q396">
        <f>VLOOKUP($D396,wa_2!$A:$Q,16,FALSE)</f>
        <v>41.2</v>
      </c>
      <c r="S396">
        <f>SUMIFS(MLF_WA!$C:$C,MLF_WA!$E:$E,final!S$399,MLF_WA!$A:$A,VLOOKUP(final!$A396,ref!$D:$F,3,FALSE))</f>
        <v>1.2019</v>
      </c>
      <c r="T396">
        <f>SUMIFS(MLF_WA!$C:$C,MLF_WA!$E:$E,final!T$399,MLF_WA!$A:$A,VLOOKUP(final!$A396,ref!$D:$F,3,FALSE))</f>
        <v>1.2504</v>
      </c>
      <c r="U396">
        <f>SUMIFS(MLF_WA!$C:$C,MLF_WA!$E:$E,final!U$399,MLF_WA!$A:$A,VLOOKUP(final!$A396,ref!$D:$F,3,FALSE))</f>
        <v>1.2244999999999999</v>
      </c>
      <c r="V396">
        <f>SUMIFS(MLF_WA!$C:$C,MLF_WA!$E:$E,final!V$399,MLF_WA!$A:$A,VLOOKUP(final!$A396,ref!$D:$F,3,FALSE))</f>
        <v>1.1819</v>
      </c>
      <c r="W396">
        <f>SUMIFS(MLF_WA!$C:$C,MLF_WA!$E:$E,final!W$399,MLF_WA!$A:$A,VLOOKUP(final!$A396,ref!$D:$F,3,FALSE))</f>
        <v>1.1535</v>
      </c>
      <c r="X396">
        <f>SUMIFS(MLF_WA!$C:$C,MLF_WA!$E:$E,final!X$399,MLF_WA!$A:$A,VLOOKUP(final!$A396,ref!$D:$F,3,FALSE))</f>
        <v>1.1848000000000001</v>
      </c>
      <c r="Y396">
        <f>SUMIFS(MLF_WA!$C:$C,MLF_WA!$E:$E,final!Y$399,MLF_WA!$A:$A,VLOOKUP(final!$A396,ref!$D:$F,3,FALSE))</f>
        <v>1.1446000000000001</v>
      </c>
      <c r="Z396">
        <f>SUMIFS(MLF_WA!$C:$C,MLF_WA!$E:$E,final!Z$399,MLF_WA!$A:$A,VLOOKUP(final!$A396,ref!$D:$F,3,FALSE))</f>
        <v>1.1495</v>
      </c>
      <c r="AA396">
        <f>SUMIFS(MLF_WA!$C:$C,MLF_WA!$E:$E,final!AA$399,MLF_WA!$A:$A,VLOOKUP(final!$A396,ref!$D:$F,3,FALSE))</f>
        <v>1.1654</v>
      </c>
      <c r="AC396" t="str">
        <f>VLOOKUP($D396,wa_2!$A:$P,4,FALSE)</f>
        <v>-30.780366, 121.423686</v>
      </c>
      <c r="AD396">
        <f t="shared" si="1"/>
        <v>-30.780366000000001</v>
      </c>
      <c r="AE396" s="8">
        <f t="shared" si="2"/>
        <v>121.423686</v>
      </c>
    </row>
    <row r="397" spans="1:31">
      <c r="A397" t="str">
        <f>VLOOKUP($D397,wa_2!$A:$P,2,FALSE)</f>
        <v>West Kalgoorlie Power Station</v>
      </c>
      <c r="B397" t="str">
        <f>VLOOKUP($D397,wa_2!$A:$Q,3,FALSE)</f>
        <v>WEST_KALGOORLIE</v>
      </c>
      <c r="C397" t="str">
        <f>VLOOKUP($D397,wa_2!$A:$Q,17,FALSE)</f>
        <v>Synergy</v>
      </c>
      <c r="D397" t="s">
        <v>4519</v>
      </c>
      <c r="J397" t="str">
        <f t="shared" si="0"/>
        <v>{"lat": -30.780366,"lng": 121.423686}</v>
      </c>
      <c r="K397" t="s">
        <v>4588</v>
      </c>
      <c r="L397" t="str">
        <f>VLOOKUP($D397,wa_2!$A:$Q,7,FALSE)</f>
        <v>Distillate</v>
      </c>
      <c r="M397" t="str">
        <f>VLOOKUP($D397,wa_2!$A:$Q,8,FALSE)</f>
        <v>Gas</v>
      </c>
      <c r="P397" t="str">
        <f>VLOOKUP(M397,ref!A:B,2,FALSE)</f>
        <v>Gas</v>
      </c>
      <c r="Q397">
        <f>VLOOKUP($D397,wa_2!$A:$Q,16,FALSE)</f>
        <v>23.3</v>
      </c>
      <c r="S397">
        <f>SUMIFS(MLF_WA!$C:$C,MLF_WA!$E:$E,final!S$399,MLF_WA!$A:$A,VLOOKUP(final!$A397,ref!$D:$F,3,FALSE))</f>
        <v>1.2019</v>
      </c>
      <c r="T397">
        <f>SUMIFS(MLF_WA!$C:$C,MLF_WA!$E:$E,final!T$399,MLF_WA!$A:$A,VLOOKUP(final!$A397,ref!$D:$F,3,FALSE))</f>
        <v>1.2504</v>
      </c>
      <c r="U397">
        <f>SUMIFS(MLF_WA!$C:$C,MLF_WA!$E:$E,final!U$399,MLF_WA!$A:$A,VLOOKUP(final!$A397,ref!$D:$F,3,FALSE))</f>
        <v>1.2244999999999999</v>
      </c>
      <c r="V397">
        <f>SUMIFS(MLF_WA!$C:$C,MLF_WA!$E:$E,final!V$399,MLF_WA!$A:$A,VLOOKUP(final!$A397,ref!$D:$F,3,FALSE))</f>
        <v>1.1819</v>
      </c>
      <c r="W397">
        <f>SUMIFS(MLF_WA!$C:$C,MLF_WA!$E:$E,final!W$399,MLF_WA!$A:$A,VLOOKUP(final!$A397,ref!$D:$F,3,FALSE))</f>
        <v>1.1535</v>
      </c>
      <c r="X397">
        <f>SUMIFS(MLF_WA!$C:$C,MLF_WA!$E:$E,final!X$399,MLF_WA!$A:$A,VLOOKUP(final!$A397,ref!$D:$F,3,FALSE))</f>
        <v>1.1848000000000001</v>
      </c>
      <c r="Y397">
        <f>SUMIFS(MLF_WA!$C:$C,MLF_WA!$E:$E,final!Y$399,MLF_WA!$A:$A,VLOOKUP(final!$A397,ref!$D:$F,3,FALSE))</f>
        <v>1.1446000000000001</v>
      </c>
      <c r="Z397">
        <f>SUMIFS(MLF_WA!$C:$C,MLF_WA!$E:$E,final!Z$399,MLF_WA!$A:$A,VLOOKUP(final!$A397,ref!$D:$F,3,FALSE))</f>
        <v>1.1495</v>
      </c>
      <c r="AA397">
        <f>SUMIFS(MLF_WA!$C:$C,MLF_WA!$E:$E,final!AA$399,MLF_WA!$A:$A,VLOOKUP(final!$A397,ref!$D:$F,3,FALSE))</f>
        <v>1.1654</v>
      </c>
      <c r="AC397" t="str">
        <f>VLOOKUP($D397,wa_2!$A:$P,4,FALSE)</f>
        <v>-30.780366, 121.423686</v>
      </c>
      <c r="AD397">
        <f t="shared" si="1"/>
        <v>-30.780366000000001</v>
      </c>
      <c r="AE397" s="8">
        <f t="shared" si="2"/>
        <v>121.423686</v>
      </c>
    </row>
    <row r="399" spans="1:31">
      <c r="S399">
        <v>2011</v>
      </c>
      <c r="T399">
        <f>S399+1</f>
        <v>2012</v>
      </c>
      <c r="U399">
        <f t="shared" ref="U399:AB399" si="3">T399+1</f>
        <v>2013</v>
      </c>
      <c r="V399">
        <f t="shared" si="3"/>
        <v>2014</v>
      </c>
      <c r="W399">
        <f t="shared" si="3"/>
        <v>2015</v>
      </c>
      <c r="X399">
        <f t="shared" si="3"/>
        <v>2016</v>
      </c>
      <c r="Y399">
        <f t="shared" si="3"/>
        <v>2017</v>
      </c>
      <c r="Z399">
        <f t="shared" si="3"/>
        <v>2018</v>
      </c>
      <c r="AA399">
        <f t="shared" si="3"/>
        <v>2019</v>
      </c>
      <c r="AB399">
        <f t="shared" si="3"/>
        <v>2020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I6"/>
  <sheetViews>
    <sheetView workbookViewId="0">
      <selection activeCell="C4" sqref="C4:I4"/>
    </sheetView>
  </sheetViews>
  <sheetFormatPr baseColWidth="10" defaultRowHeight="15" x14ac:dyDescent="0"/>
  <cols>
    <col min="7" max="7" width="13.6640625" bestFit="1" customWidth="1"/>
  </cols>
  <sheetData>
    <row r="1" spans="1:9">
      <c r="A1" t="s">
        <v>1465</v>
      </c>
    </row>
    <row r="2" spans="1:9">
      <c r="A2" t="s">
        <v>4380</v>
      </c>
    </row>
    <row r="4" spans="1:9">
      <c r="C4" t="s">
        <v>2215</v>
      </c>
      <c r="D4">
        <v>22</v>
      </c>
      <c r="E4" t="s">
        <v>2214</v>
      </c>
      <c r="F4" t="s">
        <v>2213</v>
      </c>
      <c r="G4" t="s">
        <v>4277</v>
      </c>
      <c r="H4">
        <v>1.0156000000000001</v>
      </c>
      <c r="I4">
        <v>1.0169999999999999</v>
      </c>
    </row>
    <row r="6" spans="1:9">
      <c r="B6" s="3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formater">
                <anchor moveWithCells="1" sizeWithCells="1">
                  <from>
                    <xdr:col>10</xdr:col>
                    <xdr:colOff>381000</xdr:colOff>
                    <xdr:row>7</xdr:row>
                    <xdr:rowOff>139700</xdr:rowOff>
                  </from>
                  <to>
                    <xdr:col>13</xdr:col>
                    <xdr:colOff>393700</xdr:colOff>
                    <xdr:row>9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1"/>
  </sheetPr>
  <dimension ref="A1:F1520"/>
  <sheetViews>
    <sheetView workbookViewId="0">
      <selection activeCell="E1" sqref="E1"/>
    </sheetView>
  </sheetViews>
  <sheetFormatPr baseColWidth="10" defaultRowHeight="15" x14ac:dyDescent="0"/>
  <cols>
    <col min="2" max="2" width="36.5" bestFit="1" customWidth="1"/>
  </cols>
  <sheetData>
    <row r="1" spans="1:6">
      <c r="A1" t="s">
        <v>4589</v>
      </c>
      <c r="B1" t="s">
        <v>4590</v>
      </c>
      <c r="C1" t="s">
        <v>4591</v>
      </c>
      <c r="D1" t="s">
        <v>4592</v>
      </c>
      <c r="E1" t="s">
        <v>4933</v>
      </c>
      <c r="F1" t="s">
        <v>4934</v>
      </c>
    </row>
    <row r="2" spans="1:6">
      <c r="A2" t="s">
        <v>4593</v>
      </c>
      <c r="B2" t="s">
        <v>4594</v>
      </c>
      <c r="C2">
        <v>0.97360000000000002</v>
      </c>
      <c r="D2" s="1">
        <v>43282</v>
      </c>
      <c r="E2" s="9">
        <f>YEAR(D2)+1</f>
        <v>2019</v>
      </c>
      <c r="F2" t="str">
        <f>A2</f>
        <v>TAPA</v>
      </c>
    </row>
    <row r="3" spans="1:6">
      <c r="A3" t="s">
        <v>4595</v>
      </c>
      <c r="B3" t="s">
        <v>4596</v>
      </c>
      <c r="C3">
        <v>0.97470000000000001</v>
      </c>
      <c r="D3" s="1">
        <v>43282</v>
      </c>
      <c r="E3" s="9">
        <f t="shared" ref="E3:E66" si="0">YEAR(D3)+1</f>
        <v>2019</v>
      </c>
      <c r="F3" t="str">
        <f t="shared" ref="F3:F66" si="1">A3</f>
        <v>TAPL</v>
      </c>
    </row>
    <row r="4" spans="1:6">
      <c r="A4" t="s">
        <v>4597</v>
      </c>
      <c r="B4" t="s">
        <v>4577</v>
      </c>
      <c r="C4">
        <v>1.0004</v>
      </c>
      <c r="D4" s="1">
        <v>43282</v>
      </c>
      <c r="E4" s="9">
        <f t="shared" si="0"/>
        <v>2019</v>
      </c>
      <c r="F4" t="str">
        <f t="shared" si="1"/>
        <v>TBLB</v>
      </c>
    </row>
    <row r="5" spans="1:6">
      <c r="A5" t="s">
        <v>4598</v>
      </c>
      <c r="B5" t="s">
        <v>4599</v>
      </c>
      <c r="C5">
        <v>1.1678999999999999</v>
      </c>
      <c r="D5" s="1">
        <v>43282</v>
      </c>
      <c r="E5" s="9">
        <f t="shared" si="0"/>
        <v>2019</v>
      </c>
      <c r="F5" t="str">
        <f t="shared" si="1"/>
        <v>TBLS</v>
      </c>
    </row>
    <row r="6" spans="1:6">
      <c r="A6" t="s">
        <v>4600</v>
      </c>
      <c r="B6" t="s">
        <v>4601</v>
      </c>
      <c r="C6">
        <v>1.0479000000000001</v>
      </c>
      <c r="D6" s="1">
        <v>43282</v>
      </c>
      <c r="E6" s="9">
        <f t="shared" si="0"/>
        <v>2019</v>
      </c>
      <c r="F6" t="str">
        <f t="shared" si="1"/>
        <v>TKRA</v>
      </c>
    </row>
    <row r="7" spans="1:6">
      <c r="A7" t="s">
        <v>4602</v>
      </c>
      <c r="B7" t="s">
        <v>4603</v>
      </c>
      <c r="C7">
        <v>1.0135000000000001</v>
      </c>
      <c r="D7" s="1">
        <v>43282</v>
      </c>
      <c r="E7" s="9">
        <f t="shared" si="0"/>
        <v>2019</v>
      </c>
      <c r="F7" t="str">
        <f t="shared" si="1"/>
        <v>TLWA</v>
      </c>
    </row>
    <row r="8" spans="1:6">
      <c r="A8" t="s">
        <v>4604</v>
      </c>
      <c r="B8" t="s">
        <v>4478</v>
      </c>
      <c r="C8">
        <v>0.95730000000000004</v>
      </c>
      <c r="D8" s="1">
        <v>43282</v>
      </c>
      <c r="E8" s="9">
        <f t="shared" si="0"/>
        <v>2019</v>
      </c>
      <c r="F8" t="str">
        <f t="shared" si="1"/>
        <v>TMBA</v>
      </c>
    </row>
    <row r="9" spans="1:6">
      <c r="A9" t="s">
        <v>4605</v>
      </c>
      <c r="B9" t="s">
        <v>4606</v>
      </c>
      <c r="C9">
        <v>0.99970000000000003</v>
      </c>
      <c r="D9" s="1">
        <v>43282</v>
      </c>
      <c r="E9" s="9">
        <f t="shared" si="0"/>
        <v>2019</v>
      </c>
      <c r="F9" t="str">
        <f t="shared" si="1"/>
        <v>TMDP</v>
      </c>
    </row>
    <row r="10" spans="1:6">
      <c r="A10" t="s">
        <v>4607</v>
      </c>
      <c r="B10" t="s">
        <v>4608</v>
      </c>
      <c r="C10">
        <v>1.0031000000000001</v>
      </c>
      <c r="D10" s="1">
        <v>43282</v>
      </c>
      <c r="E10" s="9">
        <f t="shared" si="0"/>
        <v>2019</v>
      </c>
      <c r="F10" t="str">
        <f t="shared" si="1"/>
        <v>TMGS</v>
      </c>
    </row>
    <row r="11" spans="1:6">
      <c r="A11" t="s">
        <v>4609</v>
      </c>
      <c r="B11" t="s">
        <v>4610</v>
      </c>
      <c r="C11">
        <v>1.0343</v>
      </c>
      <c r="D11" s="1">
        <v>43282</v>
      </c>
      <c r="E11" s="9">
        <f t="shared" si="0"/>
        <v>2019</v>
      </c>
      <c r="F11" t="str">
        <f t="shared" si="1"/>
        <v>TMSK</v>
      </c>
    </row>
    <row r="12" spans="1:6">
      <c r="A12" t="s">
        <v>4611</v>
      </c>
      <c r="B12" t="s">
        <v>4612</v>
      </c>
      <c r="C12">
        <v>1.0164</v>
      </c>
      <c r="D12" s="1">
        <v>43282</v>
      </c>
      <c r="E12" s="9">
        <f t="shared" si="0"/>
        <v>2019</v>
      </c>
      <c r="F12" t="str">
        <f t="shared" si="1"/>
        <v>TOLA</v>
      </c>
    </row>
    <row r="13" spans="1:6">
      <c r="A13" t="s">
        <v>4613</v>
      </c>
      <c r="B13" t="s">
        <v>4614</v>
      </c>
      <c r="C13">
        <v>1.0346</v>
      </c>
      <c r="D13" s="1">
        <v>43282</v>
      </c>
      <c r="E13" s="9">
        <f t="shared" si="0"/>
        <v>2019</v>
      </c>
      <c r="F13" t="str">
        <f t="shared" si="1"/>
        <v>TSAV</v>
      </c>
    </row>
    <row r="14" spans="1:6">
      <c r="A14" t="s">
        <v>4615</v>
      </c>
      <c r="B14" t="s">
        <v>4616</v>
      </c>
      <c r="C14">
        <v>1.0428999999999999</v>
      </c>
      <c r="D14" s="1">
        <v>43282</v>
      </c>
      <c r="E14" s="9">
        <f t="shared" si="0"/>
        <v>2019</v>
      </c>
      <c r="F14" t="str">
        <f t="shared" si="1"/>
        <v>TUAV</v>
      </c>
    </row>
    <row r="15" spans="1:6">
      <c r="A15" t="s">
        <v>4617</v>
      </c>
      <c r="B15" t="s">
        <v>4618</v>
      </c>
      <c r="C15">
        <v>1.1172</v>
      </c>
      <c r="D15" s="1">
        <v>43282</v>
      </c>
      <c r="E15" s="9">
        <f t="shared" si="0"/>
        <v>2019</v>
      </c>
      <c r="F15" t="str">
        <f t="shared" si="1"/>
        <v>TWKG</v>
      </c>
    </row>
    <row r="16" spans="1:6">
      <c r="A16" t="s">
        <v>4619</v>
      </c>
      <c r="B16" t="s">
        <v>4620</v>
      </c>
      <c r="C16">
        <v>0.97209999999999996</v>
      </c>
      <c r="D16" s="1">
        <v>43282</v>
      </c>
      <c r="E16" s="9">
        <f t="shared" si="0"/>
        <v>2019</v>
      </c>
      <c r="F16" t="str">
        <f t="shared" si="1"/>
        <v>TWOJ</v>
      </c>
    </row>
    <row r="17" spans="1:6">
      <c r="A17" t="s">
        <v>4621</v>
      </c>
      <c r="B17" t="s">
        <v>4622</v>
      </c>
      <c r="C17">
        <v>0.97250000000000003</v>
      </c>
      <c r="D17" s="1">
        <v>43282</v>
      </c>
      <c r="E17" s="9">
        <f t="shared" si="0"/>
        <v>2019</v>
      </c>
      <c r="F17" t="str">
        <f t="shared" si="1"/>
        <v>TWOW</v>
      </c>
    </row>
    <row r="18" spans="1:6">
      <c r="A18" t="s">
        <v>4623</v>
      </c>
      <c r="B18" t="s">
        <v>4624</v>
      </c>
      <c r="C18">
        <v>1.0355000000000001</v>
      </c>
      <c r="D18" s="1">
        <v>43282</v>
      </c>
      <c r="E18" s="9">
        <f t="shared" si="0"/>
        <v>2019</v>
      </c>
      <c r="F18" t="str">
        <f t="shared" si="1"/>
        <v>WAFM</v>
      </c>
    </row>
    <row r="19" spans="1:6">
      <c r="A19" t="s">
        <v>4625</v>
      </c>
      <c r="B19" t="s">
        <v>4626</v>
      </c>
      <c r="C19">
        <v>1.0349999999999999</v>
      </c>
      <c r="D19" s="1">
        <v>43282</v>
      </c>
      <c r="E19" s="9">
        <f t="shared" si="0"/>
        <v>2019</v>
      </c>
      <c r="F19" t="str">
        <f t="shared" si="1"/>
        <v>WAKW</v>
      </c>
    </row>
    <row r="20" spans="1:6">
      <c r="A20" t="s">
        <v>4627</v>
      </c>
      <c r="B20" t="s">
        <v>4628</v>
      </c>
      <c r="C20">
        <v>1.0535000000000001</v>
      </c>
      <c r="D20" s="1">
        <v>43282</v>
      </c>
      <c r="E20" s="9">
        <f t="shared" si="0"/>
        <v>2019</v>
      </c>
      <c r="F20" t="str">
        <f t="shared" si="1"/>
        <v>WALB</v>
      </c>
    </row>
    <row r="21" spans="1:6">
      <c r="A21" t="s">
        <v>4629</v>
      </c>
      <c r="B21" t="s">
        <v>4630</v>
      </c>
      <c r="C21">
        <v>1.0461</v>
      </c>
      <c r="D21" s="1">
        <v>43282</v>
      </c>
      <c r="E21" s="9">
        <f t="shared" si="0"/>
        <v>2019</v>
      </c>
      <c r="F21" t="str">
        <f t="shared" si="1"/>
        <v>WAMT</v>
      </c>
    </row>
    <row r="22" spans="1:6">
      <c r="A22" t="s">
        <v>4631</v>
      </c>
      <c r="B22" t="s">
        <v>4632</v>
      </c>
      <c r="C22">
        <v>1.0496000000000001</v>
      </c>
      <c r="D22" s="1">
        <v>43282</v>
      </c>
      <c r="E22" s="9">
        <f t="shared" si="0"/>
        <v>2019</v>
      </c>
      <c r="F22" t="str">
        <f t="shared" si="1"/>
        <v>WAPM</v>
      </c>
    </row>
    <row r="23" spans="1:6">
      <c r="A23" t="s">
        <v>4633</v>
      </c>
      <c r="B23" t="s">
        <v>4634</v>
      </c>
      <c r="C23">
        <v>1.0441</v>
      </c>
      <c r="D23" s="1">
        <v>43282</v>
      </c>
      <c r="E23" s="9">
        <f t="shared" si="0"/>
        <v>2019</v>
      </c>
      <c r="F23" t="str">
        <f t="shared" si="1"/>
        <v>WARK</v>
      </c>
    </row>
    <row r="24" spans="1:6">
      <c r="A24" t="s">
        <v>4635</v>
      </c>
      <c r="B24" t="s">
        <v>4636</v>
      </c>
      <c r="C24">
        <v>1.0447</v>
      </c>
      <c r="D24" s="1">
        <v>43282</v>
      </c>
      <c r="E24" s="9">
        <f t="shared" si="0"/>
        <v>2019</v>
      </c>
      <c r="F24" t="str">
        <f t="shared" si="1"/>
        <v>WBCH</v>
      </c>
    </row>
    <row r="25" spans="1:6">
      <c r="A25" t="s">
        <v>4637</v>
      </c>
      <c r="B25" t="s">
        <v>4638</v>
      </c>
      <c r="C25">
        <v>1.0457000000000001</v>
      </c>
      <c r="D25" s="1">
        <v>43282</v>
      </c>
      <c r="E25" s="9">
        <f t="shared" si="0"/>
        <v>2019</v>
      </c>
      <c r="F25" t="str">
        <f t="shared" si="1"/>
        <v>WBCT</v>
      </c>
    </row>
    <row r="26" spans="1:6">
      <c r="A26" t="s">
        <v>4639</v>
      </c>
      <c r="B26" t="s">
        <v>4640</v>
      </c>
      <c r="C26">
        <v>1.0676000000000001</v>
      </c>
      <c r="D26" s="1">
        <v>43282</v>
      </c>
      <c r="E26" s="9">
        <f t="shared" si="0"/>
        <v>2019</v>
      </c>
      <c r="F26" t="str">
        <f t="shared" si="1"/>
        <v>WBDE</v>
      </c>
    </row>
    <row r="27" spans="1:6">
      <c r="A27" t="s">
        <v>4641</v>
      </c>
      <c r="B27" t="s">
        <v>4642</v>
      </c>
      <c r="C27">
        <v>1.0173000000000001</v>
      </c>
      <c r="D27" s="1">
        <v>43282</v>
      </c>
      <c r="E27" s="9">
        <f t="shared" si="0"/>
        <v>2019</v>
      </c>
      <c r="F27" t="str">
        <f t="shared" si="1"/>
        <v>WBDP</v>
      </c>
    </row>
    <row r="28" spans="1:6">
      <c r="A28" t="s">
        <v>4643</v>
      </c>
      <c r="B28" t="s">
        <v>4644</v>
      </c>
      <c r="C28">
        <v>1.0327</v>
      </c>
      <c r="D28" s="1">
        <v>43282</v>
      </c>
      <c r="E28" s="9">
        <f t="shared" si="0"/>
        <v>2019</v>
      </c>
      <c r="F28" t="str">
        <f t="shared" si="1"/>
        <v>WBEC</v>
      </c>
    </row>
    <row r="29" spans="1:6">
      <c r="A29" t="s">
        <v>4645</v>
      </c>
      <c r="B29" t="s">
        <v>4646</v>
      </c>
      <c r="C29">
        <v>1.0336000000000001</v>
      </c>
      <c r="D29" s="1">
        <v>43282</v>
      </c>
      <c r="E29" s="9">
        <f t="shared" si="0"/>
        <v>2019</v>
      </c>
      <c r="F29" t="str">
        <f t="shared" si="1"/>
        <v>WBEL</v>
      </c>
    </row>
    <row r="30" spans="1:6">
      <c r="A30" t="s">
        <v>4647</v>
      </c>
      <c r="B30" t="s">
        <v>4648</v>
      </c>
      <c r="C30">
        <v>1.0105999999999999</v>
      </c>
      <c r="D30" s="1">
        <v>43282</v>
      </c>
      <c r="E30" s="9">
        <f t="shared" si="0"/>
        <v>2019</v>
      </c>
      <c r="F30" t="str">
        <f t="shared" si="1"/>
        <v>WBGM</v>
      </c>
    </row>
    <row r="31" spans="1:6">
      <c r="A31" t="s">
        <v>4649</v>
      </c>
      <c r="B31" t="s">
        <v>4650</v>
      </c>
      <c r="C31">
        <v>1.0397000000000001</v>
      </c>
      <c r="D31" s="1">
        <v>43282</v>
      </c>
      <c r="E31" s="9">
        <f t="shared" si="0"/>
        <v>2019</v>
      </c>
      <c r="F31" t="str">
        <f t="shared" si="1"/>
        <v>WBHK</v>
      </c>
    </row>
    <row r="32" spans="1:6">
      <c r="A32" t="s">
        <v>4651</v>
      </c>
      <c r="B32" t="s">
        <v>4652</v>
      </c>
      <c r="C32">
        <v>1.0430999999999999</v>
      </c>
      <c r="D32" s="1">
        <v>43282</v>
      </c>
      <c r="E32" s="9">
        <f t="shared" si="0"/>
        <v>2019</v>
      </c>
      <c r="F32" t="str">
        <f t="shared" si="1"/>
        <v>WBIB</v>
      </c>
    </row>
    <row r="33" spans="1:6">
      <c r="A33" t="s">
        <v>4653</v>
      </c>
      <c r="B33" t="s">
        <v>4654</v>
      </c>
      <c r="C33">
        <v>1.1849000000000001</v>
      </c>
      <c r="D33" s="1">
        <v>43282</v>
      </c>
      <c r="E33" s="9">
        <f t="shared" si="0"/>
        <v>2019</v>
      </c>
      <c r="F33" t="str">
        <f t="shared" si="1"/>
        <v>WBKF</v>
      </c>
    </row>
    <row r="34" spans="1:6">
      <c r="A34" t="s">
        <v>4655</v>
      </c>
      <c r="B34" t="s">
        <v>4656</v>
      </c>
      <c r="C34">
        <v>1.1692</v>
      </c>
      <c r="D34" s="1">
        <v>43282</v>
      </c>
      <c r="E34" s="9">
        <f t="shared" si="0"/>
        <v>2019</v>
      </c>
      <c r="F34" t="str">
        <f t="shared" si="1"/>
        <v>WBLD</v>
      </c>
    </row>
    <row r="35" spans="1:6">
      <c r="A35" t="s">
        <v>4657</v>
      </c>
      <c r="B35" t="s">
        <v>4658</v>
      </c>
      <c r="C35">
        <v>1.0277000000000001</v>
      </c>
      <c r="D35" s="1">
        <v>43282</v>
      </c>
      <c r="E35" s="9">
        <f t="shared" si="0"/>
        <v>2019</v>
      </c>
      <c r="F35" t="str">
        <f t="shared" si="1"/>
        <v>WBNP</v>
      </c>
    </row>
    <row r="36" spans="1:6">
      <c r="A36" t="s">
        <v>4659</v>
      </c>
      <c r="B36" t="s">
        <v>4660</v>
      </c>
      <c r="C36">
        <v>1.085</v>
      </c>
      <c r="D36" s="1">
        <v>43282</v>
      </c>
      <c r="E36" s="9">
        <f t="shared" si="0"/>
        <v>2019</v>
      </c>
      <c r="F36" t="str">
        <f t="shared" si="1"/>
        <v>WBNY</v>
      </c>
    </row>
    <row r="37" spans="1:6">
      <c r="A37" t="s">
        <v>4661</v>
      </c>
      <c r="B37" t="s">
        <v>4662</v>
      </c>
      <c r="C37">
        <v>1.0097</v>
      </c>
      <c r="D37" s="1">
        <v>43282</v>
      </c>
      <c r="E37" s="9">
        <f t="shared" si="0"/>
        <v>2019</v>
      </c>
      <c r="F37" t="str">
        <f t="shared" si="1"/>
        <v>WBOD</v>
      </c>
    </row>
    <row r="38" spans="1:6">
      <c r="A38" t="s">
        <v>4663</v>
      </c>
      <c r="B38" t="s">
        <v>4664</v>
      </c>
      <c r="C38">
        <v>1.0423</v>
      </c>
      <c r="D38" s="1">
        <v>43282</v>
      </c>
      <c r="E38" s="9">
        <f t="shared" si="0"/>
        <v>2019</v>
      </c>
      <c r="F38" t="str">
        <f t="shared" si="1"/>
        <v>WBPM</v>
      </c>
    </row>
    <row r="39" spans="1:6">
      <c r="A39" t="s">
        <v>4665</v>
      </c>
      <c r="B39" t="s">
        <v>4666</v>
      </c>
      <c r="C39">
        <v>1.0152000000000001</v>
      </c>
      <c r="D39" s="1">
        <v>43282</v>
      </c>
      <c r="E39" s="9">
        <f t="shared" si="0"/>
        <v>2019</v>
      </c>
      <c r="F39" t="str">
        <f t="shared" si="1"/>
        <v>WBSI</v>
      </c>
    </row>
    <row r="40" spans="1:6">
      <c r="A40" t="s">
        <v>4667</v>
      </c>
      <c r="B40" t="s">
        <v>4668</v>
      </c>
      <c r="C40">
        <v>1.0508999999999999</v>
      </c>
      <c r="D40" s="1">
        <v>43282</v>
      </c>
      <c r="E40" s="9">
        <f t="shared" si="0"/>
        <v>2019</v>
      </c>
      <c r="F40" t="str">
        <f t="shared" si="1"/>
        <v>WBSN</v>
      </c>
    </row>
    <row r="41" spans="1:6">
      <c r="A41" t="s">
        <v>4669</v>
      </c>
      <c r="B41" t="s">
        <v>4670</v>
      </c>
      <c r="C41">
        <v>1.0116000000000001</v>
      </c>
      <c r="D41" s="1">
        <v>43282</v>
      </c>
      <c r="E41" s="9">
        <f t="shared" si="0"/>
        <v>2019</v>
      </c>
      <c r="F41" t="str">
        <f t="shared" si="1"/>
        <v>WBTN</v>
      </c>
    </row>
    <row r="42" spans="1:6">
      <c r="A42" t="s">
        <v>4671</v>
      </c>
      <c r="B42" t="s">
        <v>4672</v>
      </c>
      <c r="C42">
        <v>1.0373000000000001</v>
      </c>
      <c r="D42" s="1">
        <v>43282</v>
      </c>
      <c r="E42" s="9">
        <f t="shared" si="0"/>
        <v>2019</v>
      </c>
      <c r="F42" t="str">
        <f t="shared" si="1"/>
        <v>WBTY</v>
      </c>
    </row>
    <row r="43" spans="1:6">
      <c r="A43" t="s">
        <v>4673</v>
      </c>
      <c r="B43" t="s">
        <v>4674</v>
      </c>
      <c r="C43">
        <v>1.008</v>
      </c>
      <c r="D43" s="1">
        <v>43282</v>
      </c>
      <c r="E43" s="9">
        <f t="shared" si="0"/>
        <v>2019</v>
      </c>
      <c r="F43" t="str">
        <f t="shared" si="1"/>
        <v>WBUH</v>
      </c>
    </row>
    <row r="44" spans="1:6">
      <c r="A44" t="s">
        <v>4675</v>
      </c>
      <c r="B44" t="s">
        <v>4676</v>
      </c>
      <c r="C44">
        <v>1.036</v>
      </c>
      <c r="D44" s="1">
        <v>43282</v>
      </c>
      <c r="E44" s="9">
        <f t="shared" si="0"/>
        <v>2019</v>
      </c>
      <c r="F44" t="str">
        <f t="shared" si="1"/>
        <v>WBYF</v>
      </c>
    </row>
    <row r="45" spans="1:6">
      <c r="A45" t="s">
        <v>4677</v>
      </c>
      <c r="B45" t="s">
        <v>4678</v>
      </c>
      <c r="C45">
        <v>1.0288999999999999</v>
      </c>
      <c r="D45" s="1">
        <v>43282</v>
      </c>
      <c r="E45" s="9">
        <f t="shared" si="0"/>
        <v>2019</v>
      </c>
      <c r="F45" t="str">
        <f t="shared" si="1"/>
        <v>WCAP</v>
      </c>
    </row>
    <row r="46" spans="1:6">
      <c r="A46" t="s">
        <v>4679</v>
      </c>
      <c r="B46" t="s">
        <v>4680</v>
      </c>
      <c r="C46">
        <v>1.1144000000000001</v>
      </c>
      <c r="D46" s="1">
        <v>43282</v>
      </c>
      <c r="E46" s="9">
        <f t="shared" si="0"/>
        <v>2019</v>
      </c>
      <c r="F46" t="str">
        <f t="shared" si="1"/>
        <v>WCAR</v>
      </c>
    </row>
    <row r="47" spans="1:6">
      <c r="A47" t="s">
        <v>4681</v>
      </c>
      <c r="B47" t="s">
        <v>4682</v>
      </c>
      <c r="C47">
        <v>1.0350999999999999</v>
      </c>
      <c r="D47" s="1">
        <v>43282</v>
      </c>
      <c r="E47" s="9">
        <f t="shared" si="0"/>
        <v>2019</v>
      </c>
      <c r="F47" t="str">
        <f t="shared" si="1"/>
        <v>WCBP</v>
      </c>
    </row>
    <row r="48" spans="1:6">
      <c r="A48" t="s">
        <v>4683</v>
      </c>
      <c r="B48" t="s">
        <v>4684</v>
      </c>
      <c r="C48">
        <v>1.0342</v>
      </c>
      <c r="D48" s="1">
        <v>43282</v>
      </c>
      <c r="E48" s="9">
        <f t="shared" si="0"/>
        <v>2019</v>
      </c>
      <c r="F48" t="str">
        <f t="shared" si="1"/>
        <v>WCCL</v>
      </c>
    </row>
    <row r="49" spans="1:6">
      <c r="A49" t="s">
        <v>4685</v>
      </c>
      <c r="B49" t="s">
        <v>4574</v>
      </c>
      <c r="C49">
        <v>1.0350999999999999</v>
      </c>
      <c r="D49" s="1">
        <v>43282</v>
      </c>
      <c r="E49" s="9">
        <f t="shared" si="0"/>
        <v>2019</v>
      </c>
      <c r="F49" t="str">
        <f t="shared" si="1"/>
        <v>WCCT</v>
      </c>
    </row>
    <row r="50" spans="1:6">
      <c r="A50" t="s">
        <v>4686</v>
      </c>
      <c r="B50" t="s">
        <v>4687</v>
      </c>
      <c r="C50">
        <v>1.006</v>
      </c>
      <c r="D50" s="1">
        <v>43282</v>
      </c>
      <c r="E50" s="9">
        <f t="shared" si="0"/>
        <v>2019</v>
      </c>
      <c r="F50" t="str">
        <f t="shared" si="1"/>
        <v>WCGW</v>
      </c>
    </row>
    <row r="51" spans="1:6">
      <c r="A51" t="s">
        <v>4688</v>
      </c>
      <c r="B51" t="s">
        <v>4689</v>
      </c>
      <c r="C51">
        <v>1.0467</v>
      </c>
      <c r="D51" s="1">
        <v>43282</v>
      </c>
      <c r="E51" s="9">
        <f t="shared" si="0"/>
        <v>2019</v>
      </c>
      <c r="F51" t="str">
        <f t="shared" si="1"/>
        <v>WCKN</v>
      </c>
    </row>
    <row r="52" spans="1:6">
      <c r="A52" t="s">
        <v>4690</v>
      </c>
      <c r="B52" t="s">
        <v>4691</v>
      </c>
      <c r="C52">
        <v>1.046</v>
      </c>
      <c r="D52" s="1">
        <v>43282</v>
      </c>
      <c r="E52" s="9">
        <f t="shared" si="0"/>
        <v>2019</v>
      </c>
      <c r="F52" t="str">
        <f t="shared" si="1"/>
        <v>WCKT</v>
      </c>
    </row>
    <row r="53" spans="1:6">
      <c r="A53" t="s">
        <v>4692</v>
      </c>
      <c r="B53" t="s">
        <v>4693</v>
      </c>
      <c r="C53">
        <v>1.0385</v>
      </c>
      <c r="D53" s="1">
        <v>43282</v>
      </c>
      <c r="E53" s="9">
        <f t="shared" si="0"/>
        <v>2019</v>
      </c>
      <c r="F53" t="str">
        <f t="shared" si="1"/>
        <v>WCLN</v>
      </c>
    </row>
    <row r="54" spans="1:6">
      <c r="A54" t="s">
        <v>4694</v>
      </c>
      <c r="B54" t="s">
        <v>4695</v>
      </c>
      <c r="C54">
        <v>1.0184</v>
      </c>
      <c r="D54" s="1">
        <v>43282</v>
      </c>
      <c r="E54" s="9">
        <f t="shared" si="0"/>
        <v>2019</v>
      </c>
      <c r="F54" t="str">
        <f t="shared" si="1"/>
        <v>WCLP</v>
      </c>
    </row>
    <row r="55" spans="1:6">
      <c r="A55" t="s">
        <v>4696</v>
      </c>
      <c r="B55" t="s">
        <v>4697</v>
      </c>
      <c r="C55">
        <v>1.0186999999999999</v>
      </c>
      <c r="D55" s="1">
        <v>43282</v>
      </c>
      <c r="E55" s="9">
        <f t="shared" si="0"/>
        <v>2019</v>
      </c>
      <c r="F55" t="str">
        <f t="shared" si="1"/>
        <v>WCOE</v>
      </c>
    </row>
    <row r="56" spans="1:6">
      <c r="A56" t="s">
        <v>4698</v>
      </c>
      <c r="B56" t="s">
        <v>4699</v>
      </c>
      <c r="C56">
        <v>1.0389999999999999</v>
      </c>
      <c r="D56" s="1">
        <v>43282</v>
      </c>
      <c r="E56" s="9">
        <f t="shared" si="0"/>
        <v>2019</v>
      </c>
      <c r="F56" t="str">
        <f t="shared" si="1"/>
        <v>WCOL</v>
      </c>
    </row>
    <row r="57" spans="1:6">
      <c r="A57" t="s">
        <v>4700</v>
      </c>
      <c r="B57" t="s">
        <v>4701</v>
      </c>
      <c r="C57">
        <v>1.0150999999999999</v>
      </c>
      <c r="D57" s="1">
        <v>43282</v>
      </c>
      <c r="E57" s="9">
        <f t="shared" si="0"/>
        <v>2019</v>
      </c>
      <c r="F57" t="str">
        <f t="shared" si="1"/>
        <v>WCPN</v>
      </c>
    </row>
    <row r="58" spans="1:6">
      <c r="A58" t="s">
        <v>4702</v>
      </c>
      <c r="B58" t="s">
        <v>4703</v>
      </c>
      <c r="C58">
        <v>0.99739999999999995</v>
      </c>
      <c r="D58" s="1">
        <v>43282</v>
      </c>
      <c r="E58" s="9">
        <f t="shared" si="0"/>
        <v>2019</v>
      </c>
      <c r="F58" t="str">
        <f t="shared" si="1"/>
        <v>WCPS</v>
      </c>
    </row>
    <row r="59" spans="1:6">
      <c r="A59" t="s">
        <v>4704</v>
      </c>
      <c r="B59" t="s">
        <v>4705</v>
      </c>
      <c r="C59">
        <v>1.0474000000000001</v>
      </c>
      <c r="D59" s="1">
        <v>43282</v>
      </c>
      <c r="E59" s="9">
        <f t="shared" si="0"/>
        <v>2019</v>
      </c>
      <c r="F59" t="str">
        <f t="shared" si="1"/>
        <v>WCTE</v>
      </c>
    </row>
    <row r="60" spans="1:6">
      <c r="A60" t="s">
        <v>4706</v>
      </c>
      <c r="B60" t="s">
        <v>4707</v>
      </c>
      <c r="C60">
        <v>1.1041000000000001</v>
      </c>
      <c r="D60" s="1">
        <v>43282</v>
      </c>
      <c r="E60" s="9">
        <f t="shared" si="0"/>
        <v>2019</v>
      </c>
      <c r="F60" t="str">
        <f t="shared" si="1"/>
        <v>WCUN</v>
      </c>
    </row>
    <row r="61" spans="1:6">
      <c r="A61" t="s">
        <v>4708</v>
      </c>
      <c r="B61" t="s">
        <v>4709</v>
      </c>
      <c r="C61">
        <v>1.0310999999999999</v>
      </c>
      <c r="D61" s="1">
        <v>43282</v>
      </c>
      <c r="E61" s="9">
        <f t="shared" si="0"/>
        <v>2019</v>
      </c>
      <c r="F61" t="str">
        <f t="shared" si="1"/>
        <v>WCVE</v>
      </c>
    </row>
    <row r="62" spans="1:6">
      <c r="A62" t="s">
        <v>4710</v>
      </c>
      <c r="B62" t="s">
        <v>4711</v>
      </c>
      <c r="C62">
        <v>1.0451999999999999</v>
      </c>
      <c r="D62" s="1">
        <v>43282</v>
      </c>
      <c r="E62" s="9">
        <f t="shared" si="0"/>
        <v>2019</v>
      </c>
      <c r="F62" t="str">
        <f t="shared" si="1"/>
        <v>WDTN</v>
      </c>
    </row>
    <row r="63" spans="1:6">
      <c r="A63" t="s">
        <v>4712</v>
      </c>
      <c r="B63" t="s">
        <v>4713</v>
      </c>
      <c r="C63">
        <v>1.0104</v>
      </c>
      <c r="D63" s="1">
        <v>43282</v>
      </c>
      <c r="E63" s="9">
        <f t="shared" si="0"/>
        <v>2019</v>
      </c>
      <c r="F63" t="str">
        <f t="shared" si="1"/>
        <v>WDUR</v>
      </c>
    </row>
    <row r="64" spans="1:6">
      <c r="A64" t="s">
        <v>4714</v>
      </c>
      <c r="B64" t="s">
        <v>4715</v>
      </c>
      <c r="C64">
        <v>1.0474000000000001</v>
      </c>
      <c r="D64" s="1">
        <v>43282</v>
      </c>
      <c r="E64" s="9">
        <f t="shared" si="0"/>
        <v>2019</v>
      </c>
      <c r="F64" t="str">
        <f t="shared" si="1"/>
        <v>WEDD</v>
      </c>
    </row>
    <row r="65" spans="1:6">
      <c r="A65" t="s">
        <v>4716</v>
      </c>
      <c r="B65" t="s">
        <v>4717</v>
      </c>
      <c r="C65">
        <v>1.0495000000000001</v>
      </c>
      <c r="D65" s="1">
        <v>43282</v>
      </c>
      <c r="E65" s="9">
        <f t="shared" si="0"/>
        <v>2019</v>
      </c>
      <c r="F65" t="str">
        <f t="shared" si="1"/>
        <v>WEDG</v>
      </c>
    </row>
    <row r="66" spans="1:6">
      <c r="A66" t="s">
        <v>4718</v>
      </c>
      <c r="B66" t="s">
        <v>4719</v>
      </c>
      <c r="C66">
        <v>1.0269999999999999</v>
      </c>
      <c r="D66" s="1">
        <v>43282</v>
      </c>
      <c r="E66" s="9">
        <f t="shared" si="0"/>
        <v>2019</v>
      </c>
      <c r="F66" t="str">
        <f t="shared" si="1"/>
        <v>WEMD</v>
      </c>
    </row>
    <row r="67" spans="1:6">
      <c r="A67" t="s">
        <v>4720</v>
      </c>
      <c r="B67" t="s">
        <v>4721</v>
      </c>
      <c r="C67">
        <v>1.0384</v>
      </c>
      <c r="D67" s="1">
        <v>43282</v>
      </c>
      <c r="E67" s="9">
        <f t="shared" ref="E67:E130" si="2">YEAR(D67)+1</f>
        <v>2019</v>
      </c>
      <c r="F67" t="str">
        <f t="shared" ref="F67:F130" si="3">A67</f>
        <v>WENB</v>
      </c>
    </row>
    <row r="68" spans="1:6">
      <c r="A68" t="s">
        <v>4722</v>
      </c>
      <c r="B68" t="s">
        <v>4723</v>
      </c>
      <c r="C68">
        <v>1.0442</v>
      </c>
      <c r="D68" s="1">
        <v>43282</v>
      </c>
      <c r="E68" s="9">
        <f t="shared" si="2"/>
        <v>2019</v>
      </c>
      <c r="F68" t="str">
        <f t="shared" si="3"/>
        <v>WFFD</v>
      </c>
    </row>
    <row r="69" spans="1:6">
      <c r="A69" t="s">
        <v>4724</v>
      </c>
      <c r="B69" t="s">
        <v>4725</v>
      </c>
      <c r="C69">
        <v>1.0477000000000001</v>
      </c>
      <c r="D69" s="1">
        <v>43282</v>
      </c>
      <c r="E69" s="9">
        <f t="shared" si="2"/>
        <v>2019</v>
      </c>
      <c r="F69" t="str">
        <f t="shared" si="3"/>
        <v>WFRT</v>
      </c>
    </row>
    <row r="70" spans="1:6">
      <c r="A70" t="s">
        <v>4726</v>
      </c>
      <c r="B70" t="s">
        <v>4727</v>
      </c>
      <c r="C70">
        <v>1.0661</v>
      </c>
      <c r="D70" s="1">
        <v>43282</v>
      </c>
      <c r="E70" s="9">
        <f t="shared" si="2"/>
        <v>2019</v>
      </c>
      <c r="F70" t="str">
        <f t="shared" si="3"/>
        <v>WGGV</v>
      </c>
    </row>
    <row r="71" spans="1:6">
      <c r="A71" t="s">
        <v>4728</v>
      </c>
      <c r="B71" t="s">
        <v>4729</v>
      </c>
      <c r="C71">
        <v>1.0301</v>
      </c>
      <c r="D71" s="1">
        <v>43282</v>
      </c>
      <c r="E71" s="9">
        <f t="shared" si="2"/>
        <v>2019</v>
      </c>
      <c r="F71" t="str">
        <f t="shared" si="3"/>
        <v>WGNI</v>
      </c>
    </row>
    <row r="72" spans="1:6">
      <c r="A72" t="s">
        <v>4730</v>
      </c>
      <c r="B72" t="s">
        <v>4731</v>
      </c>
      <c r="C72">
        <v>1.0317000000000001</v>
      </c>
      <c r="D72" s="1">
        <v>43282</v>
      </c>
      <c r="E72" s="9">
        <f t="shared" si="2"/>
        <v>2019</v>
      </c>
      <c r="F72" t="str">
        <f t="shared" si="3"/>
        <v>WGNL</v>
      </c>
    </row>
    <row r="73" spans="1:6">
      <c r="A73" t="s">
        <v>4732</v>
      </c>
      <c r="B73" t="s">
        <v>4733</v>
      </c>
      <c r="C73">
        <v>1.0371999999999999</v>
      </c>
      <c r="D73" s="1">
        <v>43282</v>
      </c>
      <c r="E73" s="9">
        <f t="shared" si="2"/>
        <v>2019</v>
      </c>
      <c r="F73" t="str">
        <f t="shared" si="3"/>
        <v>WGNN</v>
      </c>
    </row>
    <row r="74" spans="1:6">
      <c r="A74" t="s">
        <v>4734</v>
      </c>
      <c r="B74" t="s">
        <v>4735</v>
      </c>
      <c r="C74">
        <v>1.0104</v>
      </c>
      <c r="D74" s="1">
        <v>43282</v>
      </c>
      <c r="E74" s="9">
        <f t="shared" si="2"/>
        <v>2019</v>
      </c>
      <c r="F74" t="str">
        <f t="shared" si="3"/>
        <v>WGTN</v>
      </c>
    </row>
    <row r="75" spans="1:6">
      <c r="A75" t="s">
        <v>4736</v>
      </c>
      <c r="B75" t="s">
        <v>4737</v>
      </c>
      <c r="C75">
        <v>1.0456000000000001</v>
      </c>
      <c r="D75" s="1">
        <v>43282</v>
      </c>
      <c r="E75" s="9">
        <f t="shared" si="2"/>
        <v>2019</v>
      </c>
      <c r="F75" t="str">
        <f t="shared" si="3"/>
        <v>WHAY</v>
      </c>
    </row>
    <row r="76" spans="1:6">
      <c r="A76" t="s">
        <v>4738</v>
      </c>
      <c r="B76" t="s">
        <v>4739</v>
      </c>
      <c r="C76">
        <v>1.0474000000000001</v>
      </c>
      <c r="D76" s="1">
        <v>43282</v>
      </c>
      <c r="E76" s="9">
        <f t="shared" si="2"/>
        <v>2019</v>
      </c>
      <c r="F76" t="str">
        <f t="shared" si="3"/>
        <v>WHBK</v>
      </c>
    </row>
    <row r="77" spans="1:6">
      <c r="A77" t="s">
        <v>4740</v>
      </c>
      <c r="B77" t="s">
        <v>4741</v>
      </c>
      <c r="C77">
        <v>1.0753999999999999</v>
      </c>
      <c r="D77" s="1">
        <v>43282</v>
      </c>
      <c r="E77" s="9">
        <f t="shared" si="2"/>
        <v>2019</v>
      </c>
      <c r="F77" t="str">
        <f t="shared" si="3"/>
        <v>WHEP</v>
      </c>
    </row>
    <row r="78" spans="1:6">
      <c r="A78" t="s">
        <v>4742</v>
      </c>
      <c r="B78" t="s">
        <v>4743</v>
      </c>
      <c r="C78">
        <v>1.0459000000000001</v>
      </c>
      <c r="D78" s="1">
        <v>43282</v>
      </c>
      <c r="E78" s="9">
        <f t="shared" si="2"/>
        <v>2019</v>
      </c>
      <c r="F78" t="str">
        <f t="shared" si="3"/>
        <v>WHFS</v>
      </c>
    </row>
    <row r="79" spans="1:6">
      <c r="A79" t="s">
        <v>4744</v>
      </c>
      <c r="B79" t="s">
        <v>4745</v>
      </c>
      <c r="C79">
        <v>1.034</v>
      </c>
      <c r="D79" s="1">
        <v>43282</v>
      </c>
      <c r="E79" s="9">
        <f t="shared" si="2"/>
        <v>2019</v>
      </c>
      <c r="F79" t="str">
        <f t="shared" si="3"/>
        <v>WHIS</v>
      </c>
    </row>
    <row r="80" spans="1:6">
      <c r="A80" t="s">
        <v>4746</v>
      </c>
      <c r="B80" t="s">
        <v>4747</v>
      </c>
      <c r="C80">
        <v>1.0395000000000001</v>
      </c>
      <c r="D80" s="1">
        <v>43282</v>
      </c>
      <c r="E80" s="9">
        <f t="shared" si="2"/>
        <v>2019</v>
      </c>
      <c r="F80" t="str">
        <f t="shared" si="3"/>
        <v>WHZM</v>
      </c>
    </row>
    <row r="81" spans="1:6">
      <c r="A81" t="s">
        <v>4748</v>
      </c>
      <c r="B81" t="s">
        <v>4749</v>
      </c>
      <c r="C81">
        <v>1.0467</v>
      </c>
      <c r="D81" s="1">
        <v>43282</v>
      </c>
      <c r="E81" s="9">
        <f t="shared" si="2"/>
        <v>2019</v>
      </c>
      <c r="F81" t="str">
        <f t="shared" si="3"/>
        <v>WJDP</v>
      </c>
    </row>
    <row r="82" spans="1:6">
      <c r="A82" t="s">
        <v>4750</v>
      </c>
      <c r="B82" t="s">
        <v>4751</v>
      </c>
      <c r="C82">
        <v>1.0457000000000001</v>
      </c>
      <c r="D82" s="1">
        <v>43282</v>
      </c>
      <c r="E82" s="9">
        <f t="shared" si="2"/>
        <v>2019</v>
      </c>
      <c r="F82" t="str">
        <f t="shared" si="3"/>
        <v>WJTE</v>
      </c>
    </row>
    <row r="83" spans="1:6">
      <c r="A83" t="s">
        <v>4752</v>
      </c>
      <c r="B83" t="s">
        <v>4753</v>
      </c>
      <c r="C83">
        <v>1.052</v>
      </c>
      <c r="D83" s="1">
        <v>43282</v>
      </c>
      <c r="E83" s="9">
        <f t="shared" si="2"/>
        <v>2019</v>
      </c>
      <c r="F83" t="str">
        <f t="shared" si="3"/>
        <v>WKAT</v>
      </c>
    </row>
    <row r="84" spans="1:6">
      <c r="A84" t="s">
        <v>4754</v>
      </c>
      <c r="B84" t="s">
        <v>4450</v>
      </c>
      <c r="C84">
        <v>1.046</v>
      </c>
      <c r="D84" s="1">
        <v>43282</v>
      </c>
      <c r="E84" s="9">
        <f t="shared" si="2"/>
        <v>2019</v>
      </c>
      <c r="F84" t="str">
        <f t="shared" si="3"/>
        <v>WKDA</v>
      </c>
    </row>
    <row r="85" spans="1:6">
      <c r="A85" t="s">
        <v>4755</v>
      </c>
      <c r="B85" t="s">
        <v>4756</v>
      </c>
      <c r="C85">
        <v>1.0327</v>
      </c>
      <c r="D85" s="1">
        <v>43282</v>
      </c>
      <c r="E85" s="9">
        <f t="shared" si="2"/>
        <v>2019</v>
      </c>
      <c r="F85" t="str">
        <f t="shared" si="3"/>
        <v>WKDL</v>
      </c>
    </row>
    <row r="86" spans="1:6">
      <c r="A86" t="s">
        <v>4757</v>
      </c>
      <c r="B86" t="s">
        <v>4758</v>
      </c>
      <c r="C86">
        <v>1.0445</v>
      </c>
      <c r="D86" s="1">
        <v>43282</v>
      </c>
      <c r="E86" s="9">
        <f t="shared" si="2"/>
        <v>2019</v>
      </c>
      <c r="F86" t="str">
        <f t="shared" si="3"/>
        <v>WKDN</v>
      </c>
    </row>
    <row r="87" spans="1:6">
      <c r="A87" t="s">
        <v>4759</v>
      </c>
      <c r="B87" t="s">
        <v>4760</v>
      </c>
      <c r="C87">
        <v>1.0349999999999999</v>
      </c>
      <c r="D87" s="1">
        <v>43282</v>
      </c>
      <c r="E87" s="9">
        <f t="shared" si="2"/>
        <v>2019</v>
      </c>
      <c r="F87" t="str">
        <f t="shared" si="3"/>
        <v>WKDP</v>
      </c>
    </row>
    <row r="88" spans="1:6">
      <c r="A88" t="s">
        <v>4761</v>
      </c>
      <c r="B88" t="s">
        <v>4762</v>
      </c>
      <c r="C88">
        <v>1.0793999999999999</v>
      </c>
      <c r="D88" s="1">
        <v>43282</v>
      </c>
      <c r="E88" s="9">
        <f t="shared" si="2"/>
        <v>2019</v>
      </c>
      <c r="F88" t="str">
        <f t="shared" si="3"/>
        <v>WKEL</v>
      </c>
    </row>
    <row r="89" spans="1:6">
      <c r="A89" t="s">
        <v>4763</v>
      </c>
      <c r="B89" t="s">
        <v>4764</v>
      </c>
      <c r="C89">
        <v>1.0107999999999999</v>
      </c>
      <c r="D89" s="1">
        <v>43282</v>
      </c>
      <c r="E89" s="9">
        <f t="shared" si="2"/>
        <v>2019</v>
      </c>
      <c r="F89" t="str">
        <f t="shared" si="3"/>
        <v>WKEM</v>
      </c>
    </row>
    <row r="90" spans="1:6">
      <c r="A90" t="s">
        <v>4765</v>
      </c>
      <c r="B90" t="s">
        <v>4766</v>
      </c>
      <c r="C90">
        <v>1.0412999999999999</v>
      </c>
      <c r="D90" s="1">
        <v>43282</v>
      </c>
      <c r="E90" s="9">
        <f t="shared" si="2"/>
        <v>2019</v>
      </c>
      <c r="F90" t="str">
        <f t="shared" si="3"/>
        <v>WKMC</v>
      </c>
    </row>
    <row r="91" spans="1:6">
      <c r="A91" t="s">
        <v>4767</v>
      </c>
      <c r="B91" t="s">
        <v>4768</v>
      </c>
      <c r="C91">
        <v>1.032</v>
      </c>
      <c r="D91" s="1">
        <v>43282</v>
      </c>
      <c r="E91" s="9">
        <f t="shared" si="2"/>
        <v>2019</v>
      </c>
      <c r="F91" t="str">
        <f t="shared" si="3"/>
        <v>WKMK</v>
      </c>
    </row>
    <row r="92" spans="1:6">
      <c r="A92" t="s">
        <v>4769</v>
      </c>
      <c r="B92" t="s">
        <v>4770</v>
      </c>
      <c r="C92">
        <v>1.0454000000000001</v>
      </c>
      <c r="D92" s="1">
        <v>43282</v>
      </c>
      <c r="E92" s="9">
        <f t="shared" si="2"/>
        <v>2019</v>
      </c>
      <c r="F92" t="str">
        <f t="shared" si="3"/>
        <v>WKMM</v>
      </c>
    </row>
    <row r="93" spans="1:6">
      <c r="A93" t="s">
        <v>4771</v>
      </c>
      <c r="B93" t="s">
        <v>4772</v>
      </c>
      <c r="C93">
        <v>1.0323</v>
      </c>
      <c r="D93" s="1">
        <v>43282</v>
      </c>
      <c r="E93" s="9">
        <f t="shared" si="2"/>
        <v>2019</v>
      </c>
      <c r="F93" t="str">
        <f t="shared" si="3"/>
        <v>WKND</v>
      </c>
    </row>
    <row r="94" spans="1:6">
      <c r="A94" t="s">
        <v>4773</v>
      </c>
      <c r="B94" t="s">
        <v>4774</v>
      </c>
      <c r="C94">
        <v>1.0281</v>
      </c>
      <c r="D94" s="1">
        <v>43282</v>
      </c>
      <c r="E94" s="9">
        <f t="shared" si="2"/>
        <v>2019</v>
      </c>
      <c r="F94" t="str">
        <f t="shared" si="3"/>
        <v>WKOJ</v>
      </c>
    </row>
    <row r="95" spans="1:6">
      <c r="A95" t="s">
        <v>4775</v>
      </c>
      <c r="B95" t="s">
        <v>4776</v>
      </c>
      <c r="C95">
        <v>1.0301</v>
      </c>
      <c r="D95" s="1">
        <v>43282</v>
      </c>
      <c r="E95" s="9">
        <f t="shared" si="2"/>
        <v>2019</v>
      </c>
      <c r="F95" t="str">
        <f t="shared" si="3"/>
        <v>WKPS</v>
      </c>
    </row>
    <row r="96" spans="1:6">
      <c r="A96" t="s">
        <v>4777</v>
      </c>
      <c r="B96" t="s">
        <v>4778</v>
      </c>
      <c r="C96">
        <v>1.0467</v>
      </c>
      <c r="D96" s="1">
        <v>43282</v>
      </c>
      <c r="E96" s="9">
        <f t="shared" si="2"/>
        <v>2019</v>
      </c>
      <c r="F96" t="str">
        <f t="shared" si="3"/>
        <v>WLDE</v>
      </c>
    </row>
    <row r="97" spans="1:6">
      <c r="A97" t="s">
        <v>4779</v>
      </c>
      <c r="B97" t="s">
        <v>4780</v>
      </c>
      <c r="C97">
        <v>1.0471999999999999</v>
      </c>
      <c r="D97" s="1">
        <v>43282</v>
      </c>
      <c r="E97" s="9">
        <f t="shared" si="2"/>
        <v>2019</v>
      </c>
      <c r="F97" t="str">
        <f t="shared" si="3"/>
        <v>WMAG</v>
      </c>
    </row>
    <row r="98" spans="1:6">
      <c r="A98" t="s">
        <v>4781</v>
      </c>
      <c r="B98" t="s">
        <v>4782</v>
      </c>
      <c r="C98">
        <v>1.0597000000000001</v>
      </c>
      <c r="D98" s="1">
        <v>43282</v>
      </c>
      <c r="E98" s="9">
        <f t="shared" si="2"/>
        <v>2019</v>
      </c>
      <c r="F98" t="str">
        <f t="shared" si="3"/>
        <v>WMBR</v>
      </c>
    </row>
    <row r="99" spans="1:6">
      <c r="A99" t="s">
        <v>4783</v>
      </c>
      <c r="B99" t="s">
        <v>4784</v>
      </c>
      <c r="C99">
        <v>1.0521</v>
      </c>
      <c r="D99" s="1">
        <v>43282</v>
      </c>
      <c r="E99" s="9">
        <f t="shared" si="2"/>
        <v>2019</v>
      </c>
      <c r="F99" t="str">
        <f t="shared" si="3"/>
        <v>WMCR</v>
      </c>
    </row>
    <row r="100" spans="1:6">
      <c r="A100" t="s">
        <v>4785</v>
      </c>
      <c r="B100" t="s">
        <v>4786</v>
      </c>
      <c r="C100">
        <v>1.0313000000000001</v>
      </c>
      <c r="D100" s="1">
        <v>43282</v>
      </c>
      <c r="E100" s="9">
        <f t="shared" si="2"/>
        <v>2019</v>
      </c>
      <c r="F100" t="str">
        <f t="shared" si="3"/>
        <v>WMDN</v>
      </c>
    </row>
    <row r="101" spans="1:6">
      <c r="A101" t="s">
        <v>4787</v>
      </c>
      <c r="B101" t="s">
        <v>4788</v>
      </c>
      <c r="C101">
        <v>1.0434000000000001</v>
      </c>
      <c r="D101" s="1">
        <v>43282</v>
      </c>
      <c r="E101" s="9">
        <f t="shared" si="2"/>
        <v>2019</v>
      </c>
      <c r="F101" t="str">
        <f t="shared" si="3"/>
        <v>WMDY</v>
      </c>
    </row>
    <row r="102" spans="1:6">
      <c r="A102" t="s">
        <v>4789</v>
      </c>
      <c r="B102" t="s">
        <v>4790</v>
      </c>
      <c r="C102">
        <v>1.0385</v>
      </c>
      <c r="D102" s="1">
        <v>43282</v>
      </c>
      <c r="E102" s="9">
        <f t="shared" si="2"/>
        <v>2019</v>
      </c>
      <c r="F102" t="str">
        <f t="shared" si="3"/>
        <v>WMED</v>
      </c>
    </row>
    <row r="103" spans="1:6">
      <c r="A103" t="s">
        <v>4791</v>
      </c>
      <c r="B103" t="s">
        <v>4792</v>
      </c>
      <c r="C103">
        <v>1.0611999999999999</v>
      </c>
      <c r="D103" s="1">
        <v>43282</v>
      </c>
      <c r="E103" s="9">
        <f t="shared" si="2"/>
        <v>2019</v>
      </c>
      <c r="F103" t="str">
        <f t="shared" si="3"/>
        <v>WMER</v>
      </c>
    </row>
    <row r="104" spans="1:6">
      <c r="A104" t="s">
        <v>4793</v>
      </c>
      <c r="B104" t="s">
        <v>4794</v>
      </c>
      <c r="C104">
        <v>0.99570000000000003</v>
      </c>
      <c r="D104" s="1">
        <v>43282</v>
      </c>
      <c r="E104" s="9">
        <f t="shared" si="2"/>
        <v>2019</v>
      </c>
      <c r="F104" t="str">
        <f t="shared" si="3"/>
        <v>WMGA</v>
      </c>
    </row>
    <row r="105" spans="1:6">
      <c r="A105" t="s">
        <v>4795</v>
      </c>
      <c r="B105" t="s">
        <v>4796</v>
      </c>
      <c r="C105">
        <v>1.0243</v>
      </c>
      <c r="D105" s="1">
        <v>43282</v>
      </c>
      <c r="E105" s="9">
        <f t="shared" si="2"/>
        <v>2019</v>
      </c>
      <c r="F105" t="str">
        <f t="shared" si="3"/>
        <v>WMHA</v>
      </c>
    </row>
    <row r="106" spans="1:6">
      <c r="A106" t="s">
        <v>4797</v>
      </c>
      <c r="B106" t="s">
        <v>4798</v>
      </c>
      <c r="C106">
        <v>1.0459000000000001</v>
      </c>
      <c r="D106" s="1">
        <v>43282</v>
      </c>
      <c r="E106" s="9">
        <f t="shared" si="2"/>
        <v>2019</v>
      </c>
      <c r="F106" t="str">
        <f t="shared" si="3"/>
        <v>WMIL</v>
      </c>
    </row>
    <row r="107" spans="1:6">
      <c r="A107" t="s">
        <v>4799</v>
      </c>
      <c r="B107" t="s">
        <v>4800</v>
      </c>
      <c r="C107">
        <v>1.0183</v>
      </c>
      <c r="D107" s="1">
        <v>43282</v>
      </c>
      <c r="E107" s="9">
        <f t="shared" si="2"/>
        <v>2019</v>
      </c>
      <c r="F107" t="str">
        <f t="shared" si="3"/>
        <v>WMJP</v>
      </c>
    </row>
    <row r="108" spans="1:6">
      <c r="A108" t="s">
        <v>4801</v>
      </c>
      <c r="B108" t="s">
        <v>4802</v>
      </c>
      <c r="C108">
        <v>1.0402</v>
      </c>
      <c r="D108" s="1">
        <v>43282</v>
      </c>
      <c r="E108" s="9">
        <f t="shared" si="2"/>
        <v>2019</v>
      </c>
      <c r="F108" t="str">
        <f t="shared" si="3"/>
        <v>WMJX</v>
      </c>
    </row>
    <row r="109" spans="1:6">
      <c r="A109" t="s">
        <v>4803</v>
      </c>
      <c r="B109" t="s">
        <v>4804</v>
      </c>
      <c r="C109">
        <v>1.0419</v>
      </c>
      <c r="D109" s="1">
        <v>43282</v>
      </c>
      <c r="E109" s="9">
        <f t="shared" si="2"/>
        <v>2019</v>
      </c>
      <c r="F109" t="str">
        <f t="shared" si="3"/>
        <v>WMLG</v>
      </c>
    </row>
    <row r="110" spans="1:6">
      <c r="A110" t="s">
        <v>4805</v>
      </c>
      <c r="B110" t="s">
        <v>4806</v>
      </c>
      <c r="C110">
        <v>1.0549999999999999</v>
      </c>
      <c r="D110" s="1">
        <v>43282</v>
      </c>
      <c r="E110" s="9">
        <f t="shared" si="2"/>
        <v>2019</v>
      </c>
      <c r="F110" t="str">
        <f t="shared" si="3"/>
        <v>WMOR</v>
      </c>
    </row>
    <row r="111" spans="1:6">
      <c r="A111" t="s">
        <v>4807</v>
      </c>
      <c r="B111" t="s">
        <v>4808</v>
      </c>
      <c r="C111">
        <v>1.0463</v>
      </c>
      <c r="D111" s="1">
        <v>43282</v>
      </c>
      <c r="E111" s="9">
        <f t="shared" si="2"/>
        <v>2019</v>
      </c>
      <c r="F111" t="str">
        <f t="shared" si="3"/>
        <v>WMOY</v>
      </c>
    </row>
    <row r="112" spans="1:6">
      <c r="A112" t="s">
        <v>4809</v>
      </c>
      <c r="B112" t="s">
        <v>4810</v>
      </c>
      <c r="C112">
        <v>1</v>
      </c>
      <c r="D112" s="1">
        <v>43282</v>
      </c>
      <c r="E112" s="9">
        <f t="shared" si="2"/>
        <v>2019</v>
      </c>
      <c r="F112" t="str">
        <f t="shared" si="3"/>
        <v>WMPS</v>
      </c>
    </row>
    <row r="113" spans="1:6">
      <c r="A113" t="s">
        <v>4811</v>
      </c>
      <c r="B113" t="s">
        <v>4812</v>
      </c>
      <c r="C113">
        <v>1.0130999999999999</v>
      </c>
      <c r="D113" s="1">
        <v>43282</v>
      </c>
      <c r="E113" s="9">
        <f t="shared" si="2"/>
        <v>2019</v>
      </c>
      <c r="F113" t="str">
        <f t="shared" si="3"/>
        <v>WMRR</v>
      </c>
    </row>
    <row r="114" spans="1:6">
      <c r="A114" t="s">
        <v>4813</v>
      </c>
      <c r="B114" t="s">
        <v>4814</v>
      </c>
      <c r="C114">
        <v>1.0995999999999999</v>
      </c>
      <c r="D114" s="1">
        <v>43282</v>
      </c>
      <c r="E114" s="9">
        <f t="shared" si="2"/>
        <v>2019</v>
      </c>
      <c r="F114" t="str">
        <f t="shared" si="3"/>
        <v>WMRV</v>
      </c>
    </row>
    <row r="115" spans="1:6">
      <c r="A115" t="s">
        <v>4815</v>
      </c>
      <c r="B115" t="s">
        <v>4816</v>
      </c>
      <c r="C115">
        <v>1.034</v>
      </c>
      <c r="D115" s="1">
        <v>43282</v>
      </c>
      <c r="E115" s="9">
        <f t="shared" si="2"/>
        <v>2019</v>
      </c>
      <c r="F115" t="str">
        <f t="shared" si="3"/>
        <v>WMSR</v>
      </c>
    </row>
    <row r="116" spans="1:6">
      <c r="A116" t="s">
        <v>4817</v>
      </c>
      <c r="B116" t="s">
        <v>4818</v>
      </c>
      <c r="C116">
        <v>1.0241</v>
      </c>
      <c r="D116" s="1">
        <v>43282</v>
      </c>
      <c r="E116" s="9">
        <f t="shared" si="2"/>
        <v>2019</v>
      </c>
      <c r="F116" t="str">
        <f t="shared" si="3"/>
        <v>WMSS</v>
      </c>
    </row>
    <row r="117" spans="1:6">
      <c r="A117" t="s">
        <v>4819</v>
      </c>
      <c r="B117" t="s">
        <v>4820</v>
      </c>
      <c r="C117">
        <v>1.0469999999999999</v>
      </c>
      <c r="D117" s="1">
        <v>43282</v>
      </c>
      <c r="E117" s="9">
        <f t="shared" si="2"/>
        <v>2019</v>
      </c>
      <c r="F117" t="str">
        <f t="shared" si="3"/>
        <v>WMUC</v>
      </c>
    </row>
    <row r="118" spans="1:6">
      <c r="A118" t="s">
        <v>4821</v>
      </c>
      <c r="B118" t="s">
        <v>4822</v>
      </c>
      <c r="C118">
        <v>1.0476000000000001</v>
      </c>
      <c r="D118" s="1">
        <v>43282</v>
      </c>
      <c r="E118" s="9">
        <f t="shared" si="2"/>
        <v>2019</v>
      </c>
      <c r="F118" t="str">
        <f t="shared" si="3"/>
        <v>WMUL</v>
      </c>
    </row>
    <row r="119" spans="1:6">
      <c r="A119" t="s">
        <v>4823</v>
      </c>
      <c r="B119" t="s">
        <v>4824</v>
      </c>
      <c r="C119">
        <v>1.0290999999999999</v>
      </c>
      <c r="D119" s="1">
        <v>43282</v>
      </c>
      <c r="E119" s="9">
        <f t="shared" si="2"/>
        <v>2019</v>
      </c>
      <c r="F119" t="str">
        <f t="shared" si="3"/>
        <v>WMUR</v>
      </c>
    </row>
    <row r="120" spans="1:6">
      <c r="A120" t="s">
        <v>4825</v>
      </c>
      <c r="B120" t="s">
        <v>4826</v>
      </c>
      <c r="C120">
        <v>1.0571999999999999</v>
      </c>
      <c r="D120" s="1">
        <v>43282</v>
      </c>
      <c r="E120" s="9">
        <f t="shared" si="2"/>
        <v>2019</v>
      </c>
      <c r="F120" t="str">
        <f t="shared" si="3"/>
        <v>WMWR</v>
      </c>
    </row>
    <row r="121" spans="1:6">
      <c r="A121" t="s">
        <v>4827</v>
      </c>
      <c r="B121" t="s">
        <v>4828</v>
      </c>
      <c r="C121">
        <v>1.0543</v>
      </c>
      <c r="D121" s="1">
        <v>43282</v>
      </c>
      <c r="E121" s="9">
        <f t="shared" si="2"/>
        <v>2019</v>
      </c>
      <c r="F121" t="str">
        <f t="shared" si="3"/>
        <v>WMYR</v>
      </c>
    </row>
    <row r="122" spans="1:6">
      <c r="A122" t="s">
        <v>4829</v>
      </c>
      <c r="B122" t="s">
        <v>4830</v>
      </c>
      <c r="C122">
        <v>1.0475000000000001</v>
      </c>
      <c r="D122" s="1">
        <v>43282</v>
      </c>
      <c r="E122" s="9">
        <f t="shared" si="2"/>
        <v>2019</v>
      </c>
      <c r="F122" t="str">
        <f t="shared" si="3"/>
        <v>WNBH</v>
      </c>
    </row>
    <row r="123" spans="1:6">
      <c r="A123" t="s">
        <v>4831</v>
      </c>
      <c r="B123" t="s">
        <v>4832</v>
      </c>
      <c r="C123">
        <v>1.0501</v>
      </c>
      <c r="D123" s="1">
        <v>43282</v>
      </c>
      <c r="E123" s="9">
        <f t="shared" si="2"/>
        <v>2019</v>
      </c>
      <c r="F123" t="str">
        <f t="shared" si="3"/>
        <v>WNED</v>
      </c>
    </row>
    <row r="124" spans="1:6">
      <c r="A124" t="s">
        <v>4833</v>
      </c>
      <c r="B124" t="s">
        <v>4834</v>
      </c>
      <c r="C124">
        <v>1.0759000000000001</v>
      </c>
      <c r="D124" s="1">
        <v>43282</v>
      </c>
      <c r="E124" s="9">
        <f t="shared" si="2"/>
        <v>2019</v>
      </c>
      <c r="F124" t="str">
        <f t="shared" si="3"/>
        <v>WNFL</v>
      </c>
    </row>
    <row r="125" spans="1:6">
      <c r="A125" t="s">
        <v>4835</v>
      </c>
      <c r="B125" t="s">
        <v>4581</v>
      </c>
      <c r="C125">
        <v>1.0246999999999999</v>
      </c>
      <c r="D125" s="1">
        <v>43282</v>
      </c>
      <c r="E125" s="9">
        <f t="shared" si="2"/>
        <v>2019</v>
      </c>
      <c r="F125" t="str">
        <f t="shared" si="3"/>
        <v>WNGK</v>
      </c>
    </row>
    <row r="126" spans="1:6">
      <c r="A126" t="s">
        <v>4836</v>
      </c>
      <c r="B126" t="s">
        <v>4837</v>
      </c>
      <c r="C126">
        <v>1.0271999999999999</v>
      </c>
      <c r="D126" s="1">
        <v>43282</v>
      </c>
      <c r="E126" s="9">
        <f t="shared" si="2"/>
        <v>2019</v>
      </c>
      <c r="F126" t="str">
        <f t="shared" si="3"/>
        <v>WNGN</v>
      </c>
    </row>
    <row r="127" spans="1:6">
      <c r="A127" t="s">
        <v>4838</v>
      </c>
      <c r="B127" t="s">
        <v>4839</v>
      </c>
      <c r="C127">
        <v>1.0643</v>
      </c>
      <c r="D127" s="1">
        <v>43282</v>
      </c>
      <c r="E127" s="9">
        <f t="shared" si="2"/>
        <v>2019</v>
      </c>
      <c r="F127" t="str">
        <f t="shared" si="3"/>
        <v>WNOR</v>
      </c>
    </row>
    <row r="128" spans="1:6">
      <c r="A128" t="s">
        <v>4840</v>
      </c>
      <c r="B128" t="s">
        <v>4841</v>
      </c>
      <c r="C128">
        <v>1.0448999999999999</v>
      </c>
      <c r="D128" s="1">
        <v>43282</v>
      </c>
      <c r="E128" s="9">
        <f t="shared" si="2"/>
        <v>2019</v>
      </c>
      <c r="F128" t="str">
        <f t="shared" si="3"/>
        <v>WNOW</v>
      </c>
    </row>
    <row r="129" spans="1:6">
      <c r="A129" t="s">
        <v>4842</v>
      </c>
      <c r="B129" t="s">
        <v>4843</v>
      </c>
      <c r="C129">
        <v>1.0462</v>
      </c>
      <c r="D129" s="1">
        <v>43282</v>
      </c>
      <c r="E129" s="9">
        <f t="shared" si="2"/>
        <v>2019</v>
      </c>
      <c r="F129" t="str">
        <f t="shared" si="3"/>
        <v>WNPH</v>
      </c>
    </row>
    <row r="130" spans="1:6">
      <c r="A130" t="s">
        <v>4844</v>
      </c>
      <c r="B130" t="s">
        <v>4845</v>
      </c>
      <c r="C130">
        <v>1.0526</v>
      </c>
      <c r="D130" s="1">
        <v>43282</v>
      </c>
      <c r="E130" s="9">
        <f t="shared" si="2"/>
        <v>2019</v>
      </c>
      <c r="F130" t="str">
        <f t="shared" si="3"/>
        <v>WOCN</v>
      </c>
    </row>
    <row r="131" spans="1:6">
      <c r="A131" t="s">
        <v>4846</v>
      </c>
      <c r="B131" t="s">
        <v>4847</v>
      </c>
      <c r="C131">
        <v>1.0462</v>
      </c>
      <c r="D131" s="1">
        <v>43282</v>
      </c>
      <c r="E131" s="9">
        <f t="shared" ref="E131:E194" si="4">YEAR(D131)+1</f>
        <v>2019</v>
      </c>
      <c r="F131" t="str">
        <f t="shared" ref="F131:F174" si="5">A131</f>
        <v>WOPK</v>
      </c>
    </row>
    <row r="132" spans="1:6">
      <c r="A132" t="s">
        <v>4848</v>
      </c>
      <c r="B132" t="s">
        <v>4849</v>
      </c>
      <c r="C132">
        <v>1.0485</v>
      </c>
      <c r="D132" s="1">
        <v>43282</v>
      </c>
      <c r="E132" s="9">
        <f t="shared" si="4"/>
        <v>2019</v>
      </c>
      <c r="F132" t="str">
        <f t="shared" si="5"/>
        <v>WPBY</v>
      </c>
    </row>
    <row r="133" spans="1:6">
      <c r="A133" t="s">
        <v>4850</v>
      </c>
      <c r="B133" t="s">
        <v>4851</v>
      </c>
      <c r="C133">
        <v>1.1691</v>
      </c>
      <c r="D133" s="1">
        <v>43282</v>
      </c>
      <c r="E133" s="9">
        <f t="shared" si="4"/>
        <v>2019</v>
      </c>
      <c r="F133" t="str">
        <f t="shared" si="5"/>
        <v>WPCY</v>
      </c>
    </row>
    <row r="134" spans="1:6">
      <c r="A134" t="s">
        <v>4852</v>
      </c>
      <c r="B134" t="s">
        <v>4853</v>
      </c>
      <c r="C134">
        <v>1.0065</v>
      </c>
      <c r="D134" s="1">
        <v>43282</v>
      </c>
      <c r="E134" s="9">
        <f t="shared" si="4"/>
        <v>2019</v>
      </c>
      <c r="F134" t="str">
        <f t="shared" si="5"/>
        <v>WPIC</v>
      </c>
    </row>
    <row r="135" spans="1:6">
      <c r="A135" t="s">
        <v>4854</v>
      </c>
      <c r="B135" t="s">
        <v>4855</v>
      </c>
      <c r="C135">
        <v>1.0322</v>
      </c>
      <c r="D135" s="1">
        <v>43282</v>
      </c>
      <c r="E135" s="9">
        <f t="shared" si="4"/>
        <v>2019</v>
      </c>
      <c r="F135" t="str">
        <f t="shared" si="5"/>
        <v>WPJR</v>
      </c>
    </row>
    <row r="136" spans="1:6">
      <c r="A136" t="s">
        <v>4856</v>
      </c>
      <c r="B136" t="s">
        <v>4857</v>
      </c>
      <c r="C136">
        <v>1.1686000000000001</v>
      </c>
      <c r="D136" s="1">
        <v>43282</v>
      </c>
      <c r="E136" s="9">
        <f t="shared" si="4"/>
        <v>2019</v>
      </c>
      <c r="F136" t="str">
        <f t="shared" si="5"/>
        <v>WPKS</v>
      </c>
    </row>
    <row r="137" spans="1:6">
      <c r="A137" t="s">
        <v>4858</v>
      </c>
      <c r="B137" t="s">
        <v>4859</v>
      </c>
      <c r="C137">
        <v>1.0222</v>
      </c>
      <c r="D137" s="1">
        <v>43282</v>
      </c>
      <c r="E137" s="9">
        <f t="shared" si="4"/>
        <v>2019</v>
      </c>
      <c r="F137" t="str">
        <f t="shared" si="5"/>
        <v>WPLD</v>
      </c>
    </row>
    <row r="138" spans="1:6">
      <c r="A138" t="s">
        <v>4860</v>
      </c>
      <c r="B138" t="s">
        <v>4861</v>
      </c>
      <c r="C138">
        <v>1.01</v>
      </c>
      <c r="D138" s="1">
        <v>43282</v>
      </c>
      <c r="E138" s="9">
        <f t="shared" si="4"/>
        <v>2019</v>
      </c>
      <c r="F138" t="str">
        <f t="shared" si="5"/>
        <v>WPNJ</v>
      </c>
    </row>
    <row r="139" spans="1:6">
      <c r="A139" t="s">
        <v>4862</v>
      </c>
      <c r="B139" t="s">
        <v>4863</v>
      </c>
      <c r="C139">
        <v>1.0137</v>
      </c>
      <c r="D139" s="1">
        <v>43282</v>
      </c>
      <c r="E139" s="9">
        <f t="shared" si="4"/>
        <v>2019</v>
      </c>
      <c r="F139" t="str">
        <f t="shared" si="5"/>
        <v>WRAN</v>
      </c>
    </row>
    <row r="140" spans="1:6">
      <c r="A140" t="s">
        <v>4864</v>
      </c>
      <c r="B140" t="s">
        <v>4865</v>
      </c>
      <c r="C140">
        <v>1.0430999999999999</v>
      </c>
      <c r="D140" s="1">
        <v>43282</v>
      </c>
      <c r="E140" s="9">
        <f t="shared" si="4"/>
        <v>2019</v>
      </c>
      <c r="F140" t="str">
        <f t="shared" si="5"/>
        <v>WRGN</v>
      </c>
    </row>
    <row r="141" spans="1:6">
      <c r="A141" t="s">
        <v>4866</v>
      </c>
      <c r="B141" t="s">
        <v>4513</v>
      </c>
      <c r="C141">
        <v>1.0385</v>
      </c>
      <c r="D141" s="1">
        <v>43282</v>
      </c>
      <c r="E141" s="9">
        <f t="shared" si="4"/>
        <v>2019</v>
      </c>
      <c r="F141" t="str">
        <f t="shared" si="5"/>
        <v>WROH</v>
      </c>
    </row>
    <row r="142" spans="1:6">
      <c r="A142" t="s">
        <v>4867</v>
      </c>
      <c r="B142" t="s">
        <v>4868</v>
      </c>
      <c r="C142">
        <v>1.0306999999999999</v>
      </c>
      <c r="D142" s="1">
        <v>43282</v>
      </c>
      <c r="E142" s="9">
        <f t="shared" si="4"/>
        <v>2019</v>
      </c>
      <c r="F142" t="str">
        <f t="shared" si="5"/>
        <v>WRTN</v>
      </c>
    </row>
    <row r="143" spans="1:6">
      <c r="A143" t="s">
        <v>4869</v>
      </c>
      <c r="B143" t="s">
        <v>4870</v>
      </c>
      <c r="C143">
        <v>1.0335000000000001</v>
      </c>
      <c r="D143" s="1">
        <v>43282</v>
      </c>
      <c r="E143" s="9">
        <f t="shared" si="4"/>
        <v>2019</v>
      </c>
      <c r="F143" t="str">
        <f t="shared" si="5"/>
        <v>WRVE</v>
      </c>
    </row>
    <row r="144" spans="1:6">
      <c r="A144" t="s">
        <v>4871</v>
      </c>
      <c r="B144" t="s">
        <v>4872</v>
      </c>
      <c r="C144">
        <v>1.0246</v>
      </c>
      <c r="D144" s="1">
        <v>43282</v>
      </c>
      <c r="E144" s="9">
        <f t="shared" si="4"/>
        <v>2019</v>
      </c>
      <c r="F144" t="str">
        <f t="shared" si="5"/>
        <v>WSFT</v>
      </c>
    </row>
    <row r="145" spans="1:6">
      <c r="A145" t="s">
        <v>4873</v>
      </c>
      <c r="B145" t="s">
        <v>4874</v>
      </c>
      <c r="C145">
        <v>1.0305</v>
      </c>
      <c r="D145" s="1">
        <v>43282</v>
      </c>
      <c r="E145" s="9">
        <f t="shared" si="4"/>
        <v>2019</v>
      </c>
      <c r="F145" t="str">
        <f t="shared" si="5"/>
        <v>WSNR</v>
      </c>
    </row>
    <row r="146" spans="1:6">
      <c r="A146" t="s">
        <v>4875</v>
      </c>
      <c r="B146" t="s">
        <v>4876</v>
      </c>
      <c r="C146">
        <v>1.0511999999999999</v>
      </c>
      <c r="D146" s="1">
        <v>43282</v>
      </c>
      <c r="E146" s="9">
        <f t="shared" si="4"/>
        <v>2019</v>
      </c>
      <c r="F146" t="str">
        <f t="shared" si="5"/>
        <v>WSPA</v>
      </c>
    </row>
    <row r="147" spans="1:6">
      <c r="A147" t="s">
        <v>4877</v>
      </c>
      <c r="B147" t="s">
        <v>4878</v>
      </c>
      <c r="C147">
        <v>1.0475000000000001</v>
      </c>
      <c r="D147" s="1">
        <v>43282</v>
      </c>
      <c r="E147" s="9">
        <f t="shared" si="4"/>
        <v>2019</v>
      </c>
      <c r="F147" t="str">
        <f t="shared" si="5"/>
        <v>WSRD</v>
      </c>
    </row>
    <row r="148" spans="1:6">
      <c r="A148" t="s">
        <v>4879</v>
      </c>
      <c r="B148" t="s">
        <v>4880</v>
      </c>
      <c r="C148">
        <v>1.0465</v>
      </c>
      <c r="D148" s="1">
        <v>43282</v>
      </c>
      <c r="E148" s="9">
        <f t="shared" si="4"/>
        <v>2019</v>
      </c>
      <c r="F148" t="str">
        <f t="shared" si="5"/>
        <v>WSUM</v>
      </c>
    </row>
    <row r="149" spans="1:6">
      <c r="A149" t="s">
        <v>4881</v>
      </c>
      <c r="B149" t="s">
        <v>4882</v>
      </c>
      <c r="C149">
        <v>1.0499000000000001</v>
      </c>
      <c r="D149" s="1">
        <v>43282</v>
      </c>
      <c r="E149" s="9">
        <f t="shared" si="4"/>
        <v>2019</v>
      </c>
      <c r="F149" t="str">
        <f t="shared" si="5"/>
        <v>WSVY</v>
      </c>
    </row>
    <row r="150" spans="1:6">
      <c r="A150" t="s">
        <v>4883</v>
      </c>
      <c r="B150" t="s">
        <v>4884</v>
      </c>
      <c r="C150">
        <v>1.0351999999999999</v>
      </c>
      <c r="D150" s="1">
        <v>43282</v>
      </c>
      <c r="E150" s="9">
        <f t="shared" si="4"/>
        <v>2019</v>
      </c>
      <c r="F150" t="str">
        <f t="shared" si="5"/>
        <v>WTLN</v>
      </c>
    </row>
    <row r="151" spans="1:6">
      <c r="A151" t="s">
        <v>4885</v>
      </c>
      <c r="B151" t="s">
        <v>4886</v>
      </c>
      <c r="C151">
        <v>1.0418000000000001</v>
      </c>
      <c r="D151" s="1">
        <v>43282</v>
      </c>
      <c r="E151" s="9">
        <f t="shared" si="4"/>
        <v>2019</v>
      </c>
      <c r="F151" t="str">
        <f t="shared" si="5"/>
        <v>WTSG</v>
      </c>
    </row>
    <row r="152" spans="1:6">
      <c r="A152" t="s">
        <v>4887</v>
      </c>
      <c r="B152" t="s">
        <v>4888</v>
      </c>
      <c r="C152">
        <v>1.0499000000000001</v>
      </c>
      <c r="D152" s="1">
        <v>43282</v>
      </c>
      <c r="E152" s="9">
        <f t="shared" si="4"/>
        <v>2019</v>
      </c>
      <c r="F152" t="str">
        <f t="shared" si="5"/>
        <v>WTST</v>
      </c>
    </row>
    <row r="153" spans="1:6">
      <c r="A153" t="s">
        <v>4889</v>
      </c>
      <c r="B153" t="s">
        <v>4890</v>
      </c>
      <c r="C153">
        <v>1.0326</v>
      </c>
      <c r="D153" s="1">
        <v>43282</v>
      </c>
      <c r="E153" s="9">
        <f t="shared" si="4"/>
        <v>2019</v>
      </c>
      <c r="F153" t="str">
        <f t="shared" si="5"/>
        <v>WTTS</v>
      </c>
    </row>
    <row r="154" spans="1:6">
      <c r="A154" t="s">
        <v>4891</v>
      </c>
      <c r="B154" t="s">
        <v>4892</v>
      </c>
      <c r="C154">
        <v>1.0747</v>
      </c>
      <c r="D154" s="1">
        <v>43282</v>
      </c>
      <c r="E154" s="9">
        <f t="shared" si="4"/>
        <v>2019</v>
      </c>
      <c r="F154" t="str">
        <f t="shared" si="5"/>
        <v>WUNI</v>
      </c>
    </row>
    <row r="155" spans="1:6">
      <c r="A155" t="s">
        <v>4893</v>
      </c>
      <c r="B155" t="s">
        <v>4894</v>
      </c>
      <c r="C155">
        <v>1.0351999999999999</v>
      </c>
      <c r="D155" s="1">
        <v>43282</v>
      </c>
      <c r="E155" s="9">
        <f t="shared" si="4"/>
        <v>2019</v>
      </c>
      <c r="F155" t="str">
        <f t="shared" si="5"/>
        <v>WVPA</v>
      </c>
    </row>
    <row r="156" spans="1:6">
      <c r="A156" t="s">
        <v>4895</v>
      </c>
      <c r="B156" t="s">
        <v>4896</v>
      </c>
      <c r="C156">
        <v>1.0575000000000001</v>
      </c>
      <c r="D156" s="1">
        <v>43282</v>
      </c>
      <c r="E156" s="9">
        <f t="shared" si="4"/>
        <v>2019</v>
      </c>
      <c r="F156" t="str">
        <f t="shared" si="5"/>
        <v>WWAG</v>
      </c>
    </row>
    <row r="157" spans="1:6">
      <c r="A157" t="s">
        <v>4897</v>
      </c>
      <c r="B157" t="s">
        <v>4898</v>
      </c>
      <c r="C157">
        <v>1.0387</v>
      </c>
      <c r="D157" s="1">
        <v>43282</v>
      </c>
      <c r="E157" s="9">
        <f t="shared" si="4"/>
        <v>2019</v>
      </c>
      <c r="F157" t="str">
        <f t="shared" si="5"/>
        <v>WWAI</v>
      </c>
    </row>
    <row r="158" spans="1:6">
      <c r="A158" t="s">
        <v>4899</v>
      </c>
      <c r="B158" t="s">
        <v>4900</v>
      </c>
      <c r="C158">
        <v>0.99</v>
      </c>
      <c r="D158" s="1">
        <v>43282</v>
      </c>
      <c r="E158" s="9">
        <f t="shared" si="4"/>
        <v>2019</v>
      </c>
      <c r="F158" t="str">
        <f t="shared" si="5"/>
        <v>WWCL</v>
      </c>
    </row>
    <row r="159" spans="1:6">
      <c r="A159" t="s">
        <v>4901</v>
      </c>
      <c r="B159" t="s">
        <v>4902</v>
      </c>
      <c r="C159">
        <v>1.0513999999999999</v>
      </c>
      <c r="D159" s="1">
        <v>43282</v>
      </c>
      <c r="E159" s="9">
        <f t="shared" si="4"/>
        <v>2019</v>
      </c>
      <c r="F159" t="str">
        <f t="shared" si="5"/>
        <v>WWDN</v>
      </c>
    </row>
    <row r="160" spans="1:6">
      <c r="A160" t="s">
        <v>4903</v>
      </c>
      <c r="B160" t="s">
        <v>4904</v>
      </c>
      <c r="C160">
        <v>1.0327999999999999</v>
      </c>
      <c r="D160" s="1">
        <v>43282</v>
      </c>
      <c r="E160" s="9">
        <f t="shared" si="4"/>
        <v>2019</v>
      </c>
      <c r="F160" t="str">
        <f t="shared" si="5"/>
        <v>WWEL</v>
      </c>
    </row>
    <row r="161" spans="1:6">
      <c r="A161" t="s">
        <v>4905</v>
      </c>
      <c r="B161" t="s">
        <v>4906</v>
      </c>
      <c r="C161">
        <v>1.0468999999999999</v>
      </c>
      <c r="D161" s="1">
        <v>43282</v>
      </c>
      <c r="E161" s="9">
        <f t="shared" si="4"/>
        <v>2019</v>
      </c>
      <c r="F161" t="str">
        <f t="shared" si="5"/>
        <v>WWGA</v>
      </c>
    </row>
    <row r="162" spans="1:6">
      <c r="A162" t="s">
        <v>4907</v>
      </c>
      <c r="B162" t="s">
        <v>4908</v>
      </c>
      <c r="C162">
        <v>0.97009999999999996</v>
      </c>
      <c r="D162" s="1">
        <v>43282</v>
      </c>
      <c r="E162" s="9">
        <f t="shared" si="4"/>
        <v>2019</v>
      </c>
      <c r="F162" t="str">
        <f t="shared" si="5"/>
        <v>WWGP</v>
      </c>
    </row>
    <row r="163" spans="1:6">
      <c r="A163" t="s">
        <v>4909</v>
      </c>
      <c r="B163" t="s">
        <v>4910</v>
      </c>
      <c r="C163">
        <v>1.1654</v>
      </c>
      <c r="D163" s="1">
        <v>43282</v>
      </c>
      <c r="E163" s="9">
        <f t="shared" si="4"/>
        <v>2019</v>
      </c>
      <c r="F163" t="str">
        <f t="shared" si="5"/>
        <v>WWKT</v>
      </c>
    </row>
    <row r="164" spans="1:6">
      <c r="A164" t="s">
        <v>4911</v>
      </c>
      <c r="B164" t="s">
        <v>4912</v>
      </c>
      <c r="C164">
        <v>1.0317000000000001</v>
      </c>
      <c r="D164" s="1">
        <v>43282</v>
      </c>
      <c r="E164" s="9">
        <f t="shared" si="4"/>
        <v>2019</v>
      </c>
      <c r="F164" t="str">
        <f t="shared" si="5"/>
        <v>WWLN</v>
      </c>
    </row>
    <row r="165" spans="1:6">
      <c r="A165" t="s">
        <v>4913</v>
      </c>
      <c r="B165" t="s">
        <v>4914</v>
      </c>
      <c r="C165">
        <v>1.0354000000000001</v>
      </c>
      <c r="D165" s="1">
        <v>43282</v>
      </c>
      <c r="E165" s="9">
        <f t="shared" si="4"/>
        <v>2019</v>
      </c>
      <c r="F165" t="str">
        <f t="shared" si="5"/>
        <v>WWMG</v>
      </c>
    </row>
    <row r="166" spans="1:6">
      <c r="A166" t="s">
        <v>4915</v>
      </c>
      <c r="B166" t="s">
        <v>4916</v>
      </c>
      <c r="C166">
        <v>1.0447</v>
      </c>
      <c r="D166" s="1">
        <v>43282</v>
      </c>
      <c r="E166" s="9">
        <f t="shared" si="4"/>
        <v>2019</v>
      </c>
      <c r="F166" t="str">
        <f t="shared" si="5"/>
        <v>WWNO</v>
      </c>
    </row>
    <row r="167" spans="1:6">
      <c r="A167" t="s">
        <v>4917</v>
      </c>
      <c r="B167" t="s">
        <v>4918</v>
      </c>
      <c r="C167">
        <v>1.0467</v>
      </c>
      <c r="D167" s="1">
        <v>43282</v>
      </c>
      <c r="E167" s="9">
        <f t="shared" si="4"/>
        <v>2019</v>
      </c>
      <c r="F167" t="str">
        <f t="shared" si="5"/>
        <v>WWNT</v>
      </c>
    </row>
    <row r="168" spans="1:6">
      <c r="A168" t="s">
        <v>4919</v>
      </c>
      <c r="B168" t="s">
        <v>4920</v>
      </c>
      <c r="C168">
        <v>1.0234000000000001</v>
      </c>
      <c r="D168" s="1">
        <v>43282</v>
      </c>
      <c r="E168" s="9">
        <f t="shared" si="4"/>
        <v>2019</v>
      </c>
      <c r="F168" t="str">
        <f t="shared" si="5"/>
        <v>WWSD</v>
      </c>
    </row>
    <row r="169" spans="1:6">
      <c r="A169" t="s">
        <v>4921</v>
      </c>
      <c r="B169" t="s">
        <v>4922</v>
      </c>
      <c r="C169">
        <v>1.0846</v>
      </c>
      <c r="D169" s="1">
        <v>43282</v>
      </c>
      <c r="E169" s="9">
        <f t="shared" si="4"/>
        <v>2019</v>
      </c>
      <c r="F169" t="str">
        <f t="shared" si="5"/>
        <v>WWUN</v>
      </c>
    </row>
    <row r="170" spans="1:6">
      <c r="A170" t="s">
        <v>4923</v>
      </c>
      <c r="B170" t="s">
        <v>4924</v>
      </c>
      <c r="C170">
        <v>0.94750000000000001</v>
      </c>
      <c r="D170" s="1">
        <v>43282</v>
      </c>
      <c r="E170" s="9">
        <f t="shared" si="4"/>
        <v>2019</v>
      </c>
      <c r="F170" t="str">
        <f t="shared" si="5"/>
        <v>WWWF</v>
      </c>
    </row>
    <row r="171" spans="1:6">
      <c r="A171" t="s">
        <v>4925</v>
      </c>
      <c r="B171" t="s">
        <v>4926</v>
      </c>
      <c r="C171">
        <v>1.0467</v>
      </c>
      <c r="D171" s="1">
        <v>43282</v>
      </c>
      <c r="E171" s="9">
        <f t="shared" si="4"/>
        <v>2019</v>
      </c>
      <c r="F171" t="str">
        <f t="shared" si="5"/>
        <v>WYCP</v>
      </c>
    </row>
    <row r="172" spans="1:6">
      <c r="A172" t="s">
        <v>4927</v>
      </c>
      <c r="B172" t="s">
        <v>4928</v>
      </c>
      <c r="C172">
        <v>1.1137999999999999</v>
      </c>
      <c r="D172" s="1">
        <v>43282</v>
      </c>
      <c r="E172" s="9">
        <f t="shared" si="4"/>
        <v>2019</v>
      </c>
      <c r="F172" t="str">
        <f t="shared" si="5"/>
        <v>WYER</v>
      </c>
    </row>
    <row r="173" spans="1:6">
      <c r="A173" t="s">
        <v>4929</v>
      </c>
      <c r="B173" t="s">
        <v>4930</v>
      </c>
      <c r="C173">
        <v>1.0461</v>
      </c>
      <c r="D173" s="1">
        <v>43282</v>
      </c>
      <c r="E173" s="9">
        <f t="shared" si="4"/>
        <v>2019</v>
      </c>
      <c r="F173" t="str">
        <f t="shared" si="5"/>
        <v>WYKE</v>
      </c>
    </row>
    <row r="174" spans="1:6">
      <c r="A174" t="s">
        <v>4931</v>
      </c>
      <c r="B174" t="s">
        <v>4932</v>
      </c>
      <c r="C174">
        <v>1.0948</v>
      </c>
      <c r="D174" s="1">
        <v>43282</v>
      </c>
      <c r="E174" s="9">
        <f t="shared" si="4"/>
        <v>2019</v>
      </c>
      <c r="F174" t="str">
        <f t="shared" si="5"/>
        <v>WYLN</v>
      </c>
    </row>
    <row r="175" spans="1:6">
      <c r="A175" t="s">
        <v>4935</v>
      </c>
      <c r="B175" t="s">
        <v>4430</v>
      </c>
      <c r="C175">
        <v>1.0001</v>
      </c>
      <c r="D175" s="1">
        <v>43282</v>
      </c>
      <c r="E175" s="9">
        <f t="shared" si="4"/>
        <v>2019</v>
      </c>
      <c r="F175" t="str">
        <f t="shared" ref="F175" si="6">A175</f>
        <v>WBWF</v>
      </c>
    </row>
    <row r="176" spans="1:6">
      <c r="A176" t="s">
        <v>4593</v>
      </c>
      <c r="B176" t="s">
        <v>4594</v>
      </c>
      <c r="C176">
        <v>0.99850000000000005</v>
      </c>
      <c r="D176" s="1">
        <v>42917</v>
      </c>
      <c r="E176" s="9">
        <f t="shared" si="4"/>
        <v>2018</v>
      </c>
      <c r="F176" t="str">
        <f t="shared" ref="F176:F239" si="7">A176</f>
        <v>TAPA</v>
      </c>
    </row>
    <row r="177" spans="1:6">
      <c r="A177" t="s">
        <v>4595</v>
      </c>
      <c r="B177" t="s">
        <v>4596</v>
      </c>
      <c r="C177">
        <v>0.99460000000000004</v>
      </c>
      <c r="D177" s="1">
        <v>42917</v>
      </c>
      <c r="E177" s="9">
        <f t="shared" si="4"/>
        <v>2018</v>
      </c>
      <c r="F177" t="str">
        <f t="shared" si="7"/>
        <v>TAPL</v>
      </c>
    </row>
    <row r="178" spans="1:6">
      <c r="A178" t="s">
        <v>4597</v>
      </c>
      <c r="B178" t="s">
        <v>4936</v>
      </c>
      <c r="C178">
        <v>0.99919999999999998</v>
      </c>
      <c r="D178" s="1">
        <v>42917</v>
      </c>
      <c r="E178" s="9">
        <f t="shared" si="4"/>
        <v>2018</v>
      </c>
      <c r="F178" t="str">
        <f t="shared" si="7"/>
        <v>TBLB</v>
      </c>
    </row>
    <row r="179" spans="1:6">
      <c r="A179" t="s">
        <v>4598</v>
      </c>
      <c r="B179" t="s">
        <v>4599</v>
      </c>
      <c r="C179">
        <v>1.1549</v>
      </c>
      <c r="D179" s="1">
        <v>42917</v>
      </c>
      <c r="E179" s="9">
        <f t="shared" si="4"/>
        <v>2018</v>
      </c>
      <c r="F179" t="str">
        <f t="shared" si="7"/>
        <v>TBLS</v>
      </c>
    </row>
    <row r="180" spans="1:6">
      <c r="A180" t="s">
        <v>4600</v>
      </c>
      <c r="B180" t="s">
        <v>4601</v>
      </c>
      <c r="C180">
        <v>1.0436000000000001</v>
      </c>
      <c r="D180" s="1">
        <v>42917</v>
      </c>
      <c r="E180" s="9">
        <f t="shared" si="4"/>
        <v>2018</v>
      </c>
      <c r="F180" t="str">
        <f t="shared" si="7"/>
        <v>TKRA</v>
      </c>
    </row>
    <row r="181" spans="1:6">
      <c r="A181" t="s">
        <v>4602</v>
      </c>
      <c r="B181" t="s">
        <v>4937</v>
      </c>
      <c r="C181">
        <v>1.0125999999999999</v>
      </c>
      <c r="D181" s="1">
        <v>42917</v>
      </c>
      <c r="E181" s="9">
        <f t="shared" si="4"/>
        <v>2018</v>
      </c>
      <c r="F181" t="str">
        <f t="shared" si="7"/>
        <v>TLWA</v>
      </c>
    </row>
    <row r="182" spans="1:6">
      <c r="A182" t="s">
        <v>4604</v>
      </c>
      <c r="B182" t="s">
        <v>4478</v>
      </c>
      <c r="C182">
        <v>0.96679999999999999</v>
      </c>
      <c r="D182" s="1">
        <v>42917</v>
      </c>
      <c r="E182" s="9">
        <f t="shared" si="4"/>
        <v>2018</v>
      </c>
      <c r="F182" t="str">
        <f t="shared" si="7"/>
        <v>TMBA</v>
      </c>
    </row>
    <row r="183" spans="1:6">
      <c r="A183" t="s">
        <v>4605</v>
      </c>
      <c r="B183" t="s">
        <v>4606</v>
      </c>
      <c r="C183">
        <v>0.99970000000000003</v>
      </c>
      <c r="D183" s="1">
        <v>42917</v>
      </c>
      <c r="E183" s="9">
        <f t="shared" si="4"/>
        <v>2018</v>
      </c>
      <c r="F183" t="str">
        <f t="shared" si="7"/>
        <v>TMDP</v>
      </c>
    </row>
    <row r="184" spans="1:6">
      <c r="A184" t="s">
        <v>4607</v>
      </c>
      <c r="B184" t="s">
        <v>4608</v>
      </c>
      <c r="C184">
        <v>1.0141</v>
      </c>
      <c r="D184" s="1">
        <v>42917</v>
      </c>
      <c r="E184" s="9">
        <f t="shared" si="4"/>
        <v>2018</v>
      </c>
      <c r="F184" t="str">
        <f t="shared" si="7"/>
        <v>TMGS</v>
      </c>
    </row>
    <row r="185" spans="1:6">
      <c r="A185" t="s">
        <v>4609</v>
      </c>
      <c r="B185" t="s">
        <v>4610</v>
      </c>
      <c r="C185">
        <v>1.0246</v>
      </c>
      <c r="D185" s="1">
        <v>42917</v>
      </c>
      <c r="E185" s="9">
        <f t="shared" si="4"/>
        <v>2018</v>
      </c>
      <c r="F185" t="str">
        <f t="shared" si="7"/>
        <v>TMSK</v>
      </c>
    </row>
    <row r="186" spans="1:6">
      <c r="A186" t="s">
        <v>4611</v>
      </c>
      <c r="B186" t="s">
        <v>4612</v>
      </c>
      <c r="C186">
        <v>1.0132000000000001</v>
      </c>
      <c r="D186" s="1">
        <v>42917</v>
      </c>
      <c r="E186" s="9">
        <f t="shared" si="4"/>
        <v>2018</v>
      </c>
      <c r="F186" t="str">
        <f t="shared" si="7"/>
        <v>TOLA</v>
      </c>
    </row>
    <row r="187" spans="1:6">
      <c r="A187" t="s">
        <v>4613</v>
      </c>
      <c r="B187" t="s">
        <v>4614</v>
      </c>
      <c r="C187">
        <v>1.0386</v>
      </c>
      <c r="D187" s="1">
        <v>42917</v>
      </c>
      <c r="E187" s="9">
        <f t="shared" si="4"/>
        <v>2018</v>
      </c>
      <c r="F187" t="str">
        <f t="shared" si="7"/>
        <v>TSAV</v>
      </c>
    </row>
    <row r="188" spans="1:6">
      <c r="A188" t="s">
        <v>4615</v>
      </c>
      <c r="B188" t="s">
        <v>4616</v>
      </c>
      <c r="C188">
        <v>1.0384</v>
      </c>
      <c r="D188" s="1">
        <v>42917</v>
      </c>
      <c r="E188" s="9">
        <f t="shared" si="4"/>
        <v>2018</v>
      </c>
      <c r="F188" t="str">
        <f t="shared" si="7"/>
        <v>TUAV</v>
      </c>
    </row>
    <row r="189" spans="1:6">
      <c r="A189" t="s">
        <v>4617</v>
      </c>
      <c r="B189" t="s">
        <v>4618</v>
      </c>
      <c r="C189">
        <v>1.1338999999999999</v>
      </c>
      <c r="D189" s="1">
        <v>42917</v>
      </c>
      <c r="E189" s="9">
        <f t="shared" si="4"/>
        <v>2018</v>
      </c>
      <c r="F189" t="str">
        <f t="shared" si="7"/>
        <v>TWKG</v>
      </c>
    </row>
    <row r="190" spans="1:6">
      <c r="A190" t="s">
        <v>4619</v>
      </c>
      <c r="B190" t="s">
        <v>4620</v>
      </c>
      <c r="C190">
        <v>0.98560000000000003</v>
      </c>
      <c r="D190" s="1">
        <v>42917</v>
      </c>
      <c r="E190" s="9">
        <f t="shared" si="4"/>
        <v>2018</v>
      </c>
      <c r="F190" t="str">
        <f t="shared" si="7"/>
        <v>TWOJ</v>
      </c>
    </row>
    <row r="191" spans="1:6">
      <c r="A191" t="s">
        <v>4621</v>
      </c>
      <c r="B191" t="s">
        <v>4622</v>
      </c>
      <c r="C191">
        <v>1.0054000000000001</v>
      </c>
      <c r="D191" s="1">
        <v>42917</v>
      </c>
      <c r="E191" s="9">
        <f t="shared" si="4"/>
        <v>2018</v>
      </c>
      <c r="F191" t="str">
        <f t="shared" si="7"/>
        <v>TWOW</v>
      </c>
    </row>
    <row r="192" spans="1:6">
      <c r="A192" t="s">
        <v>4623</v>
      </c>
      <c r="B192" t="s">
        <v>4624</v>
      </c>
      <c r="C192">
        <v>1.0266999999999999</v>
      </c>
      <c r="D192" s="1">
        <v>42917</v>
      </c>
      <c r="E192" s="9">
        <f t="shared" si="4"/>
        <v>2018</v>
      </c>
      <c r="F192" t="str">
        <f t="shared" si="7"/>
        <v>WAFM</v>
      </c>
    </row>
    <row r="193" spans="1:6">
      <c r="A193" t="s">
        <v>4625</v>
      </c>
      <c r="B193" t="s">
        <v>4626</v>
      </c>
      <c r="C193">
        <v>1.0243</v>
      </c>
      <c r="D193" s="1">
        <v>42917</v>
      </c>
      <c r="E193" s="9">
        <f t="shared" si="4"/>
        <v>2018</v>
      </c>
      <c r="F193" t="str">
        <f t="shared" si="7"/>
        <v>WAKW</v>
      </c>
    </row>
    <row r="194" spans="1:6">
      <c r="A194" t="s">
        <v>4627</v>
      </c>
      <c r="B194" t="s">
        <v>4628</v>
      </c>
      <c r="C194">
        <v>1.0988</v>
      </c>
      <c r="D194" s="1">
        <v>42917</v>
      </c>
      <c r="E194" s="9">
        <f t="shared" si="4"/>
        <v>2018</v>
      </c>
      <c r="F194" t="str">
        <f t="shared" si="7"/>
        <v>WALB</v>
      </c>
    </row>
    <row r="195" spans="1:6">
      <c r="A195" t="s">
        <v>4629</v>
      </c>
      <c r="B195" t="s">
        <v>4630</v>
      </c>
      <c r="C195">
        <v>1.0365</v>
      </c>
      <c r="D195" s="1">
        <v>42917</v>
      </c>
      <c r="E195" s="9">
        <f t="shared" ref="E195:E258" si="8">YEAR(D195)+1</f>
        <v>2018</v>
      </c>
      <c r="F195" t="str">
        <f t="shared" si="7"/>
        <v>WAMT</v>
      </c>
    </row>
    <row r="196" spans="1:6">
      <c r="A196" t="s">
        <v>4631</v>
      </c>
      <c r="B196" t="s">
        <v>4632</v>
      </c>
      <c r="C196">
        <v>1.0391999999999999</v>
      </c>
      <c r="D196" s="1">
        <v>42917</v>
      </c>
      <c r="E196" s="9">
        <f t="shared" si="8"/>
        <v>2018</v>
      </c>
      <c r="F196" t="str">
        <f t="shared" si="7"/>
        <v>WAPM</v>
      </c>
    </row>
    <row r="197" spans="1:6">
      <c r="A197" t="s">
        <v>4633</v>
      </c>
      <c r="B197" t="s">
        <v>4634</v>
      </c>
      <c r="C197">
        <v>1.0392999999999999</v>
      </c>
      <c r="D197" s="1">
        <v>42917</v>
      </c>
      <c r="E197" s="9">
        <f t="shared" si="8"/>
        <v>2018</v>
      </c>
      <c r="F197" t="str">
        <f t="shared" si="7"/>
        <v>WARK</v>
      </c>
    </row>
    <row r="198" spans="1:6">
      <c r="A198" t="s">
        <v>4635</v>
      </c>
      <c r="B198" t="s">
        <v>4636</v>
      </c>
      <c r="C198">
        <v>1.0399</v>
      </c>
      <c r="D198" s="1">
        <v>42917</v>
      </c>
      <c r="E198" s="9">
        <f t="shared" si="8"/>
        <v>2018</v>
      </c>
      <c r="F198" t="str">
        <f t="shared" si="7"/>
        <v>WBCH</v>
      </c>
    </row>
    <row r="199" spans="1:6">
      <c r="A199" t="s">
        <v>4637</v>
      </c>
      <c r="B199" t="s">
        <v>4638</v>
      </c>
      <c r="C199">
        <v>1.0406</v>
      </c>
      <c r="D199" s="1">
        <v>42917</v>
      </c>
      <c r="E199" s="9">
        <f t="shared" si="8"/>
        <v>2018</v>
      </c>
      <c r="F199" t="str">
        <f t="shared" si="7"/>
        <v>WBCT</v>
      </c>
    </row>
    <row r="200" spans="1:6">
      <c r="A200" t="s">
        <v>4639</v>
      </c>
      <c r="B200" t="s">
        <v>4640</v>
      </c>
      <c r="C200">
        <v>1.0479000000000001</v>
      </c>
      <c r="D200" s="1">
        <v>42917</v>
      </c>
      <c r="E200" s="9">
        <f t="shared" si="8"/>
        <v>2018</v>
      </c>
      <c r="F200" t="str">
        <f t="shared" si="7"/>
        <v>WBDE</v>
      </c>
    </row>
    <row r="201" spans="1:6">
      <c r="A201" t="s">
        <v>4641</v>
      </c>
      <c r="B201" t="s">
        <v>4642</v>
      </c>
      <c r="C201">
        <v>1.0159</v>
      </c>
      <c r="D201" s="1">
        <v>42917</v>
      </c>
      <c r="E201" s="9">
        <f t="shared" si="8"/>
        <v>2018</v>
      </c>
      <c r="F201" t="str">
        <f t="shared" si="7"/>
        <v>WBDP</v>
      </c>
    </row>
    <row r="202" spans="1:6">
      <c r="A202" t="s">
        <v>4643</v>
      </c>
      <c r="B202" t="s">
        <v>4644</v>
      </c>
      <c r="C202">
        <v>1.0327</v>
      </c>
      <c r="D202" s="1">
        <v>42917</v>
      </c>
      <c r="E202" s="9">
        <f t="shared" si="8"/>
        <v>2018</v>
      </c>
      <c r="F202" t="str">
        <f t="shared" si="7"/>
        <v>WBEC</v>
      </c>
    </row>
    <row r="203" spans="1:6">
      <c r="A203" t="s">
        <v>4645</v>
      </c>
      <c r="B203" t="s">
        <v>4646</v>
      </c>
      <c r="C203">
        <v>1.032</v>
      </c>
      <c r="D203" s="1">
        <v>42917</v>
      </c>
      <c r="E203" s="9">
        <f t="shared" si="8"/>
        <v>2018</v>
      </c>
      <c r="F203" t="str">
        <f t="shared" si="7"/>
        <v>WBEL</v>
      </c>
    </row>
    <row r="204" spans="1:6">
      <c r="A204" t="s">
        <v>4647</v>
      </c>
      <c r="B204" t="s">
        <v>4648</v>
      </c>
      <c r="C204">
        <v>1.0091000000000001</v>
      </c>
      <c r="D204" s="1">
        <v>42917</v>
      </c>
      <c r="E204" s="9">
        <f t="shared" si="8"/>
        <v>2018</v>
      </c>
      <c r="F204" t="str">
        <f t="shared" si="7"/>
        <v>WBGM</v>
      </c>
    </row>
    <row r="205" spans="1:6">
      <c r="A205" t="s">
        <v>4649</v>
      </c>
      <c r="B205" t="s">
        <v>4650</v>
      </c>
      <c r="C205">
        <v>1.0258</v>
      </c>
      <c r="D205" s="1">
        <v>42917</v>
      </c>
      <c r="E205" s="9">
        <f t="shared" si="8"/>
        <v>2018</v>
      </c>
      <c r="F205" t="str">
        <f t="shared" si="7"/>
        <v>WBHK</v>
      </c>
    </row>
    <row r="206" spans="1:6">
      <c r="A206" t="s">
        <v>4651</v>
      </c>
      <c r="B206" t="s">
        <v>4652</v>
      </c>
      <c r="C206">
        <v>1.0317000000000001</v>
      </c>
      <c r="D206" s="1">
        <v>42917</v>
      </c>
      <c r="E206" s="9">
        <f t="shared" si="8"/>
        <v>2018</v>
      </c>
      <c r="F206" t="str">
        <f t="shared" si="7"/>
        <v>WBIB</v>
      </c>
    </row>
    <row r="207" spans="1:6">
      <c r="A207" t="s">
        <v>4653</v>
      </c>
      <c r="B207" t="s">
        <v>4654</v>
      </c>
      <c r="C207">
        <v>1.1642999999999999</v>
      </c>
      <c r="D207" s="1">
        <v>42917</v>
      </c>
      <c r="E207" s="9">
        <f t="shared" si="8"/>
        <v>2018</v>
      </c>
      <c r="F207" t="str">
        <f t="shared" si="7"/>
        <v>WBKF</v>
      </c>
    </row>
    <row r="208" spans="1:6">
      <c r="A208" t="s">
        <v>4655</v>
      </c>
      <c r="B208" t="s">
        <v>4656</v>
      </c>
      <c r="C208">
        <v>1.1451</v>
      </c>
      <c r="D208" s="1">
        <v>42917</v>
      </c>
      <c r="E208" s="9">
        <f t="shared" si="8"/>
        <v>2018</v>
      </c>
      <c r="F208" t="str">
        <f t="shared" si="7"/>
        <v>WBLD</v>
      </c>
    </row>
    <row r="209" spans="1:6">
      <c r="A209" t="s">
        <v>4657</v>
      </c>
      <c r="B209" t="s">
        <v>4658</v>
      </c>
      <c r="C209">
        <v>1.0298</v>
      </c>
      <c r="D209" s="1">
        <v>42917</v>
      </c>
      <c r="E209" s="9">
        <f t="shared" si="8"/>
        <v>2018</v>
      </c>
      <c r="F209" t="str">
        <f t="shared" si="7"/>
        <v>WBNP</v>
      </c>
    </row>
    <row r="210" spans="1:6">
      <c r="A210" t="s">
        <v>4659</v>
      </c>
      <c r="B210" t="s">
        <v>4660</v>
      </c>
      <c r="C210">
        <v>1.0752999999999999</v>
      </c>
      <c r="D210" s="1">
        <v>42917</v>
      </c>
      <c r="E210" s="9">
        <f t="shared" si="8"/>
        <v>2018</v>
      </c>
      <c r="F210" t="str">
        <f t="shared" si="7"/>
        <v>WBNY</v>
      </c>
    </row>
    <row r="211" spans="1:6">
      <c r="A211" t="s">
        <v>4661</v>
      </c>
      <c r="B211" t="s">
        <v>4662</v>
      </c>
      <c r="C211">
        <v>1.0085</v>
      </c>
      <c r="D211" s="1">
        <v>42917</v>
      </c>
      <c r="E211" s="9">
        <f t="shared" si="8"/>
        <v>2018</v>
      </c>
      <c r="F211" t="str">
        <f t="shared" si="7"/>
        <v>WBOD</v>
      </c>
    </row>
    <row r="212" spans="1:6">
      <c r="A212" t="s">
        <v>4663</v>
      </c>
      <c r="B212" t="s">
        <v>4664</v>
      </c>
      <c r="C212">
        <v>1.0384</v>
      </c>
      <c r="D212" s="1">
        <v>42917</v>
      </c>
      <c r="E212" s="9">
        <f t="shared" si="8"/>
        <v>2018</v>
      </c>
      <c r="F212" t="str">
        <f t="shared" si="7"/>
        <v>WBPM</v>
      </c>
    </row>
    <row r="213" spans="1:6">
      <c r="A213" t="s">
        <v>4665</v>
      </c>
      <c r="B213" t="s">
        <v>4666</v>
      </c>
      <c r="C213">
        <v>1.0153000000000001</v>
      </c>
      <c r="D213" s="1">
        <v>42917</v>
      </c>
      <c r="E213" s="9">
        <f t="shared" si="8"/>
        <v>2018</v>
      </c>
      <c r="F213" t="str">
        <f t="shared" si="7"/>
        <v>WBSI</v>
      </c>
    </row>
    <row r="214" spans="1:6">
      <c r="A214" t="s">
        <v>4667</v>
      </c>
      <c r="B214" t="s">
        <v>4668</v>
      </c>
      <c r="C214">
        <v>1.0561</v>
      </c>
      <c r="D214" s="1">
        <v>42917</v>
      </c>
      <c r="E214" s="9">
        <f t="shared" si="8"/>
        <v>2018</v>
      </c>
      <c r="F214" t="str">
        <f t="shared" si="7"/>
        <v>WBSN</v>
      </c>
    </row>
    <row r="215" spans="1:6">
      <c r="A215" t="s">
        <v>4669</v>
      </c>
      <c r="B215" t="s">
        <v>4670</v>
      </c>
      <c r="C215">
        <v>1.0134000000000001</v>
      </c>
      <c r="D215" s="1">
        <v>42917</v>
      </c>
      <c r="E215" s="9">
        <f t="shared" si="8"/>
        <v>2018</v>
      </c>
      <c r="F215" t="str">
        <f t="shared" si="7"/>
        <v>WBTN</v>
      </c>
    </row>
    <row r="216" spans="1:6">
      <c r="A216" t="s">
        <v>4671</v>
      </c>
      <c r="B216" t="s">
        <v>4672</v>
      </c>
      <c r="C216">
        <v>1.034</v>
      </c>
      <c r="D216" s="1">
        <v>42917</v>
      </c>
      <c r="E216" s="9">
        <f t="shared" si="8"/>
        <v>2018</v>
      </c>
      <c r="F216" t="str">
        <f t="shared" si="7"/>
        <v>WBTY</v>
      </c>
    </row>
    <row r="217" spans="1:6">
      <c r="A217" t="s">
        <v>4673</v>
      </c>
      <c r="B217" t="s">
        <v>4674</v>
      </c>
      <c r="C217">
        <v>1.0193000000000001</v>
      </c>
      <c r="D217" s="1">
        <v>42917</v>
      </c>
      <c r="E217" s="9">
        <f t="shared" si="8"/>
        <v>2018</v>
      </c>
      <c r="F217" t="str">
        <f t="shared" si="7"/>
        <v>WBUH</v>
      </c>
    </row>
    <row r="218" spans="1:6">
      <c r="A218" t="s">
        <v>4675</v>
      </c>
      <c r="B218" t="s">
        <v>4676</v>
      </c>
      <c r="C218">
        <v>1.0328999999999999</v>
      </c>
      <c r="D218" s="1">
        <v>42917</v>
      </c>
      <c r="E218" s="9">
        <f t="shared" si="8"/>
        <v>2018</v>
      </c>
      <c r="F218" t="str">
        <f t="shared" si="7"/>
        <v>WBYF</v>
      </c>
    </row>
    <row r="219" spans="1:6">
      <c r="A219" t="s">
        <v>4677</v>
      </c>
      <c r="B219" t="s">
        <v>4678</v>
      </c>
      <c r="C219">
        <v>1.0407</v>
      </c>
      <c r="D219" s="1">
        <v>42917</v>
      </c>
      <c r="E219" s="9">
        <f t="shared" si="8"/>
        <v>2018</v>
      </c>
      <c r="F219" t="str">
        <f t="shared" si="7"/>
        <v>WCAP</v>
      </c>
    </row>
    <row r="220" spans="1:6">
      <c r="A220" t="s">
        <v>4679</v>
      </c>
      <c r="B220" t="s">
        <v>4680</v>
      </c>
      <c r="C220">
        <v>1.0509999999999999</v>
      </c>
      <c r="D220" s="1">
        <v>42917</v>
      </c>
      <c r="E220" s="9">
        <f t="shared" si="8"/>
        <v>2018</v>
      </c>
      <c r="F220" t="str">
        <f t="shared" si="7"/>
        <v>WCAR</v>
      </c>
    </row>
    <row r="221" spans="1:6">
      <c r="A221" t="s">
        <v>4681</v>
      </c>
      <c r="B221" t="s">
        <v>4682</v>
      </c>
      <c r="C221">
        <v>1.0237000000000001</v>
      </c>
      <c r="D221" s="1">
        <v>42917</v>
      </c>
      <c r="E221" s="9">
        <f t="shared" si="8"/>
        <v>2018</v>
      </c>
      <c r="F221" t="str">
        <f t="shared" si="7"/>
        <v>WCBP</v>
      </c>
    </row>
    <row r="222" spans="1:6">
      <c r="A222" t="s">
        <v>4683</v>
      </c>
      <c r="B222" t="s">
        <v>4684</v>
      </c>
      <c r="C222">
        <v>1.0271999999999999</v>
      </c>
      <c r="D222" s="1">
        <v>42917</v>
      </c>
      <c r="E222" s="9">
        <f t="shared" si="8"/>
        <v>2018</v>
      </c>
      <c r="F222" t="str">
        <f t="shared" si="7"/>
        <v>WCCL</v>
      </c>
    </row>
    <row r="223" spans="1:6">
      <c r="A223" t="s">
        <v>4685</v>
      </c>
      <c r="B223" t="s">
        <v>4574</v>
      </c>
      <c r="C223">
        <v>1.0284</v>
      </c>
      <c r="D223" s="1">
        <v>42917</v>
      </c>
      <c r="E223" s="9">
        <f t="shared" si="8"/>
        <v>2018</v>
      </c>
      <c r="F223" t="str">
        <f t="shared" si="7"/>
        <v>WCCT</v>
      </c>
    </row>
    <row r="224" spans="1:6">
      <c r="A224" t="s">
        <v>4686</v>
      </c>
      <c r="B224" t="s">
        <v>4687</v>
      </c>
      <c r="C224">
        <v>0.99119999999999997</v>
      </c>
      <c r="D224" s="1">
        <v>42917</v>
      </c>
      <c r="E224" s="9">
        <f t="shared" si="8"/>
        <v>2018</v>
      </c>
      <c r="F224" t="str">
        <f t="shared" si="7"/>
        <v>WCGW</v>
      </c>
    </row>
    <row r="225" spans="1:6">
      <c r="A225" t="s">
        <v>4688</v>
      </c>
      <c r="B225" t="s">
        <v>4689</v>
      </c>
      <c r="C225">
        <v>1.0390999999999999</v>
      </c>
      <c r="D225" s="1">
        <v>42917</v>
      </c>
      <c r="E225" s="9">
        <f t="shared" si="8"/>
        <v>2018</v>
      </c>
      <c r="F225" t="str">
        <f t="shared" si="7"/>
        <v>WCKN</v>
      </c>
    </row>
    <row r="226" spans="1:6">
      <c r="A226" t="s">
        <v>4690</v>
      </c>
      <c r="B226" t="s">
        <v>4691</v>
      </c>
      <c r="C226">
        <v>1.0416000000000001</v>
      </c>
      <c r="D226" s="1">
        <v>42917</v>
      </c>
      <c r="E226" s="9">
        <f t="shared" si="8"/>
        <v>2018</v>
      </c>
      <c r="F226" t="str">
        <f t="shared" si="7"/>
        <v>WCKT</v>
      </c>
    </row>
    <row r="227" spans="1:6">
      <c r="A227" t="s">
        <v>4692</v>
      </c>
      <c r="B227" t="s">
        <v>4693</v>
      </c>
      <c r="C227">
        <v>1.038</v>
      </c>
      <c r="D227" s="1">
        <v>42917</v>
      </c>
      <c r="E227" s="9">
        <f t="shared" si="8"/>
        <v>2018</v>
      </c>
      <c r="F227" t="str">
        <f t="shared" si="7"/>
        <v>WCLN</v>
      </c>
    </row>
    <row r="228" spans="1:6">
      <c r="A228" t="s">
        <v>4694</v>
      </c>
      <c r="B228" t="s">
        <v>4695</v>
      </c>
      <c r="C228">
        <v>1.0555000000000001</v>
      </c>
      <c r="D228" s="1">
        <v>42917</v>
      </c>
      <c r="E228" s="9">
        <f t="shared" si="8"/>
        <v>2018</v>
      </c>
      <c r="F228" t="str">
        <f t="shared" si="7"/>
        <v>WCLP</v>
      </c>
    </row>
    <row r="229" spans="1:6">
      <c r="A229" t="s">
        <v>4696</v>
      </c>
      <c r="B229" t="s">
        <v>4697</v>
      </c>
      <c r="C229">
        <v>1.0215000000000001</v>
      </c>
      <c r="D229" s="1">
        <v>42917</v>
      </c>
      <c r="E229" s="9">
        <f t="shared" si="8"/>
        <v>2018</v>
      </c>
      <c r="F229" t="str">
        <f t="shared" si="7"/>
        <v>WCOE</v>
      </c>
    </row>
    <row r="230" spans="1:6">
      <c r="A230" t="s">
        <v>4698</v>
      </c>
      <c r="B230" t="s">
        <v>4699</v>
      </c>
      <c r="C230">
        <v>1.0383</v>
      </c>
      <c r="D230" s="1">
        <v>42917</v>
      </c>
      <c r="E230" s="9">
        <f t="shared" si="8"/>
        <v>2018</v>
      </c>
      <c r="F230" t="str">
        <f t="shared" si="7"/>
        <v>WCOL</v>
      </c>
    </row>
    <row r="231" spans="1:6">
      <c r="A231" t="s">
        <v>4700</v>
      </c>
      <c r="B231" t="s">
        <v>4701</v>
      </c>
      <c r="C231">
        <v>1.0271999999999999</v>
      </c>
      <c r="D231" s="1">
        <v>42917</v>
      </c>
      <c r="E231" s="9">
        <f t="shared" si="8"/>
        <v>2018</v>
      </c>
      <c r="F231" t="str">
        <f t="shared" si="7"/>
        <v>WCPN</v>
      </c>
    </row>
    <row r="232" spans="1:6">
      <c r="A232" t="s">
        <v>4702</v>
      </c>
      <c r="B232" t="s">
        <v>4703</v>
      </c>
      <c r="C232">
        <v>0.99590000000000001</v>
      </c>
      <c r="D232" s="1">
        <v>42917</v>
      </c>
      <c r="E232" s="9">
        <f t="shared" si="8"/>
        <v>2018</v>
      </c>
      <c r="F232" t="str">
        <f t="shared" si="7"/>
        <v>WCPS</v>
      </c>
    </row>
    <row r="233" spans="1:6">
      <c r="A233" t="s">
        <v>4704</v>
      </c>
      <c r="B233" t="s">
        <v>4705</v>
      </c>
      <c r="C233">
        <v>1.04</v>
      </c>
      <c r="D233" s="1">
        <v>42917</v>
      </c>
      <c r="E233" s="9">
        <f t="shared" si="8"/>
        <v>2018</v>
      </c>
      <c r="F233" t="str">
        <f t="shared" si="7"/>
        <v>WCTE</v>
      </c>
    </row>
    <row r="234" spans="1:6">
      <c r="A234" t="s">
        <v>4706</v>
      </c>
      <c r="B234" t="s">
        <v>4707</v>
      </c>
      <c r="C234">
        <v>1.0963000000000001</v>
      </c>
      <c r="D234" s="1">
        <v>42917</v>
      </c>
      <c r="E234" s="9">
        <f t="shared" si="8"/>
        <v>2018</v>
      </c>
      <c r="F234" t="str">
        <f t="shared" si="7"/>
        <v>WCUN</v>
      </c>
    </row>
    <row r="235" spans="1:6">
      <c r="A235" t="s">
        <v>4708</v>
      </c>
      <c r="B235" t="s">
        <v>4709</v>
      </c>
      <c r="C235">
        <v>1.0295000000000001</v>
      </c>
      <c r="D235" s="1">
        <v>42917</v>
      </c>
      <c r="E235" s="9">
        <f t="shared" si="8"/>
        <v>2018</v>
      </c>
      <c r="F235" t="str">
        <f t="shared" si="7"/>
        <v>WCVE</v>
      </c>
    </row>
    <row r="236" spans="1:6">
      <c r="A236" t="s">
        <v>4710</v>
      </c>
      <c r="B236" t="s">
        <v>4711</v>
      </c>
      <c r="C236">
        <v>1.0407</v>
      </c>
      <c r="D236" s="1">
        <v>42917</v>
      </c>
      <c r="E236" s="9">
        <f t="shared" si="8"/>
        <v>2018</v>
      </c>
      <c r="F236" t="str">
        <f t="shared" si="7"/>
        <v>WDTN</v>
      </c>
    </row>
    <row r="237" spans="1:6">
      <c r="A237" t="s">
        <v>4712</v>
      </c>
      <c r="B237" t="s">
        <v>4713</v>
      </c>
      <c r="C237">
        <v>1.0237000000000001</v>
      </c>
      <c r="D237" s="1">
        <v>42917</v>
      </c>
      <c r="E237" s="9">
        <f t="shared" si="8"/>
        <v>2018</v>
      </c>
      <c r="F237" t="str">
        <f t="shared" si="7"/>
        <v>WDUR</v>
      </c>
    </row>
    <row r="238" spans="1:6">
      <c r="A238" t="s">
        <v>4714</v>
      </c>
      <c r="B238" t="s">
        <v>4715</v>
      </c>
      <c r="C238">
        <v>1.0374000000000001</v>
      </c>
      <c r="D238" s="1">
        <v>42917</v>
      </c>
      <c r="E238" s="9">
        <f t="shared" si="8"/>
        <v>2018</v>
      </c>
      <c r="F238" t="str">
        <f t="shared" si="7"/>
        <v>WEDD</v>
      </c>
    </row>
    <row r="239" spans="1:6">
      <c r="A239" t="s">
        <v>4716</v>
      </c>
      <c r="B239" t="s">
        <v>4717</v>
      </c>
      <c r="C239">
        <v>1.0429999999999999</v>
      </c>
      <c r="D239" s="1">
        <v>42917</v>
      </c>
      <c r="E239" s="9">
        <f t="shared" si="8"/>
        <v>2018</v>
      </c>
      <c r="F239" t="str">
        <f t="shared" si="7"/>
        <v>WEDG</v>
      </c>
    </row>
    <row r="240" spans="1:6">
      <c r="A240" t="s">
        <v>4718</v>
      </c>
      <c r="B240" t="s">
        <v>4719</v>
      </c>
      <c r="C240">
        <v>1.0150999999999999</v>
      </c>
      <c r="D240" s="1">
        <v>42917</v>
      </c>
      <c r="E240" s="9">
        <f t="shared" si="8"/>
        <v>2018</v>
      </c>
      <c r="F240" t="str">
        <f t="shared" ref="F240:F303" si="9">A240</f>
        <v>WEMD</v>
      </c>
    </row>
    <row r="241" spans="1:6">
      <c r="A241" t="s">
        <v>4720</v>
      </c>
      <c r="B241" t="s">
        <v>4721</v>
      </c>
      <c r="C241">
        <v>1.034</v>
      </c>
      <c r="D241" s="1">
        <v>42917</v>
      </c>
      <c r="E241" s="9">
        <f t="shared" si="8"/>
        <v>2018</v>
      </c>
      <c r="F241" t="str">
        <f t="shared" si="9"/>
        <v>WENB</v>
      </c>
    </row>
    <row r="242" spans="1:6">
      <c r="A242" t="s">
        <v>4722</v>
      </c>
      <c r="B242" t="s">
        <v>4723</v>
      </c>
      <c r="C242">
        <v>1.0398000000000001</v>
      </c>
      <c r="D242" s="1">
        <v>42917</v>
      </c>
      <c r="E242" s="9">
        <f t="shared" si="8"/>
        <v>2018</v>
      </c>
      <c r="F242" t="str">
        <f t="shared" si="9"/>
        <v>WFFD</v>
      </c>
    </row>
    <row r="243" spans="1:6">
      <c r="A243" t="s">
        <v>4724</v>
      </c>
      <c r="B243" t="s">
        <v>4725</v>
      </c>
      <c r="C243">
        <v>1.0437000000000001</v>
      </c>
      <c r="D243" s="1">
        <v>42917</v>
      </c>
      <c r="E243" s="9">
        <f t="shared" si="8"/>
        <v>2018</v>
      </c>
      <c r="F243" t="str">
        <f t="shared" si="9"/>
        <v>WFRT</v>
      </c>
    </row>
    <row r="244" spans="1:6">
      <c r="A244" t="s">
        <v>4726</v>
      </c>
      <c r="B244" t="s">
        <v>4727</v>
      </c>
      <c r="C244">
        <v>1.0601</v>
      </c>
      <c r="D244" s="1">
        <v>42917</v>
      </c>
      <c r="E244" s="9">
        <f t="shared" si="8"/>
        <v>2018</v>
      </c>
      <c r="F244" t="str">
        <f t="shared" si="9"/>
        <v>WGGV</v>
      </c>
    </row>
    <row r="245" spans="1:6">
      <c r="A245" t="s">
        <v>4728</v>
      </c>
      <c r="B245" t="s">
        <v>4729</v>
      </c>
      <c r="C245">
        <v>1.0266</v>
      </c>
      <c r="D245" s="1">
        <v>42917</v>
      </c>
      <c r="E245" s="9">
        <f t="shared" si="8"/>
        <v>2018</v>
      </c>
      <c r="F245" t="str">
        <f t="shared" si="9"/>
        <v>WGNI</v>
      </c>
    </row>
    <row r="246" spans="1:6">
      <c r="A246" t="s">
        <v>4730</v>
      </c>
      <c r="B246" t="s">
        <v>4731</v>
      </c>
      <c r="C246">
        <v>1.0306</v>
      </c>
      <c r="D246" s="1">
        <v>42917</v>
      </c>
      <c r="E246" s="9">
        <f t="shared" si="8"/>
        <v>2018</v>
      </c>
      <c r="F246" t="str">
        <f t="shared" si="9"/>
        <v>WGNL</v>
      </c>
    </row>
    <row r="247" spans="1:6">
      <c r="A247" t="s">
        <v>4732</v>
      </c>
      <c r="B247" t="s">
        <v>4733</v>
      </c>
      <c r="C247">
        <v>1.0355000000000001</v>
      </c>
      <c r="D247" s="1">
        <v>42917</v>
      </c>
      <c r="E247" s="9">
        <f t="shared" si="8"/>
        <v>2018</v>
      </c>
      <c r="F247" t="str">
        <f t="shared" si="9"/>
        <v>WGNN</v>
      </c>
    </row>
    <row r="248" spans="1:6">
      <c r="A248" t="s">
        <v>4734</v>
      </c>
      <c r="B248" t="s">
        <v>4735</v>
      </c>
      <c r="C248">
        <v>1.0237000000000001</v>
      </c>
      <c r="D248" s="1">
        <v>42917</v>
      </c>
      <c r="E248" s="9">
        <f t="shared" si="8"/>
        <v>2018</v>
      </c>
      <c r="F248" t="str">
        <f t="shared" si="9"/>
        <v>WGTN</v>
      </c>
    </row>
    <row r="249" spans="1:6">
      <c r="A249" t="s">
        <v>4736</v>
      </c>
      <c r="B249" t="s">
        <v>4737</v>
      </c>
      <c r="C249">
        <v>1.0415000000000001</v>
      </c>
      <c r="D249" s="1">
        <v>42917</v>
      </c>
      <c r="E249" s="9">
        <f t="shared" si="8"/>
        <v>2018</v>
      </c>
      <c r="F249" t="str">
        <f t="shared" si="9"/>
        <v>WHAY</v>
      </c>
    </row>
    <row r="250" spans="1:6">
      <c r="A250" t="s">
        <v>4738</v>
      </c>
      <c r="B250" t="s">
        <v>4739</v>
      </c>
      <c r="C250">
        <v>1.0385</v>
      </c>
      <c r="D250" s="1">
        <v>42917</v>
      </c>
      <c r="E250" s="9">
        <f t="shared" si="8"/>
        <v>2018</v>
      </c>
      <c r="F250" t="str">
        <f t="shared" si="9"/>
        <v>WHBK</v>
      </c>
    </row>
    <row r="251" spans="1:6">
      <c r="A251" t="s">
        <v>4740</v>
      </c>
      <c r="B251" t="s">
        <v>4741</v>
      </c>
      <c r="C251">
        <v>1.0472999999999999</v>
      </c>
      <c r="D251" s="1">
        <v>42917</v>
      </c>
      <c r="E251" s="9">
        <f t="shared" si="8"/>
        <v>2018</v>
      </c>
      <c r="F251" t="str">
        <f t="shared" si="9"/>
        <v>WHEP</v>
      </c>
    </row>
    <row r="252" spans="1:6">
      <c r="A252" t="s">
        <v>4742</v>
      </c>
      <c r="B252" t="s">
        <v>4743</v>
      </c>
      <c r="C252">
        <v>1.0416000000000001</v>
      </c>
      <c r="D252" s="1">
        <v>42917</v>
      </c>
      <c r="E252" s="9">
        <f t="shared" si="8"/>
        <v>2018</v>
      </c>
      <c r="F252" t="str">
        <f t="shared" si="9"/>
        <v>WHFS</v>
      </c>
    </row>
    <row r="253" spans="1:6">
      <c r="A253" t="s">
        <v>4744</v>
      </c>
      <c r="B253" t="s">
        <v>4938</v>
      </c>
      <c r="C253">
        <v>1.0418000000000001</v>
      </c>
      <c r="D253" s="1">
        <v>42917</v>
      </c>
      <c r="E253" s="9">
        <f t="shared" si="8"/>
        <v>2018</v>
      </c>
      <c r="F253" t="str">
        <f t="shared" si="9"/>
        <v>WHIS</v>
      </c>
    </row>
    <row r="254" spans="1:6">
      <c r="A254" t="s">
        <v>4746</v>
      </c>
      <c r="B254" t="s">
        <v>4747</v>
      </c>
      <c r="C254">
        <v>1.0349999999999999</v>
      </c>
      <c r="D254" s="1">
        <v>42917</v>
      </c>
      <c r="E254" s="9">
        <f t="shared" si="8"/>
        <v>2018</v>
      </c>
      <c r="F254" t="str">
        <f t="shared" si="9"/>
        <v>WHZM</v>
      </c>
    </row>
    <row r="255" spans="1:6">
      <c r="A255" t="s">
        <v>4748</v>
      </c>
      <c r="B255" t="s">
        <v>4749</v>
      </c>
      <c r="C255">
        <v>1.0402</v>
      </c>
      <c r="D255" s="1">
        <v>42917</v>
      </c>
      <c r="E255" s="9">
        <f t="shared" si="8"/>
        <v>2018</v>
      </c>
      <c r="F255" t="str">
        <f t="shared" si="9"/>
        <v>WJDP</v>
      </c>
    </row>
    <row r="256" spans="1:6">
      <c r="A256" t="s">
        <v>4750</v>
      </c>
      <c r="B256" t="s">
        <v>4751</v>
      </c>
      <c r="C256">
        <v>1.0409999999999999</v>
      </c>
      <c r="D256" s="1">
        <v>42917</v>
      </c>
      <c r="E256" s="9">
        <f t="shared" si="8"/>
        <v>2018</v>
      </c>
      <c r="F256" t="str">
        <f t="shared" si="9"/>
        <v>WJTE</v>
      </c>
    </row>
    <row r="257" spans="1:6">
      <c r="A257" t="s">
        <v>4752</v>
      </c>
      <c r="B257" t="s">
        <v>4753</v>
      </c>
      <c r="C257">
        <v>1.0702</v>
      </c>
      <c r="D257" s="1">
        <v>42917</v>
      </c>
      <c r="E257" s="9">
        <f t="shared" si="8"/>
        <v>2018</v>
      </c>
      <c r="F257" t="str">
        <f t="shared" si="9"/>
        <v>WKAT</v>
      </c>
    </row>
    <row r="258" spans="1:6">
      <c r="A258" t="s">
        <v>4754</v>
      </c>
      <c r="B258" t="s">
        <v>4450</v>
      </c>
      <c r="C258">
        <v>1.0415000000000001</v>
      </c>
      <c r="D258" s="1">
        <v>42917</v>
      </c>
      <c r="E258" s="9">
        <f t="shared" si="8"/>
        <v>2018</v>
      </c>
      <c r="F258" t="str">
        <f t="shared" si="9"/>
        <v>WKDA</v>
      </c>
    </row>
    <row r="259" spans="1:6">
      <c r="A259" t="s">
        <v>4755</v>
      </c>
      <c r="B259" t="s">
        <v>4756</v>
      </c>
      <c r="C259">
        <v>1.0314000000000001</v>
      </c>
      <c r="D259" s="1">
        <v>42917</v>
      </c>
      <c r="E259" s="9">
        <f t="shared" ref="E259:E322" si="10">YEAR(D259)+1</f>
        <v>2018</v>
      </c>
      <c r="F259" t="str">
        <f t="shared" si="9"/>
        <v>WKDL</v>
      </c>
    </row>
    <row r="260" spans="1:6">
      <c r="A260" t="s">
        <v>4757</v>
      </c>
      <c r="B260" t="s">
        <v>4758</v>
      </c>
      <c r="C260">
        <v>1.0382</v>
      </c>
      <c r="D260" s="1">
        <v>42917</v>
      </c>
      <c r="E260" s="9">
        <f t="shared" si="10"/>
        <v>2018</v>
      </c>
      <c r="F260" t="str">
        <f t="shared" si="9"/>
        <v>WKDN</v>
      </c>
    </row>
    <row r="261" spans="1:6">
      <c r="A261" t="s">
        <v>4759</v>
      </c>
      <c r="B261" t="s">
        <v>4760</v>
      </c>
      <c r="C261">
        <v>1.0241</v>
      </c>
      <c r="D261" s="1">
        <v>42917</v>
      </c>
      <c r="E261" s="9">
        <f t="shared" si="10"/>
        <v>2018</v>
      </c>
      <c r="F261" t="str">
        <f t="shared" si="9"/>
        <v>WKDP</v>
      </c>
    </row>
    <row r="262" spans="1:6">
      <c r="A262" t="s">
        <v>4761</v>
      </c>
      <c r="B262" t="s">
        <v>4762</v>
      </c>
      <c r="C262">
        <v>1.0526</v>
      </c>
      <c r="D262" s="1">
        <v>42917</v>
      </c>
      <c r="E262" s="9">
        <f t="shared" si="10"/>
        <v>2018</v>
      </c>
      <c r="F262" t="str">
        <f t="shared" si="9"/>
        <v>WKEL</v>
      </c>
    </row>
    <row r="263" spans="1:6">
      <c r="A263" t="s">
        <v>4763</v>
      </c>
      <c r="B263" t="s">
        <v>4764</v>
      </c>
      <c r="C263">
        <v>1.0099</v>
      </c>
      <c r="D263" s="1">
        <v>42917</v>
      </c>
      <c r="E263" s="9">
        <f t="shared" si="10"/>
        <v>2018</v>
      </c>
      <c r="F263" t="str">
        <f t="shared" si="9"/>
        <v>WKEM</v>
      </c>
    </row>
    <row r="264" spans="1:6">
      <c r="A264" t="s">
        <v>4765</v>
      </c>
      <c r="B264" t="s">
        <v>4766</v>
      </c>
      <c r="C264">
        <v>1.0346</v>
      </c>
      <c r="D264" s="1">
        <v>42917</v>
      </c>
      <c r="E264" s="9">
        <f t="shared" si="10"/>
        <v>2018</v>
      </c>
      <c r="F264" t="str">
        <f t="shared" si="9"/>
        <v>WKMC</v>
      </c>
    </row>
    <row r="265" spans="1:6">
      <c r="A265" t="s">
        <v>4767</v>
      </c>
      <c r="B265" t="s">
        <v>4768</v>
      </c>
      <c r="C265">
        <v>1.0221</v>
      </c>
      <c r="D265" s="1">
        <v>42917</v>
      </c>
      <c r="E265" s="9">
        <f t="shared" si="10"/>
        <v>2018</v>
      </c>
      <c r="F265" t="str">
        <f t="shared" si="9"/>
        <v>WKMK</v>
      </c>
    </row>
    <row r="266" spans="1:6">
      <c r="A266" t="s">
        <v>4769</v>
      </c>
      <c r="B266" t="s">
        <v>4770</v>
      </c>
      <c r="C266">
        <v>1.0361</v>
      </c>
      <c r="D266" s="1">
        <v>42917</v>
      </c>
      <c r="E266" s="9">
        <f t="shared" si="10"/>
        <v>2018</v>
      </c>
      <c r="F266" t="str">
        <f t="shared" si="9"/>
        <v>WKMM</v>
      </c>
    </row>
    <row r="267" spans="1:6">
      <c r="A267" t="s">
        <v>4771</v>
      </c>
      <c r="B267" t="s">
        <v>4772</v>
      </c>
      <c r="C267">
        <v>1.0176000000000001</v>
      </c>
      <c r="D267" s="1">
        <v>42917</v>
      </c>
      <c r="E267" s="9">
        <f t="shared" si="10"/>
        <v>2018</v>
      </c>
      <c r="F267" t="str">
        <f t="shared" si="9"/>
        <v>WKND</v>
      </c>
    </row>
    <row r="268" spans="1:6">
      <c r="A268" t="s">
        <v>4773</v>
      </c>
      <c r="B268" t="s">
        <v>4774</v>
      </c>
      <c r="C268">
        <v>1.0367999999999999</v>
      </c>
      <c r="D268" s="1">
        <v>42917</v>
      </c>
      <c r="E268" s="9">
        <f t="shared" si="10"/>
        <v>2018</v>
      </c>
      <c r="F268" t="str">
        <f t="shared" si="9"/>
        <v>WKOJ</v>
      </c>
    </row>
    <row r="269" spans="1:6">
      <c r="A269" t="s">
        <v>4775</v>
      </c>
      <c r="B269" t="s">
        <v>4776</v>
      </c>
      <c r="C269">
        <v>1.0205</v>
      </c>
      <c r="D269" s="1">
        <v>42917</v>
      </c>
      <c r="E269" s="9">
        <f t="shared" si="10"/>
        <v>2018</v>
      </c>
      <c r="F269" t="str">
        <f t="shared" si="9"/>
        <v>WKPS</v>
      </c>
    </row>
    <row r="270" spans="1:6">
      <c r="A270" t="s">
        <v>4777</v>
      </c>
      <c r="B270" t="s">
        <v>4778</v>
      </c>
      <c r="C270">
        <v>1.0419</v>
      </c>
      <c r="D270" s="1">
        <v>42917</v>
      </c>
      <c r="E270" s="9">
        <f t="shared" si="10"/>
        <v>2018</v>
      </c>
      <c r="F270" t="str">
        <f t="shared" si="9"/>
        <v>WLDE</v>
      </c>
    </row>
    <row r="271" spans="1:6">
      <c r="A271" t="s">
        <v>4779</v>
      </c>
      <c r="B271" t="s">
        <v>4780</v>
      </c>
      <c r="C271">
        <v>1.0427</v>
      </c>
      <c r="D271" s="1">
        <v>42917</v>
      </c>
      <c r="E271" s="9">
        <f t="shared" si="10"/>
        <v>2018</v>
      </c>
      <c r="F271" t="str">
        <f t="shared" si="9"/>
        <v>WMAG</v>
      </c>
    </row>
    <row r="272" spans="1:6">
      <c r="A272" t="s">
        <v>4781</v>
      </c>
      <c r="B272" t="s">
        <v>4782</v>
      </c>
      <c r="C272">
        <v>1.0783</v>
      </c>
      <c r="D272" s="1">
        <v>42917</v>
      </c>
      <c r="E272" s="9">
        <f t="shared" si="10"/>
        <v>2018</v>
      </c>
      <c r="F272" t="str">
        <f t="shared" si="9"/>
        <v>WMBR</v>
      </c>
    </row>
    <row r="273" spans="1:6">
      <c r="A273" t="s">
        <v>4783</v>
      </c>
      <c r="B273" t="s">
        <v>4784</v>
      </c>
      <c r="C273">
        <v>1.0456000000000001</v>
      </c>
      <c r="D273" s="1">
        <v>42917</v>
      </c>
      <c r="E273" s="9">
        <f t="shared" si="10"/>
        <v>2018</v>
      </c>
      <c r="F273" t="str">
        <f t="shared" si="9"/>
        <v>WMCR</v>
      </c>
    </row>
    <row r="274" spans="1:6">
      <c r="A274" t="s">
        <v>4785</v>
      </c>
      <c r="B274" t="s">
        <v>4786</v>
      </c>
      <c r="C274">
        <v>1.0299</v>
      </c>
      <c r="D274" s="1">
        <v>42917</v>
      </c>
      <c r="E274" s="9">
        <f t="shared" si="10"/>
        <v>2018</v>
      </c>
      <c r="F274" t="str">
        <f t="shared" si="9"/>
        <v>WMDN</v>
      </c>
    </row>
    <row r="275" spans="1:6">
      <c r="A275" t="s">
        <v>4787</v>
      </c>
      <c r="B275" t="s">
        <v>4788</v>
      </c>
      <c r="C275">
        <v>1.0387</v>
      </c>
      <c r="D275" s="1">
        <v>42917</v>
      </c>
      <c r="E275" s="9">
        <f t="shared" si="10"/>
        <v>2018</v>
      </c>
      <c r="F275" t="str">
        <f t="shared" si="9"/>
        <v>WMDY</v>
      </c>
    </row>
    <row r="276" spans="1:6">
      <c r="A276" t="s">
        <v>4789</v>
      </c>
      <c r="B276" t="s">
        <v>4790</v>
      </c>
      <c r="C276">
        <v>1.0299</v>
      </c>
      <c r="D276" s="1">
        <v>42917</v>
      </c>
      <c r="E276" s="9">
        <f t="shared" si="10"/>
        <v>2018</v>
      </c>
      <c r="F276" t="str">
        <f t="shared" si="9"/>
        <v>WMED</v>
      </c>
    </row>
    <row r="277" spans="1:6">
      <c r="A277" t="s">
        <v>4791</v>
      </c>
      <c r="B277" t="s">
        <v>4792</v>
      </c>
      <c r="C277">
        <v>1.0479000000000001</v>
      </c>
      <c r="D277" s="1">
        <v>42917</v>
      </c>
      <c r="E277" s="9">
        <f t="shared" si="10"/>
        <v>2018</v>
      </c>
      <c r="F277" t="str">
        <f t="shared" si="9"/>
        <v>WMER</v>
      </c>
    </row>
    <row r="278" spans="1:6">
      <c r="A278" t="s">
        <v>4793</v>
      </c>
      <c r="B278" t="s">
        <v>4794</v>
      </c>
      <c r="C278">
        <v>1.0118</v>
      </c>
      <c r="D278" s="1">
        <v>42917</v>
      </c>
      <c r="E278" s="9">
        <f t="shared" si="10"/>
        <v>2018</v>
      </c>
      <c r="F278" t="str">
        <f t="shared" si="9"/>
        <v>WMGA</v>
      </c>
    </row>
    <row r="279" spans="1:6">
      <c r="A279" t="s">
        <v>4795</v>
      </c>
      <c r="B279" t="s">
        <v>4796</v>
      </c>
      <c r="C279">
        <v>1.0299</v>
      </c>
      <c r="D279" s="1">
        <v>42917</v>
      </c>
      <c r="E279" s="9">
        <f t="shared" si="10"/>
        <v>2018</v>
      </c>
      <c r="F279" t="str">
        <f t="shared" si="9"/>
        <v>WMHA</v>
      </c>
    </row>
    <row r="280" spans="1:6">
      <c r="A280" t="s">
        <v>4797</v>
      </c>
      <c r="B280" t="s">
        <v>4798</v>
      </c>
      <c r="C280">
        <v>1.0424</v>
      </c>
      <c r="D280" s="1">
        <v>42917</v>
      </c>
      <c r="E280" s="9">
        <f t="shared" si="10"/>
        <v>2018</v>
      </c>
      <c r="F280" t="str">
        <f t="shared" si="9"/>
        <v>WMIL</v>
      </c>
    </row>
    <row r="281" spans="1:6">
      <c r="A281" t="s">
        <v>4799</v>
      </c>
      <c r="B281" t="s">
        <v>4800</v>
      </c>
      <c r="C281">
        <v>1.0198</v>
      </c>
      <c r="D281" s="1">
        <v>42917</v>
      </c>
      <c r="E281" s="9">
        <f t="shared" si="10"/>
        <v>2018</v>
      </c>
      <c r="F281" t="str">
        <f t="shared" si="9"/>
        <v>WMJP</v>
      </c>
    </row>
    <row r="282" spans="1:6">
      <c r="A282" t="s">
        <v>4801</v>
      </c>
      <c r="B282" t="s">
        <v>4802</v>
      </c>
      <c r="C282">
        <v>1.0358000000000001</v>
      </c>
      <c r="D282" s="1">
        <v>42917</v>
      </c>
      <c r="E282" s="9">
        <f t="shared" si="10"/>
        <v>2018</v>
      </c>
      <c r="F282" t="str">
        <f t="shared" si="9"/>
        <v>WMJX</v>
      </c>
    </row>
    <row r="283" spans="1:6">
      <c r="A283" t="s">
        <v>4803</v>
      </c>
      <c r="B283" t="s">
        <v>4804</v>
      </c>
      <c r="C283">
        <v>1.0370999999999999</v>
      </c>
      <c r="D283" s="1">
        <v>42917</v>
      </c>
      <c r="E283" s="9">
        <f t="shared" si="10"/>
        <v>2018</v>
      </c>
      <c r="F283" t="str">
        <f t="shared" si="9"/>
        <v>WMLG</v>
      </c>
    </row>
    <row r="284" spans="1:6">
      <c r="A284" t="s">
        <v>4805</v>
      </c>
      <c r="B284" t="s">
        <v>4806</v>
      </c>
      <c r="C284">
        <v>1.0496000000000001</v>
      </c>
      <c r="D284" s="1">
        <v>42917</v>
      </c>
      <c r="E284" s="9">
        <f t="shared" si="10"/>
        <v>2018</v>
      </c>
      <c r="F284" t="str">
        <f t="shared" si="9"/>
        <v>WMOR</v>
      </c>
    </row>
    <row r="285" spans="1:6">
      <c r="A285" t="s">
        <v>4807</v>
      </c>
      <c r="B285" t="s">
        <v>4808</v>
      </c>
      <c r="C285">
        <v>1.0424</v>
      </c>
      <c r="D285" s="1">
        <v>42917</v>
      </c>
      <c r="E285" s="9">
        <f t="shared" si="10"/>
        <v>2018</v>
      </c>
      <c r="F285" t="str">
        <f t="shared" si="9"/>
        <v>WMOY</v>
      </c>
    </row>
    <row r="286" spans="1:6">
      <c r="A286" t="s">
        <v>4809</v>
      </c>
      <c r="B286" t="s">
        <v>4810</v>
      </c>
      <c r="C286">
        <v>0.99950000000000006</v>
      </c>
      <c r="D286" s="1">
        <v>42917</v>
      </c>
      <c r="E286" s="9">
        <f t="shared" si="10"/>
        <v>2018</v>
      </c>
      <c r="F286" t="str">
        <f t="shared" si="9"/>
        <v>WMPS</v>
      </c>
    </row>
    <row r="287" spans="1:6">
      <c r="A287" t="s">
        <v>4811</v>
      </c>
      <c r="B287" t="s">
        <v>4812</v>
      </c>
      <c r="C287">
        <v>1.0133000000000001</v>
      </c>
      <c r="D287" s="1">
        <v>42917</v>
      </c>
      <c r="E287" s="9">
        <f t="shared" si="10"/>
        <v>2018</v>
      </c>
      <c r="F287" t="str">
        <f t="shared" si="9"/>
        <v>WMRR</v>
      </c>
    </row>
    <row r="288" spans="1:6">
      <c r="A288" t="s">
        <v>4813</v>
      </c>
      <c r="B288" t="s">
        <v>4814</v>
      </c>
      <c r="C288">
        <v>1.1048</v>
      </c>
      <c r="D288" s="1">
        <v>42917</v>
      </c>
      <c r="E288" s="9">
        <f t="shared" si="10"/>
        <v>2018</v>
      </c>
      <c r="F288" t="str">
        <f t="shared" si="9"/>
        <v>WMRV</v>
      </c>
    </row>
    <row r="289" spans="1:6">
      <c r="A289" t="s">
        <v>4815</v>
      </c>
      <c r="B289" t="s">
        <v>4816</v>
      </c>
      <c r="C289">
        <v>1.0243</v>
      </c>
      <c r="D289" s="1">
        <v>42917</v>
      </c>
      <c r="E289" s="9">
        <f t="shared" si="10"/>
        <v>2018</v>
      </c>
      <c r="F289" t="str">
        <f t="shared" si="9"/>
        <v>WMSR</v>
      </c>
    </row>
    <row r="290" spans="1:6">
      <c r="A290" t="s">
        <v>4817</v>
      </c>
      <c r="B290" t="s">
        <v>4818</v>
      </c>
      <c r="C290">
        <v>1.0293000000000001</v>
      </c>
      <c r="D290" s="1">
        <v>42917</v>
      </c>
      <c r="E290" s="9">
        <f t="shared" si="10"/>
        <v>2018</v>
      </c>
      <c r="F290" t="str">
        <f t="shared" si="9"/>
        <v>WMSS</v>
      </c>
    </row>
    <row r="291" spans="1:6">
      <c r="A291" t="s">
        <v>4819</v>
      </c>
      <c r="B291" t="s">
        <v>4820</v>
      </c>
      <c r="C291">
        <v>1.0370999999999999</v>
      </c>
      <c r="D291" s="1">
        <v>42917</v>
      </c>
      <c r="E291" s="9">
        <f t="shared" si="10"/>
        <v>2018</v>
      </c>
      <c r="F291" t="str">
        <f t="shared" si="9"/>
        <v>WMUC</v>
      </c>
    </row>
    <row r="292" spans="1:6">
      <c r="A292" t="s">
        <v>4821</v>
      </c>
      <c r="B292" t="s">
        <v>4822</v>
      </c>
      <c r="C292">
        <v>1.0415000000000001</v>
      </c>
      <c r="D292" s="1">
        <v>42917</v>
      </c>
      <c r="E292" s="9">
        <f t="shared" si="10"/>
        <v>2018</v>
      </c>
      <c r="F292" t="str">
        <f t="shared" si="9"/>
        <v>WMUL</v>
      </c>
    </row>
    <row r="293" spans="1:6">
      <c r="A293" t="s">
        <v>4823</v>
      </c>
      <c r="B293" t="s">
        <v>4824</v>
      </c>
      <c r="C293">
        <v>1.0285</v>
      </c>
      <c r="D293" s="1">
        <v>42917</v>
      </c>
      <c r="E293" s="9">
        <f t="shared" si="10"/>
        <v>2018</v>
      </c>
      <c r="F293" t="str">
        <f t="shared" si="9"/>
        <v>WMUR</v>
      </c>
    </row>
    <row r="294" spans="1:6">
      <c r="A294" t="s">
        <v>4825</v>
      </c>
      <c r="B294" t="s">
        <v>4826</v>
      </c>
      <c r="C294">
        <v>1.0571999999999999</v>
      </c>
      <c r="D294" s="1">
        <v>42917</v>
      </c>
      <c r="E294" s="9">
        <f t="shared" si="10"/>
        <v>2018</v>
      </c>
      <c r="F294" t="str">
        <f t="shared" si="9"/>
        <v>WMWR</v>
      </c>
    </row>
    <row r="295" spans="1:6">
      <c r="A295" t="s">
        <v>4827</v>
      </c>
      <c r="B295" t="s">
        <v>4828</v>
      </c>
      <c r="C295">
        <v>1.0445</v>
      </c>
      <c r="D295" s="1">
        <v>42917</v>
      </c>
      <c r="E295" s="9">
        <f t="shared" si="10"/>
        <v>2018</v>
      </c>
      <c r="F295" t="str">
        <f t="shared" si="9"/>
        <v>WMYR</v>
      </c>
    </row>
    <row r="296" spans="1:6">
      <c r="A296" t="s">
        <v>4829</v>
      </c>
      <c r="B296" t="s">
        <v>4830</v>
      </c>
      <c r="C296">
        <v>1.0424</v>
      </c>
      <c r="D296" s="1">
        <v>42917</v>
      </c>
      <c r="E296" s="9">
        <f t="shared" si="10"/>
        <v>2018</v>
      </c>
      <c r="F296" t="str">
        <f t="shared" si="9"/>
        <v>WNBH</v>
      </c>
    </row>
    <row r="297" spans="1:6">
      <c r="A297" t="s">
        <v>4831</v>
      </c>
      <c r="B297" t="s">
        <v>4832</v>
      </c>
      <c r="C297">
        <v>1.0458000000000001</v>
      </c>
      <c r="D297" s="1">
        <v>42917</v>
      </c>
      <c r="E297" s="9">
        <f t="shared" si="10"/>
        <v>2018</v>
      </c>
      <c r="F297" t="str">
        <f t="shared" si="9"/>
        <v>WNED</v>
      </c>
    </row>
    <row r="298" spans="1:6">
      <c r="A298" t="s">
        <v>4833</v>
      </c>
      <c r="B298" t="s">
        <v>4834</v>
      </c>
      <c r="C298">
        <v>1.0370999999999999</v>
      </c>
      <c r="D298" s="1">
        <v>42917</v>
      </c>
      <c r="E298" s="9">
        <f t="shared" si="10"/>
        <v>2018</v>
      </c>
      <c r="F298" t="str">
        <f t="shared" si="9"/>
        <v>WNFL</v>
      </c>
    </row>
    <row r="299" spans="1:6">
      <c r="A299" t="s">
        <v>4835</v>
      </c>
      <c r="B299" t="s">
        <v>4581</v>
      </c>
      <c r="C299">
        <v>1.0221</v>
      </c>
      <c r="D299" s="1">
        <v>42917</v>
      </c>
      <c r="E299" s="9">
        <f t="shared" si="10"/>
        <v>2018</v>
      </c>
      <c r="F299" t="str">
        <f t="shared" si="9"/>
        <v>WNGK</v>
      </c>
    </row>
    <row r="300" spans="1:6">
      <c r="A300" t="s">
        <v>4836</v>
      </c>
      <c r="B300" t="s">
        <v>4837</v>
      </c>
      <c r="C300">
        <v>1.0254000000000001</v>
      </c>
      <c r="D300" s="1">
        <v>42917</v>
      </c>
      <c r="E300" s="9">
        <f t="shared" si="10"/>
        <v>2018</v>
      </c>
      <c r="F300" t="str">
        <f t="shared" si="9"/>
        <v>WNGN</v>
      </c>
    </row>
    <row r="301" spans="1:6">
      <c r="A301" t="s">
        <v>4838</v>
      </c>
      <c r="B301" t="s">
        <v>4839</v>
      </c>
      <c r="C301">
        <v>1.0586</v>
      </c>
      <c r="D301" s="1">
        <v>42917</v>
      </c>
      <c r="E301" s="9">
        <f t="shared" si="10"/>
        <v>2018</v>
      </c>
      <c r="F301" t="str">
        <f t="shared" si="9"/>
        <v>WNOR</v>
      </c>
    </row>
    <row r="302" spans="1:6">
      <c r="A302" t="s">
        <v>4840</v>
      </c>
      <c r="B302" t="s">
        <v>4841</v>
      </c>
      <c r="C302">
        <v>1.0357000000000001</v>
      </c>
      <c r="D302" s="1">
        <v>42917</v>
      </c>
      <c r="E302" s="9">
        <f t="shared" si="10"/>
        <v>2018</v>
      </c>
      <c r="F302" t="str">
        <f t="shared" si="9"/>
        <v>WNOW</v>
      </c>
    </row>
    <row r="303" spans="1:6">
      <c r="A303" t="s">
        <v>4842</v>
      </c>
      <c r="B303" t="s">
        <v>4843</v>
      </c>
      <c r="C303">
        <v>1.0419</v>
      </c>
      <c r="D303" s="1">
        <v>42917</v>
      </c>
      <c r="E303" s="9">
        <f t="shared" si="10"/>
        <v>2018</v>
      </c>
      <c r="F303" t="str">
        <f t="shared" si="9"/>
        <v>WNPH</v>
      </c>
    </row>
    <row r="304" spans="1:6">
      <c r="A304" t="s">
        <v>4844</v>
      </c>
      <c r="B304" t="s">
        <v>4845</v>
      </c>
      <c r="C304">
        <v>1.0411999999999999</v>
      </c>
      <c r="D304" s="1">
        <v>42917</v>
      </c>
      <c r="E304" s="9">
        <f t="shared" si="10"/>
        <v>2018</v>
      </c>
      <c r="F304" t="str">
        <f t="shared" ref="F304:F367" si="11">A304</f>
        <v>WOCN</v>
      </c>
    </row>
    <row r="305" spans="1:6">
      <c r="A305" t="s">
        <v>4846</v>
      </c>
      <c r="B305" t="s">
        <v>4847</v>
      </c>
      <c r="C305">
        <v>1.042</v>
      </c>
      <c r="D305" s="1">
        <v>42917</v>
      </c>
      <c r="E305" s="9">
        <f t="shared" si="10"/>
        <v>2018</v>
      </c>
      <c r="F305" t="str">
        <f t="shared" si="11"/>
        <v>WOPK</v>
      </c>
    </row>
    <row r="306" spans="1:6">
      <c r="A306" t="s">
        <v>4848</v>
      </c>
      <c r="B306" t="s">
        <v>4849</v>
      </c>
      <c r="C306">
        <v>1.0427</v>
      </c>
      <c r="D306" s="1">
        <v>42917</v>
      </c>
      <c r="E306" s="9">
        <f t="shared" si="10"/>
        <v>2018</v>
      </c>
      <c r="F306" t="str">
        <f t="shared" si="11"/>
        <v>WPBY</v>
      </c>
    </row>
    <row r="307" spans="1:6">
      <c r="A307" t="s">
        <v>4850</v>
      </c>
      <c r="B307" t="s">
        <v>4851</v>
      </c>
      <c r="C307">
        <v>1.1507000000000001</v>
      </c>
      <c r="D307" s="1">
        <v>42917</v>
      </c>
      <c r="E307" s="9">
        <f t="shared" si="10"/>
        <v>2018</v>
      </c>
      <c r="F307" t="str">
        <f t="shared" si="11"/>
        <v>WPCY</v>
      </c>
    </row>
    <row r="308" spans="1:6">
      <c r="A308" t="s">
        <v>4852</v>
      </c>
      <c r="B308" t="s">
        <v>4853</v>
      </c>
      <c r="C308">
        <v>1.0197000000000001</v>
      </c>
      <c r="D308" s="1">
        <v>42917</v>
      </c>
      <c r="E308" s="9">
        <f t="shared" si="10"/>
        <v>2018</v>
      </c>
      <c r="F308" t="str">
        <f t="shared" si="11"/>
        <v>WPIC</v>
      </c>
    </row>
    <row r="309" spans="1:6">
      <c r="A309" t="s">
        <v>4854</v>
      </c>
      <c r="B309" t="s">
        <v>4855</v>
      </c>
      <c r="C309">
        <v>1.0322</v>
      </c>
      <c r="D309" s="1">
        <v>42917</v>
      </c>
      <c r="E309" s="9">
        <f t="shared" si="10"/>
        <v>2018</v>
      </c>
      <c r="F309" t="str">
        <f t="shared" si="11"/>
        <v>WPJR</v>
      </c>
    </row>
    <row r="310" spans="1:6">
      <c r="A310" t="s">
        <v>4856</v>
      </c>
      <c r="B310" t="s">
        <v>4857</v>
      </c>
      <c r="C310">
        <v>1.1529</v>
      </c>
      <c r="D310" s="1">
        <v>42917</v>
      </c>
      <c r="E310" s="9">
        <f t="shared" si="10"/>
        <v>2018</v>
      </c>
      <c r="F310" t="str">
        <f t="shared" si="11"/>
        <v>WPKS</v>
      </c>
    </row>
    <row r="311" spans="1:6">
      <c r="A311" t="s">
        <v>4858</v>
      </c>
      <c r="B311" t="s">
        <v>4859</v>
      </c>
      <c r="C311">
        <v>1.0271999999999999</v>
      </c>
      <c r="D311" s="1">
        <v>42917</v>
      </c>
      <c r="E311" s="9">
        <f t="shared" si="10"/>
        <v>2018</v>
      </c>
      <c r="F311" t="str">
        <f t="shared" si="11"/>
        <v>WPLD</v>
      </c>
    </row>
    <row r="312" spans="1:6">
      <c r="A312" t="s">
        <v>4860</v>
      </c>
      <c r="B312" t="s">
        <v>4861</v>
      </c>
      <c r="C312">
        <v>1.0194000000000001</v>
      </c>
      <c r="D312" s="1">
        <v>42917</v>
      </c>
      <c r="E312" s="9">
        <f t="shared" si="10"/>
        <v>2018</v>
      </c>
      <c r="F312" t="str">
        <f t="shared" si="11"/>
        <v>WPNJ</v>
      </c>
    </row>
    <row r="313" spans="1:6">
      <c r="A313" t="s">
        <v>4862</v>
      </c>
      <c r="B313" t="s">
        <v>4863</v>
      </c>
      <c r="C313">
        <v>1.0251999999999999</v>
      </c>
      <c r="D313" s="1">
        <v>42917</v>
      </c>
      <c r="E313" s="9">
        <f t="shared" si="10"/>
        <v>2018</v>
      </c>
      <c r="F313" t="str">
        <f t="shared" si="11"/>
        <v>WRAN</v>
      </c>
    </row>
    <row r="314" spans="1:6">
      <c r="A314" t="s">
        <v>4864</v>
      </c>
      <c r="B314" t="s">
        <v>4865</v>
      </c>
      <c r="C314">
        <v>1.0357000000000001</v>
      </c>
      <c r="D314" s="1">
        <v>42917</v>
      </c>
      <c r="E314" s="9">
        <f t="shared" si="10"/>
        <v>2018</v>
      </c>
      <c r="F314" t="str">
        <f t="shared" si="11"/>
        <v>WRGN</v>
      </c>
    </row>
    <row r="315" spans="1:6">
      <c r="A315" t="s">
        <v>4866</v>
      </c>
      <c r="B315" t="s">
        <v>4513</v>
      </c>
      <c r="C315">
        <v>1.03</v>
      </c>
      <c r="D315" s="1">
        <v>42917</v>
      </c>
      <c r="E315" s="9">
        <f t="shared" si="10"/>
        <v>2018</v>
      </c>
      <c r="F315" t="str">
        <f t="shared" si="11"/>
        <v>WROH</v>
      </c>
    </row>
    <row r="316" spans="1:6">
      <c r="A316" t="s">
        <v>4867</v>
      </c>
      <c r="B316" t="s">
        <v>4868</v>
      </c>
      <c r="C316">
        <v>1.0298</v>
      </c>
      <c r="D316" s="1">
        <v>42917</v>
      </c>
      <c r="E316" s="9">
        <f t="shared" si="10"/>
        <v>2018</v>
      </c>
      <c r="F316" t="str">
        <f t="shared" si="11"/>
        <v>WRTN</v>
      </c>
    </row>
    <row r="317" spans="1:6">
      <c r="A317" t="s">
        <v>4869</v>
      </c>
      <c r="B317" t="s">
        <v>4870</v>
      </c>
      <c r="C317">
        <v>1.0319</v>
      </c>
      <c r="D317" s="1">
        <v>42917</v>
      </c>
      <c r="E317" s="9">
        <f t="shared" si="10"/>
        <v>2018</v>
      </c>
      <c r="F317" t="str">
        <f t="shared" si="11"/>
        <v>WRVE</v>
      </c>
    </row>
    <row r="318" spans="1:6">
      <c r="A318" t="s">
        <v>4871</v>
      </c>
      <c r="B318" t="s">
        <v>4872</v>
      </c>
      <c r="C318">
        <v>1.0246</v>
      </c>
      <c r="D318" s="1">
        <v>42917</v>
      </c>
      <c r="E318" s="9">
        <f t="shared" si="10"/>
        <v>2018</v>
      </c>
      <c r="F318" t="str">
        <f t="shared" si="11"/>
        <v>WSFT</v>
      </c>
    </row>
    <row r="319" spans="1:6">
      <c r="A319" t="s">
        <v>4873</v>
      </c>
      <c r="B319" t="s">
        <v>4874</v>
      </c>
      <c r="C319">
        <v>1.0299</v>
      </c>
      <c r="D319" s="1">
        <v>42917</v>
      </c>
      <c r="E319" s="9">
        <f t="shared" si="10"/>
        <v>2018</v>
      </c>
      <c r="F319" t="str">
        <f t="shared" si="11"/>
        <v>WSNR</v>
      </c>
    </row>
    <row r="320" spans="1:6">
      <c r="A320" t="s">
        <v>4875</v>
      </c>
      <c r="B320" t="s">
        <v>4876</v>
      </c>
      <c r="C320">
        <v>1.0439000000000001</v>
      </c>
      <c r="D320" s="1">
        <v>42917</v>
      </c>
      <c r="E320" s="9">
        <f t="shared" si="10"/>
        <v>2018</v>
      </c>
      <c r="F320" t="str">
        <f t="shared" si="11"/>
        <v>WSPA</v>
      </c>
    </row>
    <row r="321" spans="1:6">
      <c r="A321" t="s">
        <v>4877</v>
      </c>
      <c r="B321" t="s">
        <v>4878</v>
      </c>
      <c r="C321">
        <v>1.0448999999999999</v>
      </c>
      <c r="D321" s="1">
        <v>42917</v>
      </c>
      <c r="E321" s="9">
        <f t="shared" si="10"/>
        <v>2018</v>
      </c>
      <c r="F321" t="str">
        <f t="shared" si="11"/>
        <v>WSRD</v>
      </c>
    </row>
    <row r="322" spans="1:6">
      <c r="A322" t="s">
        <v>4879</v>
      </c>
      <c r="B322" t="s">
        <v>4880</v>
      </c>
      <c r="C322">
        <v>1.042</v>
      </c>
      <c r="D322" s="1">
        <v>42917</v>
      </c>
      <c r="E322" s="9">
        <f t="shared" si="10"/>
        <v>2018</v>
      </c>
      <c r="F322" t="str">
        <f t="shared" si="11"/>
        <v>WSUM</v>
      </c>
    </row>
    <row r="323" spans="1:6">
      <c r="A323" t="s">
        <v>4881</v>
      </c>
      <c r="B323" t="s">
        <v>4882</v>
      </c>
      <c r="C323">
        <v>1.0449999999999999</v>
      </c>
      <c r="D323" s="1">
        <v>42917</v>
      </c>
      <c r="E323" s="9">
        <f t="shared" ref="E323:E386" si="12">YEAR(D323)+1</f>
        <v>2018</v>
      </c>
      <c r="F323" t="str">
        <f t="shared" si="11"/>
        <v>WSVY</v>
      </c>
    </row>
    <row r="324" spans="1:6">
      <c r="A324" t="s">
        <v>4883</v>
      </c>
      <c r="B324" t="s">
        <v>4884</v>
      </c>
      <c r="C324">
        <v>1.0351999999999999</v>
      </c>
      <c r="D324" s="1">
        <v>42917</v>
      </c>
      <c r="E324" s="9">
        <f t="shared" si="12"/>
        <v>2018</v>
      </c>
      <c r="F324" t="str">
        <f t="shared" si="11"/>
        <v>WTLN</v>
      </c>
    </row>
    <row r="325" spans="1:6">
      <c r="A325" t="s">
        <v>4885</v>
      </c>
      <c r="B325" t="s">
        <v>4886</v>
      </c>
      <c r="C325">
        <v>1.0384</v>
      </c>
      <c r="D325" s="1">
        <v>42917</v>
      </c>
      <c r="E325" s="9">
        <f t="shared" si="12"/>
        <v>2018</v>
      </c>
      <c r="F325" t="str">
        <f t="shared" si="11"/>
        <v>WTSG</v>
      </c>
    </row>
    <row r="326" spans="1:6">
      <c r="A326" t="s">
        <v>4887</v>
      </c>
      <c r="B326" t="s">
        <v>4888</v>
      </c>
      <c r="C326">
        <v>1.0499000000000001</v>
      </c>
      <c r="D326" s="1">
        <v>42917</v>
      </c>
      <c r="E326" s="9">
        <f t="shared" si="12"/>
        <v>2018</v>
      </c>
      <c r="F326" t="str">
        <f t="shared" si="11"/>
        <v>WTST</v>
      </c>
    </row>
    <row r="327" spans="1:6">
      <c r="A327" t="s">
        <v>4889</v>
      </c>
      <c r="B327" t="s">
        <v>4890</v>
      </c>
      <c r="C327">
        <v>1.0319</v>
      </c>
      <c r="D327" s="1">
        <v>42917</v>
      </c>
      <c r="E327" s="9">
        <f t="shared" si="12"/>
        <v>2018</v>
      </c>
      <c r="F327" t="str">
        <f t="shared" si="11"/>
        <v>WTTS</v>
      </c>
    </row>
    <row r="328" spans="1:6">
      <c r="A328" t="s">
        <v>4891</v>
      </c>
      <c r="B328" t="s">
        <v>4892</v>
      </c>
      <c r="C328">
        <v>1.0467</v>
      </c>
      <c r="D328" s="1">
        <v>42917</v>
      </c>
      <c r="E328" s="9">
        <f t="shared" si="12"/>
        <v>2018</v>
      </c>
      <c r="F328" t="str">
        <f t="shared" si="11"/>
        <v>WUNI</v>
      </c>
    </row>
    <row r="329" spans="1:6">
      <c r="A329" t="s">
        <v>4893</v>
      </c>
      <c r="B329" t="s">
        <v>4894</v>
      </c>
      <c r="C329">
        <v>1.0351999999999999</v>
      </c>
      <c r="D329" s="1">
        <v>42917</v>
      </c>
      <c r="E329" s="9">
        <f t="shared" si="12"/>
        <v>2018</v>
      </c>
      <c r="F329" t="str">
        <f t="shared" si="11"/>
        <v>WVPA</v>
      </c>
    </row>
    <row r="330" spans="1:6">
      <c r="A330" t="s">
        <v>4895</v>
      </c>
      <c r="B330" t="s">
        <v>4896</v>
      </c>
      <c r="C330">
        <v>1.0753999999999999</v>
      </c>
      <c r="D330" s="1">
        <v>42917</v>
      </c>
      <c r="E330" s="9">
        <f t="shared" si="12"/>
        <v>2018</v>
      </c>
      <c r="F330" t="str">
        <f t="shared" si="11"/>
        <v>WWAG</v>
      </c>
    </row>
    <row r="331" spans="1:6">
      <c r="A331" t="s">
        <v>4897</v>
      </c>
      <c r="B331" t="s">
        <v>4898</v>
      </c>
      <c r="C331">
        <v>1.0315000000000001</v>
      </c>
      <c r="D331" s="1">
        <v>42917</v>
      </c>
      <c r="E331" s="9">
        <f t="shared" si="12"/>
        <v>2018</v>
      </c>
      <c r="F331" t="str">
        <f t="shared" si="11"/>
        <v>WWAI</v>
      </c>
    </row>
    <row r="332" spans="1:6">
      <c r="A332" t="s">
        <v>4899</v>
      </c>
      <c r="B332" t="s">
        <v>4900</v>
      </c>
      <c r="C332">
        <v>0.99839999999999995</v>
      </c>
      <c r="D332" s="1">
        <v>42917</v>
      </c>
      <c r="E332" s="9">
        <f t="shared" si="12"/>
        <v>2018</v>
      </c>
      <c r="F332" t="str">
        <f t="shared" si="11"/>
        <v>WWCL</v>
      </c>
    </row>
    <row r="333" spans="1:6">
      <c r="A333" t="s">
        <v>4901</v>
      </c>
      <c r="B333" t="s">
        <v>4902</v>
      </c>
      <c r="C333">
        <v>1.0468</v>
      </c>
      <c r="D333" s="1">
        <v>42917</v>
      </c>
      <c r="E333" s="9">
        <f t="shared" si="12"/>
        <v>2018</v>
      </c>
      <c r="F333" t="str">
        <f t="shared" si="11"/>
        <v>WWDN</v>
      </c>
    </row>
    <row r="334" spans="1:6">
      <c r="A334" t="s">
        <v>4903</v>
      </c>
      <c r="B334" t="s">
        <v>4904</v>
      </c>
      <c r="C334">
        <v>1.0313000000000001</v>
      </c>
      <c r="D334" s="1">
        <v>42917</v>
      </c>
      <c r="E334" s="9">
        <f t="shared" si="12"/>
        <v>2018</v>
      </c>
      <c r="F334" t="str">
        <f t="shared" si="11"/>
        <v>WWEL</v>
      </c>
    </row>
    <row r="335" spans="1:6">
      <c r="A335" t="s">
        <v>4905</v>
      </c>
      <c r="B335" t="s">
        <v>4906</v>
      </c>
      <c r="C335">
        <v>1.0415000000000001</v>
      </c>
      <c r="D335" s="1">
        <v>42917</v>
      </c>
      <c r="E335" s="9">
        <f t="shared" si="12"/>
        <v>2018</v>
      </c>
      <c r="F335" t="str">
        <f t="shared" si="11"/>
        <v>WWGA</v>
      </c>
    </row>
    <row r="336" spans="1:6">
      <c r="A336" t="s">
        <v>4907</v>
      </c>
      <c r="B336" t="s">
        <v>4908</v>
      </c>
      <c r="C336">
        <v>0.99680000000000002</v>
      </c>
      <c r="D336" s="1">
        <v>42917</v>
      </c>
      <c r="E336" s="9">
        <f t="shared" si="12"/>
        <v>2018</v>
      </c>
      <c r="F336" t="str">
        <f t="shared" si="11"/>
        <v>WWGP</v>
      </c>
    </row>
    <row r="337" spans="1:6">
      <c r="A337" t="s">
        <v>4909</v>
      </c>
      <c r="B337" t="s">
        <v>4910</v>
      </c>
      <c r="C337">
        <v>1.1495</v>
      </c>
      <c r="D337" s="1">
        <v>42917</v>
      </c>
      <c r="E337" s="9">
        <f t="shared" si="12"/>
        <v>2018</v>
      </c>
      <c r="F337" t="str">
        <f t="shared" si="11"/>
        <v>WWKT</v>
      </c>
    </row>
    <row r="338" spans="1:6">
      <c r="A338" t="s">
        <v>4911</v>
      </c>
      <c r="B338" t="s">
        <v>4912</v>
      </c>
      <c r="C338">
        <v>1.0288999999999999</v>
      </c>
      <c r="D338" s="1">
        <v>42917</v>
      </c>
      <c r="E338" s="9">
        <f t="shared" si="12"/>
        <v>2018</v>
      </c>
      <c r="F338" t="str">
        <f t="shared" si="11"/>
        <v>WWLN</v>
      </c>
    </row>
    <row r="339" spans="1:6">
      <c r="A339" t="s">
        <v>4913</v>
      </c>
      <c r="B339" t="s">
        <v>4914</v>
      </c>
      <c r="C339">
        <v>1.0264</v>
      </c>
      <c r="D339" s="1">
        <v>42917</v>
      </c>
      <c r="E339" s="9">
        <f t="shared" si="12"/>
        <v>2018</v>
      </c>
      <c r="F339" t="str">
        <f t="shared" si="11"/>
        <v>WWMG</v>
      </c>
    </row>
    <row r="340" spans="1:6">
      <c r="A340" t="s">
        <v>4915</v>
      </c>
      <c r="B340" t="s">
        <v>4916</v>
      </c>
      <c r="C340">
        <v>1.0376000000000001</v>
      </c>
      <c r="D340" s="1">
        <v>42917</v>
      </c>
      <c r="E340" s="9">
        <f t="shared" si="12"/>
        <v>2018</v>
      </c>
      <c r="F340" t="str">
        <f t="shared" si="11"/>
        <v>WWNO</v>
      </c>
    </row>
    <row r="341" spans="1:6">
      <c r="A341" t="s">
        <v>4917</v>
      </c>
      <c r="B341" t="s">
        <v>4918</v>
      </c>
      <c r="C341">
        <v>1.0428999999999999</v>
      </c>
      <c r="D341" s="1">
        <v>42917</v>
      </c>
      <c r="E341" s="9">
        <f t="shared" si="12"/>
        <v>2018</v>
      </c>
      <c r="F341" t="str">
        <f t="shared" si="11"/>
        <v>WWNT</v>
      </c>
    </row>
    <row r="342" spans="1:6">
      <c r="A342" t="s">
        <v>4919</v>
      </c>
      <c r="B342" t="s">
        <v>4920</v>
      </c>
      <c r="C342">
        <v>1.0368999999999999</v>
      </c>
      <c r="D342" s="1">
        <v>42917</v>
      </c>
      <c r="E342" s="9">
        <f t="shared" si="12"/>
        <v>2018</v>
      </c>
      <c r="F342" t="str">
        <f t="shared" si="11"/>
        <v>WWSD</v>
      </c>
    </row>
    <row r="343" spans="1:6">
      <c r="A343" t="s">
        <v>4921</v>
      </c>
      <c r="B343" t="s">
        <v>4922</v>
      </c>
      <c r="C343">
        <v>1.0753999999999999</v>
      </c>
      <c r="D343" s="1">
        <v>42917</v>
      </c>
      <c r="E343" s="9">
        <f t="shared" si="12"/>
        <v>2018</v>
      </c>
      <c r="F343" t="str">
        <f t="shared" si="11"/>
        <v>WWUN</v>
      </c>
    </row>
    <row r="344" spans="1:6">
      <c r="A344" t="s">
        <v>4923</v>
      </c>
      <c r="B344" t="s">
        <v>4924</v>
      </c>
      <c r="C344">
        <v>0.94869999999999999</v>
      </c>
      <c r="D344" s="1">
        <v>42917</v>
      </c>
      <c r="E344" s="9">
        <f t="shared" si="12"/>
        <v>2018</v>
      </c>
      <c r="F344" t="str">
        <f t="shared" si="11"/>
        <v>WWWF</v>
      </c>
    </row>
    <row r="345" spans="1:6">
      <c r="A345" t="s">
        <v>4925</v>
      </c>
      <c r="B345" t="s">
        <v>4926</v>
      </c>
      <c r="C345">
        <v>1.0378000000000001</v>
      </c>
      <c r="D345" s="1">
        <v>42917</v>
      </c>
      <c r="E345" s="9">
        <f t="shared" si="12"/>
        <v>2018</v>
      </c>
      <c r="F345" t="str">
        <f t="shared" si="11"/>
        <v>WYCP</v>
      </c>
    </row>
    <row r="346" spans="1:6">
      <c r="A346" t="s">
        <v>4927</v>
      </c>
      <c r="B346" t="s">
        <v>4928</v>
      </c>
      <c r="C346">
        <v>1.0525</v>
      </c>
      <c r="D346" s="1">
        <v>42917</v>
      </c>
      <c r="E346" s="9">
        <f t="shared" si="12"/>
        <v>2018</v>
      </c>
      <c r="F346" t="str">
        <f t="shared" si="11"/>
        <v>WYER</v>
      </c>
    </row>
    <row r="347" spans="1:6">
      <c r="A347" t="s">
        <v>4929</v>
      </c>
      <c r="B347" t="s">
        <v>4930</v>
      </c>
      <c r="C347">
        <v>1.042</v>
      </c>
      <c r="D347" s="1">
        <v>42917</v>
      </c>
      <c r="E347" s="9">
        <f t="shared" si="12"/>
        <v>2018</v>
      </c>
      <c r="F347" t="str">
        <f t="shared" si="11"/>
        <v>WYKE</v>
      </c>
    </row>
    <row r="348" spans="1:6">
      <c r="A348" t="s">
        <v>4931</v>
      </c>
      <c r="B348" t="s">
        <v>4932</v>
      </c>
      <c r="C348">
        <v>1.0794999999999999</v>
      </c>
      <c r="D348" s="1">
        <v>42917</v>
      </c>
      <c r="E348" s="9">
        <f t="shared" si="12"/>
        <v>2018</v>
      </c>
      <c r="F348" t="str">
        <f t="shared" si="11"/>
        <v>WYLN</v>
      </c>
    </row>
    <row r="349" spans="1:6">
      <c r="A349" t="s">
        <v>4593</v>
      </c>
      <c r="B349" t="s">
        <v>4594</v>
      </c>
      <c r="C349">
        <v>0.99209999999999998</v>
      </c>
      <c r="D349" s="1">
        <v>42552</v>
      </c>
      <c r="E349" s="9">
        <f t="shared" si="12"/>
        <v>2017</v>
      </c>
      <c r="F349" t="str">
        <f t="shared" si="11"/>
        <v>TAPA</v>
      </c>
    </row>
    <row r="350" spans="1:6">
      <c r="A350" t="s">
        <v>4595</v>
      </c>
      <c r="B350" t="s">
        <v>4596</v>
      </c>
      <c r="C350">
        <v>0.98980000000000001</v>
      </c>
      <c r="D350" s="1">
        <v>42552</v>
      </c>
      <c r="E350" s="9">
        <f t="shared" si="12"/>
        <v>2017</v>
      </c>
      <c r="F350" t="str">
        <f t="shared" si="11"/>
        <v>TAPL</v>
      </c>
    </row>
    <row r="351" spans="1:6">
      <c r="A351" t="s">
        <v>4597</v>
      </c>
      <c r="B351" t="s">
        <v>4577</v>
      </c>
      <c r="C351">
        <v>0.99980000000000002</v>
      </c>
      <c r="D351" s="1">
        <v>42552</v>
      </c>
      <c r="E351" s="9">
        <f t="shared" si="12"/>
        <v>2017</v>
      </c>
      <c r="F351" t="str">
        <f t="shared" si="11"/>
        <v>TBLB</v>
      </c>
    </row>
    <row r="352" spans="1:6">
      <c r="A352" t="s">
        <v>4598</v>
      </c>
      <c r="B352" t="s">
        <v>4599</v>
      </c>
      <c r="C352">
        <v>1.1795</v>
      </c>
      <c r="D352" s="1">
        <v>42552</v>
      </c>
      <c r="E352" s="9">
        <f t="shared" si="12"/>
        <v>2017</v>
      </c>
      <c r="F352" t="str">
        <f t="shared" si="11"/>
        <v>TBLS</v>
      </c>
    </row>
    <row r="353" spans="1:6">
      <c r="A353" t="s">
        <v>4600</v>
      </c>
      <c r="B353" t="s">
        <v>4601</v>
      </c>
      <c r="C353">
        <v>1.0431999999999999</v>
      </c>
      <c r="D353" s="1">
        <v>42552</v>
      </c>
      <c r="E353" s="9">
        <f t="shared" si="12"/>
        <v>2017</v>
      </c>
      <c r="F353" t="str">
        <f t="shared" si="11"/>
        <v>TKRA</v>
      </c>
    </row>
    <row r="354" spans="1:6">
      <c r="A354" t="s">
        <v>4602</v>
      </c>
      <c r="B354" t="s">
        <v>4603</v>
      </c>
      <c r="C354">
        <v>1.0128999999999999</v>
      </c>
      <c r="D354" s="1">
        <v>42552</v>
      </c>
      <c r="E354" s="9">
        <f t="shared" si="12"/>
        <v>2017</v>
      </c>
      <c r="F354" t="str">
        <f t="shared" si="11"/>
        <v>TLWA</v>
      </c>
    </row>
    <row r="355" spans="1:6">
      <c r="A355" t="s">
        <v>4604</v>
      </c>
      <c r="B355" t="s">
        <v>4478</v>
      </c>
      <c r="C355">
        <v>0.96960000000000002</v>
      </c>
      <c r="D355" s="1">
        <v>42552</v>
      </c>
      <c r="E355" s="9">
        <f t="shared" si="12"/>
        <v>2017</v>
      </c>
      <c r="F355" t="str">
        <f t="shared" si="11"/>
        <v>TMBA</v>
      </c>
    </row>
    <row r="356" spans="1:6">
      <c r="A356" t="s">
        <v>4605</v>
      </c>
      <c r="B356" t="s">
        <v>4606</v>
      </c>
      <c r="C356">
        <v>0.99970000000000003</v>
      </c>
      <c r="D356" s="1">
        <v>42552</v>
      </c>
      <c r="E356" s="9">
        <f t="shared" si="12"/>
        <v>2017</v>
      </c>
      <c r="F356" t="str">
        <f t="shared" si="11"/>
        <v>TMDP</v>
      </c>
    </row>
    <row r="357" spans="1:6">
      <c r="A357" t="s">
        <v>4607</v>
      </c>
      <c r="B357" t="s">
        <v>4608</v>
      </c>
      <c r="C357">
        <v>1.0186999999999999</v>
      </c>
      <c r="D357" s="1">
        <v>42552</v>
      </c>
      <c r="E357" s="9">
        <f t="shared" si="12"/>
        <v>2017</v>
      </c>
      <c r="F357" t="str">
        <f t="shared" si="11"/>
        <v>TMGS</v>
      </c>
    </row>
    <row r="358" spans="1:6">
      <c r="A358" t="s">
        <v>4609</v>
      </c>
      <c r="B358" t="s">
        <v>4610</v>
      </c>
      <c r="C358">
        <v>1.0261</v>
      </c>
      <c r="D358" s="1">
        <v>42552</v>
      </c>
      <c r="E358" s="9">
        <f t="shared" si="12"/>
        <v>2017</v>
      </c>
      <c r="F358" t="str">
        <f t="shared" si="11"/>
        <v>TMSK</v>
      </c>
    </row>
    <row r="359" spans="1:6">
      <c r="A359" t="s">
        <v>4611</v>
      </c>
      <c r="B359" t="s">
        <v>4612</v>
      </c>
      <c r="C359">
        <v>1.0145999999999999</v>
      </c>
      <c r="D359" s="1">
        <v>42552</v>
      </c>
      <c r="E359" s="9">
        <f t="shared" si="12"/>
        <v>2017</v>
      </c>
      <c r="F359" t="str">
        <f t="shared" si="11"/>
        <v>TOLA</v>
      </c>
    </row>
    <row r="360" spans="1:6">
      <c r="A360" t="s">
        <v>4613</v>
      </c>
      <c r="B360" t="s">
        <v>4614</v>
      </c>
      <c r="C360">
        <v>1.038</v>
      </c>
      <c r="D360" s="1">
        <v>42552</v>
      </c>
      <c r="E360" s="9">
        <f t="shared" si="12"/>
        <v>2017</v>
      </c>
      <c r="F360" t="str">
        <f t="shared" si="11"/>
        <v>TSAV</v>
      </c>
    </row>
    <row r="361" spans="1:6">
      <c r="A361" t="s">
        <v>4615</v>
      </c>
      <c r="B361" t="s">
        <v>4616</v>
      </c>
      <c r="C361">
        <v>1.0394000000000001</v>
      </c>
      <c r="D361" s="1">
        <v>42552</v>
      </c>
      <c r="E361" s="9">
        <f t="shared" si="12"/>
        <v>2017</v>
      </c>
      <c r="F361" t="str">
        <f t="shared" si="11"/>
        <v>TUAV</v>
      </c>
    </row>
    <row r="362" spans="1:6">
      <c r="A362" t="s">
        <v>4617</v>
      </c>
      <c r="B362" t="s">
        <v>4618</v>
      </c>
      <c r="C362">
        <v>1.1556999999999999</v>
      </c>
      <c r="D362" s="1">
        <v>42552</v>
      </c>
      <c r="E362" s="9">
        <f t="shared" si="12"/>
        <v>2017</v>
      </c>
      <c r="F362" t="str">
        <f t="shared" si="11"/>
        <v>TWKG</v>
      </c>
    </row>
    <row r="363" spans="1:6">
      <c r="A363" t="s">
        <v>4619</v>
      </c>
      <c r="B363" t="s">
        <v>4620</v>
      </c>
      <c r="C363">
        <v>0.98209999999999997</v>
      </c>
      <c r="D363" s="1">
        <v>42552</v>
      </c>
      <c r="E363" s="9">
        <f t="shared" si="12"/>
        <v>2017</v>
      </c>
      <c r="F363" t="str">
        <f t="shared" si="11"/>
        <v>TWOJ</v>
      </c>
    </row>
    <row r="364" spans="1:6">
      <c r="A364" t="s">
        <v>4621</v>
      </c>
      <c r="B364" t="s">
        <v>4622</v>
      </c>
      <c r="C364">
        <v>0.98660000000000003</v>
      </c>
      <c r="D364" s="1">
        <v>42552</v>
      </c>
      <c r="E364" s="9">
        <f t="shared" si="12"/>
        <v>2017</v>
      </c>
      <c r="F364" t="str">
        <f t="shared" si="11"/>
        <v>TWOW</v>
      </c>
    </row>
    <row r="365" spans="1:6">
      <c r="A365" t="s">
        <v>4623</v>
      </c>
      <c r="B365" t="s">
        <v>4624</v>
      </c>
      <c r="C365">
        <v>1.0282</v>
      </c>
      <c r="D365" s="1">
        <v>42552</v>
      </c>
      <c r="E365" s="9">
        <f t="shared" si="12"/>
        <v>2017</v>
      </c>
      <c r="F365" t="str">
        <f t="shared" si="11"/>
        <v>WAFM</v>
      </c>
    </row>
    <row r="366" spans="1:6">
      <c r="A366" t="s">
        <v>4625</v>
      </c>
      <c r="B366" t="s">
        <v>4626</v>
      </c>
      <c r="C366">
        <v>1.0265</v>
      </c>
      <c r="D366" s="1">
        <v>42552</v>
      </c>
      <c r="E366" s="9">
        <f t="shared" si="12"/>
        <v>2017</v>
      </c>
      <c r="F366" t="str">
        <f t="shared" si="11"/>
        <v>WAKW</v>
      </c>
    </row>
    <row r="367" spans="1:6">
      <c r="A367" t="s">
        <v>4627</v>
      </c>
      <c r="B367" t="s">
        <v>4628</v>
      </c>
      <c r="C367">
        <v>1.0710999999999999</v>
      </c>
      <c r="D367" s="1">
        <v>42552</v>
      </c>
      <c r="E367" s="9">
        <f t="shared" si="12"/>
        <v>2017</v>
      </c>
      <c r="F367" t="str">
        <f t="shared" si="11"/>
        <v>WALB</v>
      </c>
    </row>
    <row r="368" spans="1:6">
      <c r="A368" t="s">
        <v>4629</v>
      </c>
      <c r="B368" t="s">
        <v>4630</v>
      </c>
      <c r="C368">
        <v>1.0381</v>
      </c>
      <c r="D368" s="1">
        <v>42552</v>
      </c>
      <c r="E368" s="9">
        <f t="shared" si="12"/>
        <v>2017</v>
      </c>
      <c r="F368" t="str">
        <f t="shared" ref="F368:F431" si="13">A368</f>
        <v>WAMT</v>
      </c>
    </row>
    <row r="369" spans="1:6">
      <c r="A369" t="s">
        <v>4631</v>
      </c>
      <c r="B369" t="s">
        <v>4632</v>
      </c>
      <c r="C369">
        <v>1.0410999999999999</v>
      </c>
      <c r="D369" s="1">
        <v>42552</v>
      </c>
      <c r="E369" s="9">
        <f t="shared" si="12"/>
        <v>2017</v>
      </c>
      <c r="F369" t="str">
        <f t="shared" si="13"/>
        <v>WAPM</v>
      </c>
    </row>
    <row r="370" spans="1:6">
      <c r="A370" t="s">
        <v>4633</v>
      </c>
      <c r="B370" t="s">
        <v>4634</v>
      </c>
      <c r="C370">
        <v>1.04</v>
      </c>
      <c r="D370" s="1">
        <v>42552</v>
      </c>
      <c r="E370" s="9">
        <f t="shared" si="12"/>
        <v>2017</v>
      </c>
      <c r="F370" t="str">
        <f t="shared" si="13"/>
        <v>WARK</v>
      </c>
    </row>
    <row r="371" spans="1:6">
      <c r="A371" t="s">
        <v>4635</v>
      </c>
      <c r="B371" t="s">
        <v>4636</v>
      </c>
      <c r="C371">
        <v>1.0404</v>
      </c>
      <c r="D371" s="1">
        <v>42552</v>
      </c>
      <c r="E371" s="9">
        <f t="shared" si="12"/>
        <v>2017</v>
      </c>
      <c r="F371" t="str">
        <f t="shared" si="13"/>
        <v>WBCH</v>
      </c>
    </row>
    <row r="372" spans="1:6">
      <c r="A372" t="s">
        <v>4637</v>
      </c>
      <c r="B372" t="s">
        <v>4638</v>
      </c>
      <c r="C372">
        <v>1.0418000000000001</v>
      </c>
      <c r="D372" s="1">
        <v>42552</v>
      </c>
      <c r="E372" s="9">
        <f t="shared" si="12"/>
        <v>2017</v>
      </c>
      <c r="F372" t="str">
        <f t="shared" si="13"/>
        <v>WBCT</v>
      </c>
    </row>
    <row r="373" spans="1:6">
      <c r="A373" t="s">
        <v>4639</v>
      </c>
      <c r="B373" t="s">
        <v>4640</v>
      </c>
      <c r="C373">
        <v>1.0578000000000001</v>
      </c>
      <c r="D373" s="1">
        <v>42552</v>
      </c>
      <c r="E373" s="9">
        <f t="shared" si="12"/>
        <v>2017</v>
      </c>
      <c r="F373" t="str">
        <f t="shared" si="13"/>
        <v>WBDE</v>
      </c>
    </row>
    <row r="374" spans="1:6">
      <c r="A374" t="s">
        <v>4641</v>
      </c>
      <c r="B374" t="s">
        <v>4642</v>
      </c>
      <c r="C374">
        <v>1.0126999999999999</v>
      </c>
      <c r="D374" s="1">
        <v>42552</v>
      </c>
      <c r="E374" s="9">
        <f t="shared" si="12"/>
        <v>2017</v>
      </c>
      <c r="F374" t="str">
        <f t="shared" si="13"/>
        <v>WBDP</v>
      </c>
    </row>
    <row r="375" spans="1:6">
      <c r="A375" t="s">
        <v>4643</v>
      </c>
      <c r="B375" t="s">
        <v>4644</v>
      </c>
      <c r="C375">
        <v>1.0327</v>
      </c>
      <c r="D375" s="1">
        <v>42552</v>
      </c>
      <c r="E375" s="9">
        <f t="shared" si="12"/>
        <v>2017</v>
      </c>
      <c r="F375" t="str">
        <f t="shared" si="13"/>
        <v>WBEC</v>
      </c>
    </row>
    <row r="376" spans="1:6">
      <c r="A376" t="s">
        <v>4645</v>
      </c>
      <c r="B376" t="s">
        <v>4646</v>
      </c>
      <c r="C376">
        <v>1.0327999999999999</v>
      </c>
      <c r="D376" s="1">
        <v>42552</v>
      </c>
      <c r="E376" s="9">
        <f t="shared" si="12"/>
        <v>2017</v>
      </c>
      <c r="F376" t="str">
        <f t="shared" si="13"/>
        <v>WBEL</v>
      </c>
    </row>
    <row r="377" spans="1:6">
      <c r="A377" t="s">
        <v>4647</v>
      </c>
      <c r="B377" t="s">
        <v>4648</v>
      </c>
      <c r="C377">
        <v>1.0093000000000001</v>
      </c>
      <c r="D377" s="1">
        <v>42552</v>
      </c>
      <c r="E377" s="9">
        <f t="shared" si="12"/>
        <v>2017</v>
      </c>
      <c r="F377" t="str">
        <f t="shared" si="13"/>
        <v>WBGM</v>
      </c>
    </row>
    <row r="378" spans="1:6">
      <c r="A378" t="s">
        <v>4649</v>
      </c>
      <c r="B378" t="s">
        <v>4650</v>
      </c>
      <c r="C378">
        <v>1.028</v>
      </c>
      <c r="D378" s="1">
        <v>42552</v>
      </c>
      <c r="E378" s="9">
        <f t="shared" si="12"/>
        <v>2017</v>
      </c>
      <c r="F378" t="str">
        <f t="shared" si="13"/>
        <v>WBHK</v>
      </c>
    </row>
    <row r="379" spans="1:6">
      <c r="A379" t="s">
        <v>4651</v>
      </c>
      <c r="B379" t="s">
        <v>4652</v>
      </c>
      <c r="C379">
        <v>1.0342</v>
      </c>
      <c r="D379" s="1">
        <v>42552</v>
      </c>
      <c r="E379" s="9">
        <f t="shared" si="12"/>
        <v>2017</v>
      </c>
      <c r="F379" t="str">
        <f t="shared" si="13"/>
        <v>WBIB</v>
      </c>
    </row>
    <row r="380" spans="1:6">
      <c r="A380" t="s">
        <v>4653</v>
      </c>
      <c r="B380" t="s">
        <v>4654</v>
      </c>
      <c r="C380">
        <v>1.1618999999999999</v>
      </c>
      <c r="D380" s="1">
        <v>42552</v>
      </c>
      <c r="E380" s="9">
        <f t="shared" si="12"/>
        <v>2017</v>
      </c>
      <c r="F380" t="str">
        <f t="shared" si="13"/>
        <v>WBKF</v>
      </c>
    </row>
    <row r="381" spans="1:6">
      <c r="A381" t="s">
        <v>4655</v>
      </c>
      <c r="B381" t="s">
        <v>4656</v>
      </c>
      <c r="C381">
        <v>1.1434</v>
      </c>
      <c r="D381" s="1">
        <v>42552</v>
      </c>
      <c r="E381" s="9">
        <f t="shared" si="12"/>
        <v>2017</v>
      </c>
      <c r="F381" t="str">
        <f t="shared" si="13"/>
        <v>WBLD</v>
      </c>
    </row>
    <row r="382" spans="1:6">
      <c r="A382" t="s">
        <v>4657</v>
      </c>
      <c r="B382" t="s">
        <v>4658</v>
      </c>
      <c r="C382">
        <v>1.0283</v>
      </c>
      <c r="D382" s="1">
        <v>42552</v>
      </c>
      <c r="E382" s="9">
        <f t="shared" si="12"/>
        <v>2017</v>
      </c>
      <c r="F382" t="str">
        <f t="shared" si="13"/>
        <v>WBNP</v>
      </c>
    </row>
    <row r="383" spans="1:6">
      <c r="A383" t="s">
        <v>4659</v>
      </c>
      <c r="B383" t="s">
        <v>4660</v>
      </c>
      <c r="C383">
        <v>1.071</v>
      </c>
      <c r="D383" s="1">
        <v>42552</v>
      </c>
      <c r="E383" s="9">
        <f t="shared" si="12"/>
        <v>2017</v>
      </c>
      <c r="F383" t="str">
        <f t="shared" si="13"/>
        <v>WBNY</v>
      </c>
    </row>
    <row r="384" spans="1:6">
      <c r="A384" t="s">
        <v>4661</v>
      </c>
      <c r="B384" t="s">
        <v>4662</v>
      </c>
      <c r="C384">
        <v>1.0083</v>
      </c>
      <c r="D384" s="1">
        <v>42552</v>
      </c>
      <c r="E384" s="9">
        <f t="shared" si="12"/>
        <v>2017</v>
      </c>
      <c r="F384" t="str">
        <f t="shared" si="13"/>
        <v>WBOD</v>
      </c>
    </row>
    <row r="385" spans="1:6">
      <c r="A385" t="s">
        <v>4663</v>
      </c>
      <c r="B385" t="s">
        <v>4664</v>
      </c>
      <c r="C385">
        <v>1.0286999999999999</v>
      </c>
      <c r="D385" s="1">
        <v>42552</v>
      </c>
      <c r="E385" s="9">
        <f t="shared" si="12"/>
        <v>2017</v>
      </c>
      <c r="F385" t="str">
        <f t="shared" si="13"/>
        <v>WBPM</v>
      </c>
    </row>
    <row r="386" spans="1:6">
      <c r="A386" t="s">
        <v>4665</v>
      </c>
      <c r="B386" t="s">
        <v>4666</v>
      </c>
      <c r="C386">
        <v>1.0125999999999999</v>
      </c>
      <c r="D386" s="1">
        <v>42552</v>
      </c>
      <c r="E386" s="9">
        <f t="shared" si="12"/>
        <v>2017</v>
      </c>
      <c r="F386" t="str">
        <f t="shared" si="13"/>
        <v>WBSI</v>
      </c>
    </row>
    <row r="387" spans="1:6">
      <c r="A387" t="s">
        <v>4667</v>
      </c>
      <c r="B387" t="s">
        <v>4668</v>
      </c>
      <c r="C387">
        <v>1.0458000000000001</v>
      </c>
      <c r="D387" s="1">
        <v>42552</v>
      </c>
      <c r="E387" s="9">
        <f t="shared" ref="E387:E450" si="14">YEAR(D387)+1</f>
        <v>2017</v>
      </c>
      <c r="F387" t="str">
        <f t="shared" si="13"/>
        <v>WBSN</v>
      </c>
    </row>
    <row r="388" spans="1:6">
      <c r="A388" t="s">
        <v>4669</v>
      </c>
      <c r="B388" t="s">
        <v>4670</v>
      </c>
      <c r="C388">
        <v>1.0145</v>
      </c>
      <c r="D388" s="1">
        <v>42552</v>
      </c>
      <c r="E388" s="9">
        <f t="shared" si="14"/>
        <v>2017</v>
      </c>
      <c r="F388" t="str">
        <f t="shared" si="13"/>
        <v>WBTN</v>
      </c>
    </row>
    <row r="389" spans="1:6">
      <c r="A389" t="s">
        <v>4671</v>
      </c>
      <c r="B389" t="s">
        <v>4672</v>
      </c>
      <c r="C389">
        <v>1.0353000000000001</v>
      </c>
      <c r="D389" s="1">
        <v>42552</v>
      </c>
      <c r="E389" s="9">
        <f t="shared" si="14"/>
        <v>2017</v>
      </c>
      <c r="F389" t="str">
        <f t="shared" si="13"/>
        <v>WBTY</v>
      </c>
    </row>
    <row r="390" spans="1:6">
      <c r="A390" t="s">
        <v>4673</v>
      </c>
      <c r="B390" t="s">
        <v>4674</v>
      </c>
      <c r="C390">
        <v>1.0138</v>
      </c>
      <c r="D390" s="1">
        <v>42552</v>
      </c>
      <c r="E390" s="9">
        <f t="shared" si="14"/>
        <v>2017</v>
      </c>
      <c r="F390" t="str">
        <f t="shared" si="13"/>
        <v>WBUH</v>
      </c>
    </row>
    <row r="391" spans="1:6">
      <c r="A391" t="s">
        <v>4675</v>
      </c>
      <c r="B391" t="s">
        <v>4676</v>
      </c>
      <c r="C391">
        <v>1.0338000000000001</v>
      </c>
      <c r="D391" s="1">
        <v>42552</v>
      </c>
      <c r="E391" s="9">
        <f t="shared" si="14"/>
        <v>2017</v>
      </c>
      <c r="F391" t="str">
        <f t="shared" si="13"/>
        <v>WBYF</v>
      </c>
    </row>
    <row r="392" spans="1:6">
      <c r="A392" t="s">
        <v>4677</v>
      </c>
      <c r="B392" t="s">
        <v>4678</v>
      </c>
      <c r="C392">
        <v>1.0347999999999999</v>
      </c>
      <c r="D392" s="1">
        <v>42552</v>
      </c>
      <c r="E392" s="9">
        <f t="shared" si="14"/>
        <v>2017</v>
      </c>
      <c r="F392" t="str">
        <f t="shared" si="13"/>
        <v>WCAP</v>
      </c>
    </row>
    <row r="393" spans="1:6">
      <c r="A393" t="s">
        <v>4679</v>
      </c>
      <c r="B393" t="s">
        <v>4680</v>
      </c>
      <c r="C393">
        <v>1.1042000000000001</v>
      </c>
      <c r="D393" s="1">
        <v>42552</v>
      </c>
      <c r="E393" s="9">
        <f t="shared" si="14"/>
        <v>2017</v>
      </c>
      <c r="F393" t="str">
        <f t="shared" si="13"/>
        <v>WCAR</v>
      </c>
    </row>
    <row r="394" spans="1:6">
      <c r="A394" t="s">
        <v>4681</v>
      </c>
      <c r="B394" t="s">
        <v>4682</v>
      </c>
      <c r="C394">
        <v>1.0268999999999999</v>
      </c>
      <c r="D394" s="1">
        <v>42552</v>
      </c>
      <c r="E394" s="9">
        <f t="shared" si="14"/>
        <v>2017</v>
      </c>
      <c r="F394" t="str">
        <f t="shared" si="13"/>
        <v>WCBP</v>
      </c>
    </row>
    <row r="395" spans="1:6">
      <c r="A395" t="s">
        <v>4683</v>
      </c>
      <c r="B395" t="s">
        <v>4684</v>
      </c>
      <c r="C395">
        <v>1.0287999999999999</v>
      </c>
      <c r="D395" s="1">
        <v>42552</v>
      </c>
      <c r="E395" s="9">
        <f t="shared" si="14"/>
        <v>2017</v>
      </c>
      <c r="F395" t="str">
        <f t="shared" si="13"/>
        <v>WCCL</v>
      </c>
    </row>
    <row r="396" spans="1:6">
      <c r="A396" t="s">
        <v>4685</v>
      </c>
      <c r="B396" t="s">
        <v>4574</v>
      </c>
      <c r="C396">
        <v>1.0303</v>
      </c>
      <c r="D396" s="1">
        <v>42552</v>
      </c>
      <c r="E396" s="9">
        <f t="shared" si="14"/>
        <v>2017</v>
      </c>
      <c r="F396" t="str">
        <f t="shared" si="13"/>
        <v>WCCT</v>
      </c>
    </row>
    <row r="397" spans="1:6">
      <c r="A397" t="s">
        <v>4686</v>
      </c>
      <c r="B397" t="s">
        <v>4687</v>
      </c>
      <c r="C397">
        <v>0.99229999999999996</v>
      </c>
      <c r="D397" s="1">
        <v>42552</v>
      </c>
      <c r="E397" s="9">
        <f t="shared" si="14"/>
        <v>2017</v>
      </c>
      <c r="F397" t="str">
        <f t="shared" si="13"/>
        <v>WCGW</v>
      </c>
    </row>
    <row r="398" spans="1:6">
      <c r="A398" t="s">
        <v>4688</v>
      </c>
      <c r="B398" t="s">
        <v>4689</v>
      </c>
      <c r="C398">
        <v>1.0412999999999999</v>
      </c>
      <c r="D398" s="1">
        <v>42552</v>
      </c>
      <c r="E398" s="9">
        <f t="shared" si="14"/>
        <v>2017</v>
      </c>
      <c r="F398" t="str">
        <f t="shared" si="13"/>
        <v>WCKN</v>
      </c>
    </row>
    <row r="399" spans="1:6">
      <c r="A399" t="s">
        <v>4690</v>
      </c>
      <c r="B399" t="s">
        <v>4691</v>
      </c>
      <c r="C399">
        <v>1.0429999999999999</v>
      </c>
      <c r="D399" s="1">
        <v>42552</v>
      </c>
      <c r="E399" s="9">
        <f t="shared" si="14"/>
        <v>2017</v>
      </c>
      <c r="F399" t="str">
        <f t="shared" si="13"/>
        <v>WCKT</v>
      </c>
    </row>
    <row r="400" spans="1:6">
      <c r="A400" t="s">
        <v>4692</v>
      </c>
      <c r="B400" t="s">
        <v>4693</v>
      </c>
      <c r="C400">
        <v>1.0388999999999999</v>
      </c>
      <c r="D400" s="1">
        <v>42552</v>
      </c>
      <c r="E400" s="9">
        <f t="shared" si="14"/>
        <v>2017</v>
      </c>
      <c r="F400" t="str">
        <f t="shared" si="13"/>
        <v>WCLN</v>
      </c>
    </row>
    <row r="401" spans="1:6">
      <c r="A401" t="s">
        <v>4694</v>
      </c>
      <c r="B401" t="s">
        <v>4695</v>
      </c>
      <c r="C401">
        <v>1.0484</v>
      </c>
      <c r="D401" s="1">
        <v>42552</v>
      </c>
      <c r="E401" s="9">
        <f t="shared" si="14"/>
        <v>2017</v>
      </c>
      <c r="F401" t="str">
        <f t="shared" si="13"/>
        <v>WCLP</v>
      </c>
    </row>
    <row r="402" spans="1:6">
      <c r="A402" t="s">
        <v>4696</v>
      </c>
      <c r="B402" t="s">
        <v>4697</v>
      </c>
      <c r="C402">
        <v>1.0226</v>
      </c>
      <c r="D402" s="1">
        <v>42552</v>
      </c>
      <c r="E402" s="9">
        <f t="shared" si="14"/>
        <v>2017</v>
      </c>
      <c r="F402" t="str">
        <f t="shared" si="13"/>
        <v>WCOE</v>
      </c>
    </row>
    <row r="403" spans="1:6">
      <c r="A403" t="s">
        <v>4698</v>
      </c>
      <c r="B403" t="s">
        <v>4699</v>
      </c>
      <c r="C403">
        <v>1.0389999999999999</v>
      </c>
      <c r="D403" s="1">
        <v>42552</v>
      </c>
      <c r="E403" s="9">
        <f t="shared" si="14"/>
        <v>2017</v>
      </c>
      <c r="F403" t="str">
        <f t="shared" si="13"/>
        <v>WCOL</v>
      </c>
    </row>
    <row r="404" spans="1:6">
      <c r="A404" t="s">
        <v>4700</v>
      </c>
      <c r="B404" t="s">
        <v>4701</v>
      </c>
      <c r="C404">
        <v>1.0286</v>
      </c>
      <c r="D404" s="1">
        <v>42552</v>
      </c>
      <c r="E404" s="9">
        <f t="shared" si="14"/>
        <v>2017</v>
      </c>
      <c r="F404" t="str">
        <f t="shared" si="13"/>
        <v>WCPN</v>
      </c>
    </row>
    <row r="405" spans="1:6">
      <c r="A405" t="s">
        <v>4702</v>
      </c>
      <c r="B405" t="s">
        <v>4703</v>
      </c>
      <c r="C405">
        <v>0.99660000000000004</v>
      </c>
      <c r="D405" s="1">
        <v>42552</v>
      </c>
      <c r="E405" s="9">
        <f t="shared" si="14"/>
        <v>2017</v>
      </c>
      <c r="F405" t="str">
        <f t="shared" si="13"/>
        <v>WCPS</v>
      </c>
    </row>
    <row r="406" spans="1:6">
      <c r="A406" t="s">
        <v>4704</v>
      </c>
      <c r="B406" t="s">
        <v>4705</v>
      </c>
      <c r="C406">
        <v>1.0414000000000001</v>
      </c>
      <c r="D406" s="1">
        <v>42552</v>
      </c>
      <c r="E406" s="9">
        <f t="shared" si="14"/>
        <v>2017</v>
      </c>
      <c r="F406" t="str">
        <f t="shared" si="13"/>
        <v>WCTE</v>
      </c>
    </row>
    <row r="407" spans="1:6">
      <c r="A407" t="s">
        <v>4706</v>
      </c>
      <c r="B407" t="s">
        <v>4707</v>
      </c>
      <c r="C407">
        <v>1.0837000000000001</v>
      </c>
      <c r="D407" s="1">
        <v>42552</v>
      </c>
      <c r="E407" s="9">
        <f t="shared" si="14"/>
        <v>2017</v>
      </c>
      <c r="F407" t="str">
        <f t="shared" si="13"/>
        <v>WCUN</v>
      </c>
    </row>
    <row r="408" spans="1:6">
      <c r="A408" t="s">
        <v>4708</v>
      </c>
      <c r="B408" t="s">
        <v>4709</v>
      </c>
      <c r="C408">
        <v>1.0305</v>
      </c>
      <c r="D408" s="1">
        <v>42552</v>
      </c>
      <c r="E408" s="9">
        <f t="shared" si="14"/>
        <v>2017</v>
      </c>
      <c r="F408" t="str">
        <f t="shared" si="13"/>
        <v>WCVE</v>
      </c>
    </row>
    <row r="409" spans="1:6">
      <c r="A409" t="s">
        <v>4710</v>
      </c>
      <c r="B409" t="s">
        <v>4711</v>
      </c>
      <c r="C409">
        <v>1.0411999999999999</v>
      </c>
      <c r="D409" s="1">
        <v>42552</v>
      </c>
      <c r="E409" s="9">
        <f t="shared" si="14"/>
        <v>2017</v>
      </c>
      <c r="F409" t="str">
        <f t="shared" si="13"/>
        <v>WDTN</v>
      </c>
    </row>
    <row r="410" spans="1:6">
      <c r="A410" t="s">
        <v>4712</v>
      </c>
      <c r="B410" t="s">
        <v>4713</v>
      </c>
      <c r="C410">
        <v>1.0265</v>
      </c>
      <c r="D410" s="1">
        <v>42552</v>
      </c>
      <c r="E410" s="9">
        <f t="shared" si="14"/>
        <v>2017</v>
      </c>
      <c r="F410" t="str">
        <f t="shared" si="13"/>
        <v>WDUR</v>
      </c>
    </row>
    <row r="411" spans="1:6">
      <c r="A411" t="s">
        <v>4714</v>
      </c>
      <c r="B411" t="s">
        <v>4715</v>
      </c>
      <c r="C411">
        <v>1.0398000000000001</v>
      </c>
      <c r="D411" s="1">
        <v>42552</v>
      </c>
      <c r="E411" s="9">
        <f t="shared" si="14"/>
        <v>2017</v>
      </c>
      <c r="F411" t="str">
        <f t="shared" si="13"/>
        <v>WEDD</v>
      </c>
    </row>
    <row r="412" spans="1:6">
      <c r="A412" t="s">
        <v>4716</v>
      </c>
      <c r="B412" t="s">
        <v>4717</v>
      </c>
      <c r="C412">
        <v>1.0458000000000001</v>
      </c>
      <c r="D412" s="1">
        <v>42552</v>
      </c>
      <c r="E412" s="9">
        <f t="shared" si="14"/>
        <v>2017</v>
      </c>
      <c r="F412" t="str">
        <f t="shared" si="13"/>
        <v>WEDG</v>
      </c>
    </row>
    <row r="413" spans="1:6">
      <c r="A413" t="s">
        <v>4718</v>
      </c>
      <c r="B413" t="s">
        <v>4719</v>
      </c>
      <c r="C413">
        <v>1.0147999999999999</v>
      </c>
      <c r="D413" s="1">
        <v>42552</v>
      </c>
      <c r="E413" s="9">
        <f t="shared" si="14"/>
        <v>2017</v>
      </c>
      <c r="F413" t="str">
        <f t="shared" si="13"/>
        <v>WEMD</v>
      </c>
    </row>
    <row r="414" spans="1:6">
      <c r="A414" t="s">
        <v>4720</v>
      </c>
      <c r="B414" t="s">
        <v>4721</v>
      </c>
      <c r="C414">
        <v>1.0336000000000001</v>
      </c>
      <c r="D414" s="1">
        <v>42552</v>
      </c>
      <c r="E414" s="9">
        <f t="shared" si="14"/>
        <v>2017</v>
      </c>
      <c r="F414" t="str">
        <f t="shared" si="13"/>
        <v>WENB</v>
      </c>
    </row>
    <row r="415" spans="1:6">
      <c r="A415" t="s">
        <v>4722</v>
      </c>
      <c r="B415" t="s">
        <v>4723</v>
      </c>
      <c r="C415">
        <v>1.0405</v>
      </c>
      <c r="D415" s="1">
        <v>42552</v>
      </c>
      <c r="E415" s="9">
        <f t="shared" si="14"/>
        <v>2017</v>
      </c>
      <c r="F415" t="str">
        <f t="shared" si="13"/>
        <v>WFFD</v>
      </c>
    </row>
    <row r="416" spans="1:6">
      <c r="A416" t="s">
        <v>4724</v>
      </c>
      <c r="B416" t="s">
        <v>4725</v>
      </c>
      <c r="C416">
        <v>1.0452999999999999</v>
      </c>
      <c r="D416" s="1">
        <v>42552</v>
      </c>
      <c r="E416" s="9">
        <f t="shared" si="14"/>
        <v>2017</v>
      </c>
      <c r="F416" t="str">
        <f t="shared" si="13"/>
        <v>WFRT</v>
      </c>
    </row>
    <row r="417" spans="1:6">
      <c r="A417" t="s">
        <v>4726</v>
      </c>
      <c r="B417" t="s">
        <v>4727</v>
      </c>
      <c r="C417">
        <v>1.0629</v>
      </c>
      <c r="D417" s="1">
        <v>42552</v>
      </c>
      <c r="E417" s="9">
        <f t="shared" si="14"/>
        <v>2017</v>
      </c>
      <c r="F417" t="str">
        <f t="shared" si="13"/>
        <v>WGGV</v>
      </c>
    </row>
    <row r="418" spans="1:6">
      <c r="A418" t="s">
        <v>4728</v>
      </c>
      <c r="B418" t="s">
        <v>4729</v>
      </c>
      <c r="C418">
        <v>1.0281</v>
      </c>
      <c r="D418" s="1">
        <v>42552</v>
      </c>
      <c r="E418" s="9">
        <f t="shared" si="14"/>
        <v>2017</v>
      </c>
      <c r="F418" t="str">
        <f t="shared" si="13"/>
        <v>WGNI</v>
      </c>
    </row>
    <row r="419" spans="1:6">
      <c r="A419" t="s">
        <v>4730</v>
      </c>
      <c r="B419" t="s">
        <v>4731</v>
      </c>
      <c r="C419">
        <v>1.0313000000000001</v>
      </c>
      <c r="D419" s="1">
        <v>42552</v>
      </c>
      <c r="E419" s="9">
        <f t="shared" si="14"/>
        <v>2017</v>
      </c>
      <c r="F419" t="str">
        <f t="shared" si="13"/>
        <v>WGNL</v>
      </c>
    </row>
    <row r="420" spans="1:6">
      <c r="A420" t="s">
        <v>4732</v>
      </c>
      <c r="B420" t="s">
        <v>4733</v>
      </c>
      <c r="C420">
        <v>1.0374000000000001</v>
      </c>
      <c r="D420" s="1">
        <v>42552</v>
      </c>
      <c r="E420" s="9">
        <f t="shared" si="14"/>
        <v>2017</v>
      </c>
      <c r="F420" t="str">
        <f t="shared" si="13"/>
        <v>WGNN</v>
      </c>
    </row>
    <row r="421" spans="1:6">
      <c r="A421" t="s">
        <v>4734</v>
      </c>
      <c r="B421" t="s">
        <v>4735</v>
      </c>
      <c r="C421">
        <v>1.0265</v>
      </c>
      <c r="D421" s="1">
        <v>42552</v>
      </c>
      <c r="E421" s="9">
        <f t="shared" si="14"/>
        <v>2017</v>
      </c>
      <c r="F421" t="str">
        <f t="shared" si="13"/>
        <v>WGTN</v>
      </c>
    </row>
    <row r="422" spans="1:6">
      <c r="A422" t="s">
        <v>4736</v>
      </c>
      <c r="B422" t="s">
        <v>4737</v>
      </c>
      <c r="C422">
        <v>1.0429999999999999</v>
      </c>
      <c r="D422" s="1">
        <v>42552</v>
      </c>
      <c r="E422" s="9">
        <f t="shared" si="14"/>
        <v>2017</v>
      </c>
      <c r="F422" t="str">
        <f t="shared" si="13"/>
        <v>WHAY</v>
      </c>
    </row>
    <row r="423" spans="1:6">
      <c r="A423" t="s">
        <v>4738</v>
      </c>
      <c r="B423" t="s">
        <v>4739</v>
      </c>
      <c r="C423">
        <v>1.0401</v>
      </c>
      <c r="D423" s="1">
        <v>42552</v>
      </c>
      <c r="E423" s="9">
        <f t="shared" si="14"/>
        <v>2017</v>
      </c>
      <c r="F423" t="str">
        <f t="shared" si="13"/>
        <v>WHBK</v>
      </c>
    </row>
    <row r="424" spans="1:6">
      <c r="A424" t="s">
        <v>4740</v>
      </c>
      <c r="B424" t="s">
        <v>4741</v>
      </c>
      <c r="C424">
        <v>1.0483</v>
      </c>
      <c r="D424" s="1">
        <v>42552</v>
      </c>
      <c r="E424" s="9">
        <f t="shared" si="14"/>
        <v>2017</v>
      </c>
      <c r="F424" t="str">
        <f t="shared" si="13"/>
        <v>WHEP</v>
      </c>
    </row>
    <row r="425" spans="1:6">
      <c r="A425" t="s">
        <v>4742</v>
      </c>
      <c r="B425" t="s">
        <v>4743</v>
      </c>
      <c r="C425">
        <v>1.0418000000000001</v>
      </c>
      <c r="D425" s="1">
        <v>42552</v>
      </c>
      <c r="E425" s="9">
        <f t="shared" si="14"/>
        <v>2017</v>
      </c>
      <c r="F425" t="str">
        <f t="shared" si="13"/>
        <v>WHFS</v>
      </c>
    </row>
    <row r="426" spans="1:6">
      <c r="A426" t="s">
        <v>4744</v>
      </c>
      <c r="B426" t="s">
        <v>4938</v>
      </c>
      <c r="C426">
        <v>1.0219</v>
      </c>
      <c r="D426" s="1">
        <v>42552</v>
      </c>
      <c r="E426" s="9">
        <f t="shared" si="14"/>
        <v>2017</v>
      </c>
      <c r="F426" t="str">
        <f t="shared" si="13"/>
        <v>WHIS</v>
      </c>
    </row>
    <row r="427" spans="1:6">
      <c r="A427" t="s">
        <v>4746</v>
      </c>
      <c r="B427" t="s">
        <v>4747</v>
      </c>
      <c r="C427">
        <v>1.0355000000000001</v>
      </c>
      <c r="D427" s="1">
        <v>42552</v>
      </c>
      <c r="E427" s="9">
        <f t="shared" si="14"/>
        <v>2017</v>
      </c>
      <c r="F427" t="str">
        <f t="shared" si="13"/>
        <v>WHZM</v>
      </c>
    </row>
    <row r="428" spans="1:6">
      <c r="A428" t="s">
        <v>4748</v>
      </c>
      <c r="B428" t="s">
        <v>4749</v>
      </c>
      <c r="C428">
        <v>1.0409999999999999</v>
      </c>
      <c r="D428" s="1">
        <v>42552</v>
      </c>
      <c r="E428" s="9">
        <f t="shared" si="14"/>
        <v>2017</v>
      </c>
      <c r="F428" t="str">
        <f t="shared" si="13"/>
        <v>WJDP</v>
      </c>
    </row>
    <row r="429" spans="1:6">
      <c r="A429" t="s">
        <v>4750</v>
      </c>
      <c r="B429" t="s">
        <v>4751</v>
      </c>
      <c r="C429">
        <v>1.0422</v>
      </c>
      <c r="D429" s="1">
        <v>42552</v>
      </c>
      <c r="E429" s="9">
        <f t="shared" si="14"/>
        <v>2017</v>
      </c>
      <c r="F429" t="str">
        <f t="shared" si="13"/>
        <v>WJTE</v>
      </c>
    </row>
    <row r="430" spans="1:6">
      <c r="A430" t="s">
        <v>4752</v>
      </c>
      <c r="B430" t="s">
        <v>4753</v>
      </c>
      <c r="C430">
        <v>1.0521</v>
      </c>
      <c r="D430" s="1">
        <v>42552</v>
      </c>
      <c r="E430" s="9">
        <f t="shared" si="14"/>
        <v>2017</v>
      </c>
      <c r="F430" t="str">
        <f t="shared" si="13"/>
        <v>WKAT</v>
      </c>
    </row>
    <row r="431" spans="1:6">
      <c r="A431" t="s">
        <v>4754</v>
      </c>
      <c r="B431" t="s">
        <v>4450</v>
      </c>
      <c r="C431">
        <v>1.0423</v>
      </c>
      <c r="D431" s="1">
        <v>42552</v>
      </c>
      <c r="E431" s="9">
        <f t="shared" si="14"/>
        <v>2017</v>
      </c>
      <c r="F431" t="str">
        <f t="shared" si="13"/>
        <v>WKDA</v>
      </c>
    </row>
    <row r="432" spans="1:6">
      <c r="A432" t="s">
        <v>4755</v>
      </c>
      <c r="B432" t="s">
        <v>4756</v>
      </c>
      <c r="C432">
        <v>1.032</v>
      </c>
      <c r="D432" s="1">
        <v>42552</v>
      </c>
      <c r="E432" s="9">
        <f t="shared" si="14"/>
        <v>2017</v>
      </c>
      <c r="F432" t="str">
        <f t="shared" ref="F432:F495" si="15">A432</f>
        <v>WKDL</v>
      </c>
    </row>
    <row r="433" spans="1:6">
      <c r="A433" t="s">
        <v>4757</v>
      </c>
      <c r="B433" t="s">
        <v>4758</v>
      </c>
      <c r="C433">
        <v>1.0375000000000001</v>
      </c>
      <c r="D433" s="1">
        <v>42552</v>
      </c>
      <c r="E433" s="9">
        <f t="shared" si="14"/>
        <v>2017</v>
      </c>
      <c r="F433" t="str">
        <f t="shared" si="15"/>
        <v>WKDN</v>
      </c>
    </row>
    <row r="434" spans="1:6">
      <c r="A434" t="s">
        <v>4759</v>
      </c>
      <c r="B434" t="s">
        <v>4760</v>
      </c>
      <c r="C434">
        <v>1.0261</v>
      </c>
      <c r="D434" s="1">
        <v>42552</v>
      </c>
      <c r="E434" s="9">
        <f t="shared" si="14"/>
        <v>2017</v>
      </c>
      <c r="F434" t="str">
        <f t="shared" si="15"/>
        <v>WKDP</v>
      </c>
    </row>
    <row r="435" spans="1:6">
      <c r="A435" t="s">
        <v>4761</v>
      </c>
      <c r="B435" t="s">
        <v>4762</v>
      </c>
      <c r="C435">
        <v>1.0706</v>
      </c>
      <c r="D435" s="1">
        <v>42552</v>
      </c>
      <c r="E435" s="9">
        <f t="shared" si="14"/>
        <v>2017</v>
      </c>
      <c r="F435" t="str">
        <f t="shared" si="15"/>
        <v>WKEL</v>
      </c>
    </row>
    <row r="436" spans="1:6">
      <c r="A436" t="s">
        <v>4763</v>
      </c>
      <c r="B436" t="s">
        <v>4764</v>
      </c>
      <c r="C436">
        <v>1.0101</v>
      </c>
      <c r="D436" s="1">
        <v>42552</v>
      </c>
      <c r="E436" s="9">
        <f t="shared" si="14"/>
        <v>2017</v>
      </c>
      <c r="F436" t="str">
        <f t="shared" si="15"/>
        <v>WKEM</v>
      </c>
    </row>
    <row r="437" spans="1:6">
      <c r="A437" t="s">
        <v>4765</v>
      </c>
      <c r="B437" t="s">
        <v>4766</v>
      </c>
      <c r="C437">
        <v>1.0348999999999999</v>
      </c>
      <c r="D437" s="1">
        <v>42552</v>
      </c>
      <c r="E437" s="9">
        <f t="shared" si="14"/>
        <v>2017</v>
      </c>
      <c r="F437" t="str">
        <f t="shared" si="15"/>
        <v>WKMC</v>
      </c>
    </row>
    <row r="438" spans="1:6">
      <c r="A438" t="s">
        <v>4767</v>
      </c>
      <c r="B438" t="s">
        <v>4768</v>
      </c>
      <c r="C438">
        <v>1.0245</v>
      </c>
      <c r="D438" s="1">
        <v>42552</v>
      </c>
      <c r="E438" s="9">
        <f t="shared" si="14"/>
        <v>2017</v>
      </c>
      <c r="F438" t="str">
        <f t="shared" si="15"/>
        <v>WKMK</v>
      </c>
    </row>
    <row r="439" spans="1:6">
      <c r="A439" t="s">
        <v>4769</v>
      </c>
      <c r="B439" t="s">
        <v>4770</v>
      </c>
      <c r="C439">
        <v>1.0362</v>
      </c>
      <c r="D439" s="1">
        <v>42552</v>
      </c>
      <c r="E439" s="9">
        <f t="shared" si="14"/>
        <v>2017</v>
      </c>
      <c r="F439" t="str">
        <f t="shared" si="15"/>
        <v>WKMM</v>
      </c>
    </row>
    <row r="440" spans="1:6">
      <c r="A440" t="s">
        <v>4771</v>
      </c>
      <c r="B440" t="s">
        <v>4772</v>
      </c>
      <c r="C440">
        <v>1.0266999999999999</v>
      </c>
      <c r="D440" s="1">
        <v>42552</v>
      </c>
      <c r="E440" s="9">
        <f t="shared" si="14"/>
        <v>2017</v>
      </c>
      <c r="F440" t="str">
        <f t="shared" si="15"/>
        <v>WKND</v>
      </c>
    </row>
    <row r="441" spans="1:6">
      <c r="A441" t="s">
        <v>4773</v>
      </c>
      <c r="B441" t="s">
        <v>4774</v>
      </c>
      <c r="C441">
        <v>1.0284</v>
      </c>
      <c r="D441" s="1">
        <v>42552</v>
      </c>
      <c r="E441" s="9">
        <f t="shared" si="14"/>
        <v>2017</v>
      </c>
      <c r="F441" t="str">
        <f t="shared" si="15"/>
        <v>WKOJ</v>
      </c>
    </row>
    <row r="442" spans="1:6">
      <c r="A442" t="s">
        <v>4775</v>
      </c>
      <c r="B442" t="s">
        <v>4776</v>
      </c>
      <c r="C442">
        <v>1.0236000000000001</v>
      </c>
      <c r="D442" s="1">
        <v>42552</v>
      </c>
      <c r="E442" s="9">
        <f t="shared" si="14"/>
        <v>2017</v>
      </c>
      <c r="F442" t="str">
        <f t="shared" si="15"/>
        <v>WKPS</v>
      </c>
    </row>
    <row r="443" spans="1:6">
      <c r="A443" t="s">
        <v>4777</v>
      </c>
      <c r="B443" t="s">
        <v>4778</v>
      </c>
      <c r="C443">
        <v>1.0428999999999999</v>
      </c>
      <c r="D443" s="1">
        <v>42552</v>
      </c>
      <c r="E443" s="9">
        <f t="shared" si="14"/>
        <v>2017</v>
      </c>
      <c r="F443" t="str">
        <f t="shared" si="15"/>
        <v>WLDE</v>
      </c>
    </row>
    <row r="444" spans="1:6">
      <c r="A444" t="s">
        <v>4779</v>
      </c>
      <c r="B444" t="s">
        <v>4780</v>
      </c>
      <c r="C444">
        <v>1.0489999999999999</v>
      </c>
      <c r="D444" s="1">
        <v>42552</v>
      </c>
      <c r="E444" s="9">
        <f t="shared" si="14"/>
        <v>2017</v>
      </c>
      <c r="F444" t="str">
        <f t="shared" si="15"/>
        <v>WMAG</v>
      </c>
    </row>
    <row r="445" spans="1:6">
      <c r="A445" t="s">
        <v>4781</v>
      </c>
      <c r="B445" t="s">
        <v>4782</v>
      </c>
      <c r="C445">
        <v>1.0575000000000001</v>
      </c>
      <c r="D445" s="1">
        <v>42552</v>
      </c>
      <c r="E445" s="9">
        <f t="shared" si="14"/>
        <v>2017</v>
      </c>
      <c r="F445" t="str">
        <f t="shared" si="15"/>
        <v>WMBR</v>
      </c>
    </row>
    <row r="446" spans="1:6">
      <c r="A446" t="s">
        <v>4783</v>
      </c>
      <c r="B446" t="s">
        <v>4784</v>
      </c>
      <c r="C446">
        <v>1.0478000000000001</v>
      </c>
      <c r="D446" s="1">
        <v>42552</v>
      </c>
      <c r="E446" s="9">
        <f t="shared" si="14"/>
        <v>2017</v>
      </c>
      <c r="F446" t="str">
        <f t="shared" si="15"/>
        <v>WMCR</v>
      </c>
    </row>
    <row r="447" spans="1:6">
      <c r="A447" t="s">
        <v>4785</v>
      </c>
      <c r="B447" t="s">
        <v>4786</v>
      </c>
      <c r="C447">
        <v>1.0306999999999999</v>
      </c>
      <c r="D447" s="1">
        <v>42552</v>
      </c>
      <c r="E447" s="9">
        <f t="shared" si="14"/>
        <v>2017</v>
      </c>
      <c r="F447" t="str">
        <f t="shared" si="15"/>
        <v>WMDN</v>
      </c>
    </row>
    <row r="448" spans="1:6">
      <c r="A448" t="s">
        <v>4787</v>
      </c>
      <c r="B448" t="s">
        <v>4788</v>
      </c>
      <c r="C448">
        <v>1.0397000000000001</v>
      </c>
      <c r="D448" s="1">
        <v>42552</v>
      </c>
      <c r="E448" s="9">
        <f t="shared" si="14"/>
        <v>2017</v>
      </c>
      <c r="F448" t="str">
        <f t="shared" si="15"/>
        <v>WMDY</v>
      </c>
    </row>
    <row r="449" spans="1:6">
      <c r="A449" t="s">
        <v>4789</v>
      </c>
      <c r="B449" t="s">
        <v>4790</v>
      </c>
      <c r="C449">
        <v>1.0308999999999999</v>
      </c>
      <c r="D449" s="1">
        <v>42552</v>
      </c>
      <c r="E449" s="9">
        <f t="shared" si="14"/>
        <v>2017</v>
      </c>
      <c r="F449" t="str">
        <f t="shared" si="15"/>
        <v>WMED</v>
      </c>
    </row>
    <row r="450" spans="1:6">
      <c r="A450" t="s">
        <v>4791</v>
      </c>
      <c r="B450" t="s">
        <v>4792</v>
      </c>
      <c r="C450">
        <v>1.0508</v>
      </c>
      <c r="D450" s="1">
        <v>42552</v>
      </c>
      <c r="E450" s="9">
        <f t="shared" si="14"/>
        <v>2017</v>
      </c>
      <c r="F450" t="str">
        <f t="shared" si="15"/>
        <v>WMER</v>
      </c>
    </row>
    <row r="451" spans="1:6">
      <c r="A451" t="s">
        <v>4793</v>
      </c>
      <c r="B451" t="s">
        <v>4794</v>
      </c>
      <c r="C451">
        <v>1.0059</v>
      </c>
      <c r="D451" s="1">
        <v>42552</v>
      </c>
      <c r="E451" s="9">
        <f t="shared" ref="E451:E514" si="16">YEAR(D451)+1</f>
        <v>2017</v>
      </c>
      <c r="F451" t="str">
        <f t="shared" si="15"/>
        <v>WMGA</v>
      </c>
    </row>
    <row r="452" spans="1:6">
      <c r="A452" t="s">
        <v>4795</v>
      </c>
      <c r="B452" t="s">
        <v>4796</v>
      </c>
      <c r="C452">
        <v>1.0267999999999999</v>
      </c>
      <c r="D452" s="1">
        <v>42552</v>
      </c>
      <c r="E452" s="9">
        <f t="shared" si="16"/>
        <v>2017</v>
      </c>
      <c r="F452" t="str">
        <f t="shared" si="15"/>
        <v>WMHA</v>
      </c>
    </row>
    <row r="453" spans="1:6">
      <c r="A453" t="s">
        <v>4797</v>
      </c>
      <c r="B453" t="s">
        <v>4798</v>
      </c>
      <c r="C453">
        <v>1.042</v>
      </c>
      <c r="D453" s="1">
        <v>42552</v>
      </c>
      <c r="E453" s="9">
        <f t="shared" si="16"/>
        <v>2017</v>
      </c>
      <c r="F453" t="str">
        <f t="shared" si="15"/>
        <v>WMIL</v>
      </c>
    </row>
    <row r="454" spans="1:6">
      <c r="A454" t="s">
        <v>4799</v>
      </c>
      <c r="B454" t="s">
        <v>4800</v>
      </c>
      <c r="C454">
        <v>1.0202</v>
      </c>
      <c r="D454" s="1">
        <v>42552</v>
      </c>
      <c r="E454" s="9">
        <f t="shared" si="16"/>
        <v>2017</v>
      </c>
      <c r="F454" t="str">
        <f t="shared" si="15"/>
        <v>WMJP</v>
      </c>
    </row>
    <row r="455" spans="1:6">
      <c r="A455" t="s">
        <v>4801</v>
      </c>
      <c r="B455" t="s">
        <v>4802</v>
      </c>
      <c r="C455">
        <v>1.0367999999999999</v>
      </c>
      <c r="D455" s="1">
        <v>42552</v>
      </c>
      <c r="E455" s="9">
        <f t="shared" si="16"/>
        <v>2017</v>
      </c>
      <c r="F455" t="str">
        <f t="shared" si="15"/>
        <v>WMJX</v>
      </c>
    </row>
    <row r="456" spans="1:6">
      <c r="A456" t="s">
        <v>4803</v>
      </c>
      <c r="B456" t="s">
        <v>4804</v>
      </c>
      <c r="C456">
        <v>1.0379</v>
      </c>
      <c r="D456" s="1">
        <v>42552</v>
      </c>
      <c r="E456" s="9">
        <f t="shared" si="16"/>
        <v>2017</v>
      </c>
      <c r="F456" t="str">
        <f t="shared" si="15"/>
        <v>WMLG</v>
      </c>
    </row>
    <row r="457" spans="1:6">
      <c r="A457" t="s">
        <v>4805</v>
      </c>
      <c r="B457" t="s">
        <v>4806</v>
      </c>
      <c r="C457">
        <v>1.0488</v>
      </c>
      <c r="D457" s="1">
        <v>42552</v>
      </c>
      <c r="E457" s="9">
        <f t="shared" si="16"/>
        <v>2017</v>
      </c>
      <c r="F457" t="str">
        <f t="shared" si="15"/>
        <v>WMOR</v>
      </c>
    </row>
    <row r="458" spans="1:6">
      <c r="A458" t="s">
        <v>4807</v>
      </c>
      <c r="B458" t="s">
        <v>4808</v>
      </c>
      <c r="C458">
        <v>1.042</v>
      </c>
      <c r="D458" s="1">
        <v>42552</v>
      </c>
      <c r="E458" s="9">
        <f t="shared" si="16"/>
        <v>2017</v>
      </c>
      <c r="F458" t="str">
        <f t="shared" si="15"/>
        <v>WMOY</v>
      </c>
    </row>
    <row r="459" spans="1:6">
      <c r="A459" t="s">
        <v>4809</v>
      </c>
      <c r="B459" t="s">
        <v>4810</v>
      </c>
      <c r="C459">
        <v>1</v>
      </c>
      <c r="D459" s="1">
        <v>42552</v>
      </c>
      <c r="E459" s="9">
        <f t="shared" si="16"/>
        <v>2017</v>
      </c>
      <c r="F459" t="str">
        <f t="shared" si="15"/>
        <v>WMPS</v>
      </c>
    </row>
    <row r="460" spans="1:6">
      <c r="A460" t="s">
        <v>4811</v>
      </c>
      <c r="B460" t="s">
        <v>4812</v>
      </c>
      <c r="C460">
        <v>1.0105999999999999</v>
      </c>
      <c r="D460" s="1">
        <v>42552</v>
      </c>
      <c r="E460" s="9">
        <f t="shared" si="16"/>
        <v>2017</v>
      </c>
      <c r="F460" t="str">
        <f t="shared" si="15"/>
        <v>WMRR</v>
      </c>
    </row>
    <row r="461" spans="1:6">
      <c r="A461" t="s">
        <v>4813</v>
      </c>
      <c r="B461" t="s">
        <v>4814</v>
      </c>
      <c r="C461">
        <v>1.0982000000000001</v>
      </c>
      <c r="D461" s="1">
        <v>42552</v>
      </c>
      <c r="E461" s="9">
        <f t="shared" si="16"/>
        <v>2017</v>
      </c>
      <c r="F461" t="str">
        <f t="shared" si="15"/>
        <v>WMRV</v>
      </c>
    </row>
    <row r="462" spans="1:6">
      <c r="A462" t="s">
        <v>4815</v>
      </c>
      <c r="B462" t="s">
        <v>4816</v>
      </c>
      <c r="C462">
        <v>1.026</v>
      </c>
      <c r="D462" s="1">
        <v>42552</v>
      </c>
      <c r="E462" s="9">
        <f t="shared" si="16"/>
        <v>2017</v>
      </c>
      <c r="F462" t="str">
        <f t="shared" si="15"/>
        <v>WMSR</v>
      </c>
    </row>
    <row r="463" spans="1:6">
      <c r="A463" t="s">
        <v>4817</v>
      </c>
      <c r="B463" t="s">
        <v>4818</v>
      </c>
      <c r="C463">
        <v>1.0264</v>
      </c>
      <c r="D463" s="1">
        <v>42552</v>
      </c>
      <c r="E463" s="9">
        <f t="shared" si="16"/>
        <v>2017</v>
      </c>
      <c r="F463" t="str">
        <f t="shared" si="15"/>
        <v>WMSS</v>
      </c>
    </row>
    <row r="464" spans="1:6">
      <c r="A464" t="s">
        <v>4819</v>
      </c>
      <c r="B464" t="s">
        <v>4820</v>
      </c>
      <c r="C464">
        <v>1.0378000000000001</v>
      </c>
      <c r="D464" s="1">
        <v>42552</v>
      </c>
      <c r="E464" s="9">
        <f t="shared" si="16"/>
        <v>2017</v>
      </c>
      <c r="F464" t="str">
        <f t="shared" si="15"/>
        <v>WMUC</v>
      </c>
    </row>
    <row r="465" spans="1:6">
      <c r="A465" t="s">
        <v>4821</v>
      </c>
      <c r="B465" t="s">
        <v>4822</v>
      </c>
      <c r="C465">
        <v>1.0423</v>
      </c>
      <c r="D465" s="1">
        <v>42552</v>
      </c>
      <c r="E465" s="9">
        <f t="shared" si="16"/>
        <v>2017</v>
      </c>
      <c r="F465" t="str">
        <f t="shared" si="15"/>
        <v>WMUL</v>
      </c>
    </row>
    <row r="466" spans="1:6">
      <c r="A466" t="s">
        <v>4823</v>
      </c>
      <c r="B466" t="s">
        <v>4824</v>
      </c>
      <c r="C466">
        <v>1.0298</v>
      </c>
      <c r="D466" s="1">
        <v>42552</v>
      </c>
      <c r="E466" s="9">
        <f t="shared" si="16"/>
        <v>2017</v>
      </c>
      <c r="F466" t="str">
        <f t="shared" si="15"/>
        <v>WMUR</v>
      </c>
    </row>
    <row r="467" spans="1:6">
      <c r="A467" t="s">
        <v>4825</v>
      </c>
      <c r="B467" t="s">
        <v>4826</v>
      </c>
      <c r="C467">
        <v>1.0479000000000001</v>
      </c>
      <c r="D467" s="1">
        <v>42552</v>
      </c>
      <c r="E467" s="9">
        <f t="shared" si="16"/>
        <v>2017</v>
      </c>
      <c r="F467" t="str">
        <f t="shared" si="15"/>
        <v>WMWR</v>
      </c>
    </row>
    <row r="468" spans="1:6">
      <c r="A468" t="s">
        <v>4827</v>
      </c>
      <c r="B468" t="s">
        <v>4828</v>
      </c>
      <c r="C468">
        <v>1.0458000000000001</v>
      </c>
      <c r="D468" s="1">
        <v>42552</v>
      </c>
      <c r="E468" s="9">
        <f t="shared" si="16"/>
        <v>2017</v>
      </c>
      <c r="F468" t="str">
        <f t="shared" si="15"/>
        <v>WMYR</v>
      </c>
    </row>
    <row r="469" spans="1:6">
      <c r="A469" t="s">
        <v>4829</v>
      </c>
      <c r="B469" t="s">
        <v>4830</v>
      </c>
      <c r="C469">
        <v>1.0430999999999999</v>
      </c>
      <c r="D469" s="1">
        <v>42552</v>
      </c>
      <c r="E469" s="9">
        <f t="shared" si="16"/>
        <v>2017</v>
      </c>
      <c r="F469" t="str">
        <f t="shared" si="15"/>
        <v>WNBH</v>
      </c>
    </row>
    <row r="470" spans="1:6">
      <c r="A470" t="s">
        <v>4831</v>
      </c>
      <c r="B470" t="s">
        <v>4832</v>
      </c>
      <c r="C470">
        <v>1.0470999999999999</v>
      </c>
      <c r="D470" s="1">
        <v>42552</v>
      </c>
      <c r="E470" s="9">
        <f t="shared" si="16"/>
        <v>2017</v>
      </c>
      <c r="F470" t="str">
        <f t="shared" si="15"/>
        <v>WNED</v>
      </c>
    </row>
    <row r="471" spans="1:6">
      <c r="A471" t="s">
        <v>4833</v>
      </c>
      <c r="B471" t="s">
        <v>4834</v>
      </c>
      <c r="C471">
        <v>1.0384</v>
      </c>
      <c r="D471" s="1">
        <v>42552</v>
      </c>
      <c r="E471" s="9">
        <f t="shared" si="16"/>
        <v>2017</v>
      </c>
      <c r="F471" t="str">
        <f t="shared" si="15"/>
        <v>WNFL</v>
      </c>
    </row>
    <row r="472" spans="1:6">
      <c r="A472" t="s">
        <v>4835</v>
      </c>
      <c r="B472" t="s">
        <v>4581</v>
      </c>
      <c r="C472">
        <v>1.0230999999999999</v>
      </c>
      <c r="D472" s="1">
        <v>42552</v>
      </c>
      <c r="E472" s="9">
        <f t="shared" si="16"/>
        <v>2017</v>
      </c>
      <c r="F472" t="str">
        <f t="shared" si="15"/>
        <v>WNGK</v>
      </c>
    </row>
    <row r="473" spans="1:6">
      <c r="A473" t="s">
        <v>4836</v>
      </c>
      <c r="B473" t="s">
        <v>4837</v>
      </c>
      <c r="C473">
        <v>1.0427</v>
      </c>
      <c r="D473" s="1">
        <v>42552</v>
      </c>
      <c r="E473" s="9">
        <f t="shared" si="16"/>
        <v>2017</v>
      </c>
      <c r="F473" t="str">
        <f t="shared" si="15"/>
        <v>WNGN</v>
      </c>
    </row>
    <row r="474" spans="1:6">
      <c r="A474" t="s">
        <v>4838</v>
      </c>
      <c r="B474" t="s">
        <v>4839</v>
      </c>
      <c r="C474">
        <v>1.0582</v>
      </c>
      <c r="D474" s="1">
        <v>42552</v>
      </c>
      <c r="E474" s="9">
        <f t="shared" si="16"/>
        <v>2017</v>
      </c>
      <c r="F474" t="str">
        <f t="shared" si="15"/>
        <v>WNOR</v>
      </c>
    </row>
    <row r="475" spans="1:6">
      <c r="A475" t="s">
        <v>4840</v>
      </c>
      <c r="B475" t="s">
        <v>4841</v>
      </c>
      <c r="C475">
        <v>1.0369999999999999</v>
      </c>
      <c r="D475" s="1">
        <v>42552</v>
      </c>
      <c r="E475" s="9">
        <f t="shared" si="16"/>
        <v>2017</v>
      </c>
      <c r="F475" t="str">
        <f t="shared" si="15"/>
        <v>WNOW</v>
      </c>
    </row>
    <row r="476" spans="1:6">
      <c r="A476" t="s">
        <v>4842</v>
      </c>
      <c r="B476" t="s">
        <v>4843</v>
      </c>
      <c r="C476">
        <v>1.0432999999999999</v>
      </c>
      <c r="D476" s="1">
        <v>42552</v>
      </c>
      <c r="E476" s="9">
        <f t="shared" si="16"/>
        <v>2017</v>
      </c>
      <c r="F476" t="str">
        <f t="shared" si="15"/>
        <v>WNPH</v>
      </c>
    </row>
    <row r="477" spans="1:6">
      <c r="A477" t="s">
        <v>4844</v>
      </c>
      <c r="B477" t="s">
        <v>4845</v>
      </c>
      <c r="C477">
        <v>1.0438000000000001</v>
      </c>
      <c r="D477" s="1">
        <v>42552</v>
      </c>
      <c r="E477" s="9">
        <f t="shared" si="16"/>
        <v>2017</v>
      </c>
      <c r="F477" t="str">
        <f t="shared" si="15"/>
        <v>WOCN</v>
      </c>
    </row>
    <row r="478" spans="1:6">
      <c r="A478" t="s">
        <v>4846</v>
      </c>
      <c r="B478" t="s">
        <v>4847</v>
      </c>
      <c r="C478">
        <v>1.0421</v>
      </c>
      <c r="D478" s="1">
        <v>42552</v>
      </c>
      <c r="E478" s="9">
        <f t="shared" si="16"/>
        <v>2017</v>
      </c>
      <c r="F478" t="str">
        <f t="shared" si="15"/>
        <v>WOPK</v>
      </c>
    </row>
    <row r="479" spans="1:6">
      <c r="A479" t="s">
        <v>4848</v>
      </c>
      <c r="B479" t="s">
        <v>4849</v>
      </c>
      <c r="C479">
        <v>1.0437000000000001</v>
      </c>
      <c r="D479" s="1">
        <v>42552</v>
      </c>
      <c r="E479" s="9">
        <f t="shared" si="16"/>
        <v>2017</v>
      </c>
      <c r="F479" t="str">
        <f t="shared" si="15"/>
        <v>WPBY</v>
      </c>
    </row>
    <row r="480" spans="1:6">
      <c r="A480" t="s">
        <v>4850</v>
      </c>
      <c r="B480" t="s">
        <v>4851</v>
      </c>
      <c r="C480">
        <v>1.1528</v>
      </c>
      <c r="D480" s="1">
        <v>42552</v>
      </c>
      <c r="E480" s="9">
        <f t="shared" si="16"/>
        <v>2017</v>
      </c>
      <c r="F480" t="str">
        <f t="shared" si="15"/>
        <v>WPCY</v>
      </c>
    </row>
    <row r="481" spans="1:6">
      <c r="A481" t="s">
        <v>4852</v>
      </c>
      <c r="B481" t="s">
        <v>4853</v>
      </c>
      <c r="C481">
        <v>1.0136000000000001</v>
      </c>
      <c r="D481" s="1">
        <v>42552</v>
      </c>
      <c r="E481" s="9">
        <f t="shared" si="16"/>
        <v>2017</v>
      </c>
      <c r="F481" t="str">
        <f t="shared" si="15"/>
        <v>WPIC</v>
      </c>
    </row>
    <row r="482" spans="1:6">
      <c r="A482" t="s">
        <v>4854</v>
      </c>
      <c r="B482" t="s">
        <v>4855</v>
      </c>
      <c r="C482">
        <v>1.0322</v>
      </c>
      <c r="D482" s="1">
        <v>42552</v>
      </c>
      <c r="E482" s="9">
        <f t="shared" si="16"/>
        <v>2017</v>
      </c>
      <c r="F482" t="str">
        <f t="shared" si="15"/>
        <v>WPJR</v>
      </c>
    </row>
    <row r="483" spans="1:6">
      <c r="A483" t="s">
        <v>4856</v>
      </c>
      <c r="B483" t="s">
        <v>4857</v>
      </c>
      <c r="C483">
        <v>1.1468</v>
      </c>
      <c r="D483" s="1">
        <v>42552</v>
      </c>
      <c r="E483" s="9">
        <f t="shared" si="16"/>
        <v>2017</v>
      </c>
      <c r="F483" t="str">
        <f t="shared" si="15"/>
        <v>WPKS</v>
      </c>
    </row>
    <row r="484" spans="1:6">
      <c r="A484" t="s">
        <v>4858</v>
      </c>
      <c r="B484" t="s">
        <v>4859</v>
      </c>
      <c r="C484">
        <v>1.0247999999999999</v>
      </c>
      <c r="D484" s="1">
        <v>42552</v>
      </c>
      <c r="E484" s="9">
        <f t="shared" si="16"/>
        <v>2017</v>
      </c>
      <c r="F484" t="str">
        <f t="shared" si="15"/>
        <v>WPLD</v>
      </c>
    </row>
    <row r="485" spans="1:6">
      <c r="A485" t="s">
        <v>4860</v>
      </c>
      <c r="B485" t="s">
        <v>4861</v>
      </c>
      <c r="C485">
        <v>1.0166999999999999</v>
      </c>
      <c r="D485" s="1">
        <v>42552</v>
      </c>
      <c r="E485" s="9">
        <f t="shared" si="16"/>
        <v>2017</v>
      </c>
      <c r="F485" t="str">
        <f t="shared" si="15"/>
        <v>WPNJ</v>
      </c>
    </row>
    <row r="486" spans="1:6">
      <c r="A486" t="s">
        <v>4862</v>
      </c>
      <c r="B486" t="s">
        <v>4863</v>
      </c>
      <c r="C486">
        <v>1.0275000000000001</v>
      </c>
      <c r="D486" s="1">
        <v>42552</v>
      </c>
      <c r="E486" s="9">
        <f t="shared" si="16"/>
        <v>2017</v>
      </c>
      <c r="F486" t="str">
        <f t="shared" si="15"/>
        <v>WRAN</v>
      </c>
    </row>
    <row r="487" spans="1:6">
      <c r="A487" t="s">
        <v>4864</v>
      </c>
      <c r="B487" t="s">
        <v>4865</v>
      </c>
      <c r="C487">
        <v>1.0363</v>
      </c>
      <c r="D487" s="1">
        <v>42552</v>
      </c>
      <c r="E487" s="9">
        <f t="shared" si="16"/>
        <v>2017</v>
      </c>
      <c r="F487" t="str">
        <f t="shared" si="15"/>
        <v>WRGN</v>
      </c>
    </row>
    <row r="488" spans="1:6">
      <c r="A488" t="s">
        <v>4866</v>
      </c>
      <c r="B488" t="s">
        <v>4513</v>
      </c>
      <c r="C488">
        <v>1.0314000000000001</v>
      </c>
      <c r="D488" s="1">
        <v>42552</v>
      </c>
      <c r="E488" s="9">
        <f t="shared" si="16"/>
        <v>2017</v>
      </c>
      <c r="F488" t="str">
        <f t="shared" si="15"/>
        <v>WROH</v>
      </c>
    </row>
    <row r="489" spans="1:6">
      <c r="A489" t="s">
        <v>4867</v>
      </c>
      <c r="B489" t="s">
        <v>4868</v>
      </c>
      <c r="C489">
        <v>1.0309999999999999</v>
      </c>
      <c r="D489" s="1">
        <v>42552</v>
      </c>
      <c r="E489" s="9">
        <f t="shared" si="16"/>
        <v>2017</v>
      </c>
      <c r="F489" t="str">
        <f t="shared" si="15"/>
        <v>WRTN</v>
      </c>
    </row>
    <row r="490" spans="1:6">
      <c r="A490" t="s">
        <v>4869</v>
      </c>
      <c r="B490" t="s">
        <v>4870</v>
      </c>
      <c r="C490">
        <v>1.0327</v>
      </c>
      <c r="D490" s="1">
        <v>42552</v>
      </c>
      <c r="E490" s="9">
        <f t="shared" si="16"/>
        <v>2017</v>
      </c>
      <c r="F490" t="str">
        <f t="shared" si="15"/>
        <v>WRVE</v>
      </c>
    </row>
    <row r="491" spans="1:6">
      <c r="A491" t="s">
        <v>4871</v>
      </c>
      <c r="B491" t="s">
        <v>4872</v>
      </c>
      <c r="C491">
        <v>1.0246</v>
      </c>
      <c r="D491" s="1">
        <v>42552</v>
      </c>
      <c r="E491" s="9">
        <f t="shared" si="16"/>
        <v>2017</v>
      </c>
      <c r="F491" t="str">
        <f t="shared" si="15"/>
        <v>WSFT</v>
      </c>
    </row>
    <row r="492" spans="1:6">
      <c r="A492" t="s">
        <v>4873</v>
      </c>
      <c r="B492" t="s">
        <v>4874</v>
      </c>
      <c r="C492">
        <v>1.0304</v>
      </c>
      <c r="D492" s="1">
        <v>42552</v>
      </c>
      <c r="E492" s="9">
        <f t="shared" si="16"/>
        <v>2017</v>
      </c>
      <c r="F492" t="str">
        <f t="shared" si="15"/>
        <v>WSNR</v>
      </c>
    </row>
    <row r="493" spans="1:6">
      <c r="A493" t="s">
        <v>4875</v>
      </c>
      <c r="B493" t="s">
        <v>4876</v>
      </c>
      <c r="C493">
        <v>1.0451999999999999</v>
      </c>
      <c r="D493" s="1">
        <v>42552</v>
      </c>
      <c r="E493" s="9">
        <f t="shared" si="16"/>
        <v>2017</v>
      </c>
      <c r="F493" t="str">
        <f t="shared" si="15"/>
        <v>WSPA</v>
      </c>
    </row>
    <row r="494" spans="1:6">
      <c r="A494" t="s">
        <v>4877</v>
      </c>
      <c r="B494" t="s">
        <v>4878</v>
      </c>
      <c r="C494">
        <v>1.0451999999999999</v>
      </c>
      <c r="D494" s="1">
        <v>42552</v>
      </c>
      <c r="E494" s="9">
        <f t="shared" si="16"/>
        <v>2017</v>
      </c>
      <c r="F494" t="str">
        <f t="shared" si="15"/>
        <v>WSRD</v>
      </c>
    </row>
    <row r="495" spans="1:6">
      <c r="A495" t="s">
        <v>4879</v>
      </c>
      <c r="B495" t="s">
        <v>4880</v>
      </c>
      <c r="C495">
        <v>1.0430999999999999</v>
      </c>
      <c r="D495" s="1">
        <v>42552</v>
      </c>
      <c r="E495" s="9">
        <f t="shared" si="16"/>
        <v>2017</v>
      </c>
      <c r="F495" t="str">
        <f t="shared" si="15"/>
        <v>WSUM</v>
      </c>
    </row>
    <row r="496" spans="1:6">
      <c r="A496" t="s">
        <v>4881</v>
      </c>
      <c r="B496" t="s">
        <v>4882</v>
      </c>
      <c r="C496">
        <v>1.0458000000000001</v>
      </c>
      <c r="D496" s="1">
        <v>42552</v>
      </c>
      <c r="E496" s="9">
        <f t="shared" si="16"/>
        <v>2017</v>
      </c>
      <c r="F496" t="str">
        <f t="shared" ref="F496:F559" si="17">A496</f>
        <v>WSVY</v>
      </c>
    </row>
    <row r="497" spans="1:6">
      <c r="A497" t="s">
        <v>4883</v>
      </c>
      <c r="B497" t="s">
        <v>4884</v>
      </c>
      <c r="C497">
        <v>1.03</v>
      </c>
      <c r="D497" s="1">
        <v>42552</v>
      </c>
      <c r="E497" s="9">
        <f t="shared" si="16"/>
        <v>2017</v>
      </c>
      <c r="F497" t="str">
        <f t="shared" si="17"/>
        <v>WTLN</v>
      </c>
    </row>
    <row r="498" spans="1:6">
      <c r="A498" t="s">
        <v>4885</v>
      </c>
      <c r="B498" t="s">
        <v>4886</v>
      </c>
      <c r="C498">
        <v>1.0382</v>
      </c>
      <c r="D498" s="1">
        <v>42552</v>
      </c>
      <c r="E498" s="9">
        <f t="shared" si="16"/>
        <v>2017</v>
      </c>
      <c r="F498" t="str">
        <f t="shared" si="17"/>
        <v>WTSG</v>
      </c>
    </row>
    <row r="499" spans="1:6">
      <c r="A499" t="s">
        <v>4887</v>
      </c>
      <c r="B499" t="s">
        <v>4888</v>
      </c>
      <c r="C499">
        <v>1.0499000000000001</v>
      </c>
      <c r="D499" s="1">
        <v>42552</v>
      </c>
      <c r="E499" s="9">
        <f t="shared" si="16"/>
        <v>2017</v>
      </c>
      <c r="F499" t="str">
        <f t="shared" si="17"/>
        <v>WTST</v>
      </c>
    </row>
    <row r="500" spans="1:6">
      <c r="A500" t="s">
        <v>4889</v>
      </c>
      <c r="B500" t="s">
        <v>4890</v>
      </c>
      <c r="C500">
        <v>1.0329999999999999</v>
      </c>
      <c r="D500" s="1">
        <v>42552</v>
      </c>
      <c r="E500" s="9">
        <f t="shared" si="16"/>
        <v>2017</v>
      </c>
      <c r="F500" t="str">
        <f t="shared" si="17"/>
        <v>WTTS</v>
      </c>
    </row>
    <row r="501" spans="1:6">
      <c r="A501" t="s">
        <v>4891</v>
      </c>
      <c r="B501" t="s">
        <v>4892</v>
      </c>
      <c r="C501">
        <v>1.0456000000000001</v>
      </c>
      <c r="D501" s="1">
        <v>42552</v>
      </c>
      <c r="E501" s="9">
        <f t="shared" si="16"/>
        <v>2017</v>
      </c>
      <c r="F501" t="str">
        <f t="shared" si="17"/>
        <v>WUNI</v>
      </c>
    </row>
    <row r="502" spans="1:6">
      <c r="A502" t="s">
        <v>4893</v>
      </c>
      <c r="B502" t="s">
        <v>4894</v>
      </c>
      <c r="C502">
        <v>1.0351999999999999</v>
      </c>
      <c r="D502" s="1">
        <v>42552</v>
      </c>
      <c r="E502" s="9">
        <f t="shared" si="16"/>
        <v>2017</v>
      </c>
      <c r="F502" t="str">
        <f t="shared" si="17"/>
        <v>WVPA</v>
      </c>
    </row>
    <row r="503" spans="1:6">
      <c r="A503" t="s">
        <v>4895</v>
      </c>
      <c r="B503" t="s">
        <v>4896</v>
      </c>
      <c r="C503">
        <v>1.0503</v>
      </c>
      <c r="D503" s="1">
        <v>42552</v>
      </c>
      <c r="E503" s="9">
        <f t="shared" si="16"/>
        <v>2017</v>
      </c>
      <c r="F503" t="str">
        <f t="shared" si="17"/>
        <v>WWAG</v>
      </c>
    </row>
    <row r="504" spans="1:6">
      <c r="A504" t="s">
        <v>4897</v>
      </c>
      <c r="B504" t="s">
        <v>4898</v>
      </c>
      <c r="C504">
        <v>1.032</v>
      </c>
      <c r="D504" s="1">
        <v>42552</v>
      </c>
      <c r="E504" s="9">
        <f t="shared" si="16"/>
        <v>2017</v>
      </c>
      <c r="F504" t="str">
        <f t="shared" si="17"/>
        <v>WWAI</v>
      </c>
    </row>
    <row r="505" spans="1:6">
      <c r="A505" t="s">
        <v>4899</v>
      </c>
      <c r="B505" t="s">
        <v>4900</v>
      </c>
      <c r="C505">
        <v>0.99560000000000004</v>
      </c>
      <c r="D505" s="1">
        <v>42552</v>
      </c>
      <c r="E505" s="9">
        <f t="shared" si="16"/>
        <v>2017</v>
      </c>
      <c r="F505" t="str">
        <f t="shared" si="17"/>
        <v>WWCL</v>
      </c>
    </row>
    <row r="506" spans="1:6">
      <c r="A506" t="s">
        <v>4901</v>
      </c>
      <c r="B506" t="s">
        <v>4902</v>
      </c>
      <c r="C506">
        <v>1.0479000000000001</v>
      </c>
      <c r="D506" s="1">
        <v>42552</v>
      </c>
      <c r="E506" s="9">
        <f t="shared" si="16"/>
        <v>2017</v>
      </c>
      <c r="F506" t="str">
        <f t="shared" si="17"/>
        <v>WWDN</v>
      </c>
    </row>
    <row r="507" spans="1:6">
      <c r="A507" t="s">
        <v>4903</v>
      </c>
      <c r="B507" t="s">
        <v>4904</v>
      </c>
      <c r="C507">
        <v>1.0321</v>
      </c>
      <c r="D507" s="1">
        <v>42552</v>
      </c>
      <c r="E507" s="9">
        <f t="shared" si="16"/>
        <v>2017</v>
      </c>
      <c r="F507" t="str">
        <f t="shared" si="17"/>
        <v>WWEL</v>
      </c>
    </row>
    <row r="508" spans="1:6">
      <c r="A508" t="s">
        <v>4905</v>
      </c>
      <c r="B508" t="s">
        <v>4906</v>
      </c>
      <c r="C508">
        <v>1.0425</v>
      </c>
      <c r="D508" s="1">
        <v>42552</v>
      </c>
      <c r="E508" s="9">
        <f t="shared" si="16"/>
        <v>2017</v>
      </c>
      <c r="F508" t="str">
        <f t="shared" si="17"/>
        <v>WWGA</v>
      </c>
    </row>
    <row r="509" spans="1:6">
      <c r="A509" t="s">
        <v>4907</v>
      </c>
      <c r="B509" t="s">
        <v>4908</v>
      </c>
      <c r="C509">
        <v>0.98250000000000004</v>
      </c>
      <c r="D509" s="1">
        <v>42552</v>
      </c>
      <c r="E509" s="9">
        <f t="shared" si="16"/>
        <v>2017</v>
      </c>
      <c r="F509" t="str">
        <f t="shared" si="17"/>
        <v>WWGP</v>
      </c>
    </row>
    <row r="510" spans="1:6">
      <c r="A510" t="s">
        <v>4909</v>
      </c>
      <c r="B510" t="s">
        <v>4910</v>
      </c>
      <c r="C510">
        <v>1.1446000000000001</v>
      </c>
      <c r="D510" s="1">
        <v>42552</v>
      </c>
      <c r="E510" s="9">
        <f t="shared" si="16"/>
        <v>2017</v>
      </c>
      <c r="F510" t="str">
        <f t="shared" si="17"/>
        <v>WWKT</v>
      </c>
    </row>
    <row r="511" spans="1:6">
      <c r="A511" t="s">
        <v>4911</v>
      </c>
      <c r="B511" t="s">
        <v>4912</v>
      </c>
      <c r="C511">
        <v>1.0297000000000001</v>
      </c>
      <c r="D511" s="1">
        <v>42552</v>
      </c>
      <c r="E511" s="9">
        <f t="shared" si="16"/>
        <v>2017</v>
      </c>
      <c r="F511" t="str">
        <f t="shared" si="17"/>
        <v>WWLN</v>
      </c>
    </row>
    <row r="512" spans="1:6">
      <c r="A512" t="s">
        <v>4913</v>
      </c>
      <c r="B512" t="s">
        <v>4914</v>
      </c>
      <c r="C512">
        <v>1.0283</v>
      </c>
      <c r="D512" s="1">
        <v>42552</v>
      </c>
      <c r="E512" s="9">
        <f t="shared" si="16"/>
        <v>2017</v>
      </c>
      <c r="F512" t="str">
        <f t="shared" si="17"/>
        <v>WWMG</v>
      </c>
    </row>
    <row r="513" spans="1:6">
      <c r="A513" t="s">
        <v>4915</v>
      </c>
      <c r="B513" t="s">
        <v>4916</v>
      </c>
      <c r="C513">
        <v>1.0385</v>
      </c>
      <c r="D513" s="1">
        <v>42552</v>
      </c>
      <c r="E513" s="9">
        <f t="shared" si="16"/>
        <v>2017</v>
      </c>
      <c r="F513" t="str">
        <f t="shared" si="17"/>
        <v>WWNO</v>
      </c>
    </row>
    <row r="514" spans="1:6">
      <c r="A514" t="s">
        <v>4917</v>
      </c>
      <c r="B514" t="s">
        <v>4918</v>
      </c>
      <c r="C514">
        <v>1.046</v>
      </c>
      <c r="D514" s="1">
        <v>42552</v>
      </c>
      <c r="E514" s="9">
        <f t="shared" si="16"/>
        <v>2017</v>
      </c>
      <c r="F514" t="str">
        <f t="shared" si="17"/>
        <v>WWNT</v>
      </c>
    </row>
    <row r="515" spans="1:6">
      <c r="A515" t="s">
        <v>4919</v>
      </c>
      <c r="B515" t="s">
        <v>4920</v>
      </c>
      <c r="C515">
        <v>1.0298</v>
      </c>
      <c r="D515" s="1">
        <v>42552</v>
      </c>
      <c r="E515" s="9">
        <f t="shared" ref="E515:E578" si="18">YEAR(D515)+1</f>
        <v>2017</v>
      </c>
      <c r="F515" t="str">
        <f t="shared" si="17"/>
        <v>WWSD</v>
      </c>
    </row>
    <row r="516" spans="1:6">
      <c r="A516" t="s">
        <v>4921</v>
      </c>
      <c r="B516" t="s">
        <v>4922</v>
      </c>
      <c r="C516">
        <v>1.0625</v>
      </c>
      <c r="D516" s="1">
        <v>42552</v>
      </c>
      <c r="E516" s="9">
        <f t="shared" si="18"/>
        <v>2017</v>
      </c>
      <c r="F516" t="str">
        <f t="shared" si="17"/>
        <v>WWUN</v>
      </c>
    </row>
    <row r="517" spans="1:6">
      <c r="A517" t="s">
        <v>4923</v>
      </c>
      <c r="B517" t="s">
        <v>4924</v>
      </c>
      <c r="C517">
        <v>0.95189999999999997</v>
      </c>
      <c r="D517" s="1">
        <v>42552</v>
      </c>
      <c r="E517" s="9">
        <f t="shared" si="18"/>
        <v>2017</v>
      </c>
      <c r="F517" t="str">
        <f t="shared" si="17"/>
        <v>WWWF</v>
      </c>
    </row>
    <row r="518" spans="1:6">
      <c r="A518" t="s">
        <v>4925</v>
      </c>
      <c r="B518" t="s">
        <v>4926</v>
      </c>
      <c r="C518">
        <v>1.0382</v>
      </c>
      <c r="D518" s="1">
        <v>42552</v>
      </c>
      <c r="E518" s="9">
        <f t="shared" si="18"/>
        <v>2017</v>
      </c>
      <c r="F518" t="str">
        <f t="shared" si="17"/>
        <v>WYCP</v>
      </c>
    </row>
    <row r="519" spans="1:6">
      <c r="A519" t="s">
        <v>4927</v>
      </c>
      <c r="B519" t="s">
        <v>4928</v>
      </c>
      <c r="C519">
        <v>1.1080000000000001</v>
      </c>
      <c r="D519" s="1">
        <v>42552</v>
      </c>
      <c r="E519" s="9">
        <f t="shared" si="18"/>
        <v>2017</v>
      </c>
      <c r="F519" t="str">
        <f t="shared" si="17"/>
        <v>WYER</v>
      </c>
    </row>
    <row r="520" spans="1:6">
      <c r="A520" t="s">
        <v>4929</v>
      </c>
      <c r="B520" t="s">
        <v>4930</v>
      </c>
      <c r="C520">
        <v>1.0421</v>
      </c>
      <c r="D520" s="1">
        <v>42552</v>
      </c>
      <c r="E520" s="9">
        <f t="shared" si="18"/>
        <v>2017</v>
      </c>
      <c r="F520" t="str">
        <f t="shared" si="17"/>
        <v>WYKE</v>
      </c>
    </row>
    <row r="521" spans="1:6">
      <c r="A521" t="s">
        <v>4931</v>
      </c>
      <c r="B521" t="s">
        <v>4932</v>
      </c>
      <c r="C521">
        <v>1.0752999999999999</v>
      </c>
      <c r="D521" s="1">
        <v>42552</v>
      </c>
      <c r="E521" s="9">
        <f t="shared" si="18"/>
        <v>2017</v>
      </c>
      <c r="F521" t="str">
        <f t="shared" si="17"/>
        <v>WYLN</v>
      </c>
    </row>
    <row r="522" spans="1:6">
      <c r="A522" t="s">
        <v>4593</v>
      </c>
      <c r="B522" t="s">
        <v>4594</v>
      </c>
      <c r="C522">
        <v>1.0056</v>
      </c>
      <c r="D522" s="1">
        <v>42186</v>
      </c>
      <c r="E522" s="9">
        <f t="shared" si="18"/>
        <v>2016</v>
      </c>
      <c r="F522" t="str">
        <f t="shared" si="17"/>
        <v>TAPA</v>
      </c>
    </row>
    <row r="523" spans="1:6">
      <c r="A523" t="s">
        <v>4595</v>
      </c>
      <c r="B523" t="s">
        <v>4596</v>
      </c>
      <c r="C523">
        <v>0.99619999999999997</v>
      </c>
      <c r="D523" s="1">
        <v>42186</v>
      </c>
      <c r="E523" s="9">
        <f t="shared" si="18"/>
        <v>2016</v>
      </c>
      <c r="F523" t="str">
        <f t="shared" si="17"/>
        <v>TAPL</v>
      </c>
    </row>
    <row r="524" spans="1:6">
      <c r="A524" t="s">
        <v>4597</v>
      </c>
      <c r="B524" t="s">
        <v>4936</v>
      </c>
      <c r="C524">
        <v>0.99939999999999996</v>
      </c>
      <c r="D524" s="1">
        <v>42186</v>
      </c>
      <c r="E524" s="9">
        <f t="shared" si="18"/>
        <v>2016</v>
      </c>
      <c r="F524" t="str">
        <f t="shared" si="17"/>
        <v>TBLB</v>
      </c>
    </row>
    <row r="525" spans="1:6">
      <c r="A525" t="s">
        <v>4598</v>
      </c>
      <c r="B525" t="s">
        <v>4599</v>
      </c>
      <c r="C525">
        <v>1.1902999999999999</v>
      </c>
      <c r="D525" s="1">
        <v>42186</v>
      </c>
      <c r="E525" s="9">
        <f t="shared" si="18"/>
        <v>2016</v>
      </c>
      <c r="F525" t="str">
        <f t="shared" si="17"/>
        <v>TBLS</v>
      </c>
    </row>
    <row r="526" spans="1:6">
      <c r="A526" t="s">
        <v>4600</v>
      </c>
      <c r="B526" t="s">
        <v>4601</v>
      </c>
      <c r="C526">
        <v>1.0355000000000001</v>
      </c>
      <c r="D526" s="1">
        <v>42186</v>
      </c>
      <c r="E526" s="9">
        <f t="shared" si="18"/>
        <v>2016</v>
      </c>
      <c r="F526" t="str">
        <f t="shared" si="17"/>
        <v>TKRA</v>
      </c>
    </row>
    <row r="527" spans="1:6">
      <c r="A527" t="s">
        <v>4602</v>
      </c>
      <c r="B527" t="s">
        <v>4603</v>
      </c>
      <c r="C527">
        <v>1.0098</v>
      </c>
      <c r="D527" s="1">
        <v>42186</v>
      </c>
      <c r="E527" s="9">
        <f t="shared" si="18"/>
        <v>2016</v>
      </c>
      <c r="F527" t="str">
        <f t="shared" si="17"/>
        <v>TLWA</v>
      </c>
    </row>
    <row r="528" spans="1:6">
      <c r="A528" t="s">
        <v>4604</v>
      </c>
      <c r="B528" t="s">
        <v>4478</v>
      </c>
      <c r="C528">
        <v>0.95699999999999996</v>
      </c>
      <c r="D528" s="1">
        <v>42186</v>
      </c>
      <c r="E528" s="9">
        <f t="shared" si="18"/>
        <v>2016</v>
      </c>
      <c r="F528" t="str">
        <f t="shared" si="17"/>
        <v>TMBA</v>
      </c>
    </row>
    <row r="529" spans="1:6">
      <c r="A529" t="s">
        <v>4605</v>
      </c>
      <c r="B529" t="s">
        <v>4606</v>
      </c>
      <c r="C529">
        <v>1.0439000000000001</v>
      </c>
      <c r="D529" s="1">
        <v>42186</v>
      </c>
      <c r="E529" s="9">
        <f t="shared" si="18"/>
        <v>2016</v>
      </c>
      <c r="F529" t="str">
        <f t="shared" si="17"/>
        <v>TMDP</v>
      </c>
    </row>
    <row r="530" spans="1:6">
      <c r="A530" t="s">
        <v>4607</v>
      </c>
      <c r="B530" t="s">
        <v>4608</v>
      </c>
      <c r="C530">
        <v>1.0009999999999999</v>
      </c>
      <c r="D530" s="1">
        <v>42186</v>
      </c>
      <c r="E530" s="9">
        <f t="shared" si="18"/>
        <v>2016</v>
      </c>
      <c r="F530" t="str">
        <f t="shared" si="17"/>
        <v>TMGS</v>
      </c>
    </row>
    <row r="531" spans="1:6">
      <c r="A531" t="s">
        <v>4609</v>
      </c>
      <c r="B531" t="s">
        <v>4610</v>
      </c>
      <c r="C531">
        <v>1.018</v>
      </c>
      <c r="D531" s="1">
        <v>42186</v>
      </c>
      <c r="E531" s="9">
        <f t="shared" si="18"/>
        <v>2016</v>
      </c>
      <c r="F531" t="str">
        <f t="shared" si="17"/>
        <v>TMSK</v>
      </c>
    </row>
    <row r="532" spans="1:6">
      <c r="A532" t="s">
        <v>4611</v>
      </c>
      <c r="B532" t="s">
        <v>4612</v>
      </c>
      <c r="C532">
        <v>1.0132000000000001</v>
      </c>
      <c r="D532" s="1">
        <v>42186</v>
      </c>
      <c r="E532" s="9">
        <f t="shared" si="18"/>
        <v>2016</v>
      </c>
      <c r="F532" t="str">
        <f t="shared" si="17"/>
        <v>TOLA</v>
      </c>
    </row>
    <row r="533" spans="1:6">
      <c r="A533" t="s">
        <v>4613</v>
      </c>
      <c r="B533" t="s">
        <v>4614</v>
      </c>
      <c r="C533">
        <v>1.0387999999999999</v>
      </c>
      <c r="D533" s="1">
        <v>42186</v>
      </c>
      <c r="E533" s="9">
        <f t="shared" si="18"/>
        <v>2016</v>
      </c>
      <c r="F533" t="str">
        <f t="shared" si="17"/>
        <v>TSAV</v>
      </c>
    </row>
    <row r="534" spans="1:6">
      <c r="A534" t="s">
        <v>4615</v>
      </c>
      <c r="B534" t="s">
        <v>4616</v>
      </c>
      <c r="C534">
        <v>1.0369999999999999</v>
      </c>
      <c r="D534" s="1">
        <v>42186</v>
      </c>
      <c r="E534" s="9">
        <f t="shared" si="18"/>
        <v>2016</v>
      </c>
      <c r="F534" t="str">
        <f t="shared" si="17"/>
        <v>TUAV</v>
      </c>
    </row>
    <row r="535" spans="1:6">
      <c r="A535" t="s">
        <v>4617</v>
      </c>
      <c r="B535" t="s">
        <v>4618</v>
      </c>
      <c r="C535">
        <v>1.0853999999999999</v>
      </c>
      <c r="D535" s="1">
        <v>42186</v>
      </c>
      <c r="E535" s="9">
        <f t="shared" si="18"/>
        <v>2016</v>
      </c>
      <c r="F535" t="str">
        <f t="shared" si="17"/>
        <v>TWKG</v>
      </c>
    </row>
    <row r="536" spans="1:6">
      <c r="A536" t="s">
        <v>4619</v>
      </c>
      <c r="B536" t="s">
        <v>4620</v>
      </c>
      <c r="C536">
        <v>0.98629999999999995</v>
      </c>
      <c r="D536" s="1">
        <v>42186</v>
      </c>
      <c r="E536" s="9">
        <f t="shared" si="18"/>
        <v>2016</v>
      </c>
      <c r="F536" t="str">
        <f t="shared" si="17"/>
        <v>TWOJ</v>
      </c>
    </row>
    <row r="537" spans="1:6">
      <c r="A537" t="s">
        <v>4621</v>
      </c>
      <c r="B537" t="s">
        <v>4622</v>
      </c>
      <c r="C537">
        <v>0.98960000000000004</v>
      </c>
      <c r="D537" s="1">
        <v>42186</v>
      </c>
      <c r="E537" s="9">
        <f t="shared" si="18"/>
        <v>2016</v>
      </c>
      <c r="F537" t="str">
        <f t="shared" si="17"/>
        <v>TWOW</v>
      </c>
    </row>
    <row r="538" spans="1:6">
      <c r="A538" t="s">
        <v>4623</v>
      </c>
      <c r="B538" t="s">
        <v>4624</v>
      </c>
      <c r="C538">
        <v>1.0212000000000001</v>
      </c>
      <c r="D538" s="1">
        <v>42186</v>
      </c>
      <c r="E538" s="9">
        <f t="shared" si="18"/>
        <v>2016</v>
      </c>
      <c r="F538" t="str">
        <f t="shared" si="17"/>
        <v>WAFM</v>
      </c>
    </row>
    <row r="539" spans="1:6">
      <c r="A539" t="s">
        <v>4625</v>
      </c>
      <c r="B539" t="s">
        <v>4626</v>
      </c>
      <c r="C539">
        <v>1.0185999999999999</v>
      </c>
      <c r="D539" s="1">
        <v>42186</v>
      </c>
      <c r="E539" s="9">
        <f t="shared" si="18"/>
        <v>2016</v>
      </c>
      <c r="F539" t="str">
        <f t="shared" si="17"/>
        <v>WAKW</v>
      </c>
    </row>
    <row r="540" spans="1:6">
      <c r="A540" t="s">
        <v>4627</v>
      </c>
      <c r="B540" t="s">
        <v>4628</v>
      </c>
      <c r="C540">
        <v>1.0684</v>
      </c>
      <c r="D540" s="1">
        <v>42186</v>
      </c>
      <c r="E540" s="9">
        <f t="shared" si="18"/>
        <v>2016</v>
      </c>
      <c r="F540" t="str">
        <f t="shared" si="17"/>
        <v>WALB</v>
      </c>
    </row>
    <row r="541" spans="1:6">
      <c r="A541" t="s">
        <v>4629</v>
      </c>
      <c r="B541" t="s">
        <v>4630</v>
      </c>
      <c r="C541">
        <v>1.0327999999999999</v>
      </c>
      <c r="D541" s="1">
        <v>42186</v>
      </c>
      <c r="E541" s="9">
        <f t="shared" si="18"/>
        <v>2016</v>
      </c>
      <c r="F541" t="str">
        <f t="shared" si="17"/>
        <v>WAMT</v>
      </c>
    </row>
    <row r="542" spans="1:6">
      <c r="A542" t="s">
        <v>4631</v>
      </c>
      <c r="B542" t="s">
        <v>4632</v>
      </c>
      <c r="C542">
        <v>1.036</v>
      </c>
      <c r="D542" s="1">
        <v>42186</v>
      </c>
      <c r="E542" s="9">
        <f t="shared" si="18"/>
        <v>2016</v>
      </c>
      <c r="F542" t="str">
        <f t="shared" si="17"/>
        <v>WAPM</v>
      </c>
    </row>
    <row r="543" spans="1:6">
      <c r="A543" t="s">
        <v>4633</v>
      </c>
      <c r="B543" t="s">
        <v>4634</v>
      </c>
      <c r="C543">
        <v>1.0378000000000001</v>
      </c>
      <c r="D543" s="1">
        <v>42186</v>
      </c>
      <c r="E543" s="9">
        <f t="shared" si="18"/>
        <v>2016</v>
      </c>
      <c r="F543" t="str">
        <f t="shared" si="17"/>
        <v>WARK</v>
      </c>
    </row>
    <row r="544" spans="1:6">
      <c r="A544" t="s">
        <v>4635</v>
      </c>
      <c r="B544" t="s">
        <v>4636</v>
      </c>
      <c r="C544">
        <v>1.0382</v>
      </c>
      <c r="D544" s="1">
        <v>42186</v>
      </c>
      <c r="E544" s="9">
        <f t="shared" si="18"/>
        <v>2016</v>
      </c>
      <c r="F544" t="str">
        <f t="shared" si="17"/>
        <v>WBCH</v>
      </c>
    </row>
    <row r="545" spans="1:6">
      <c r="A545" t="s">
        <v>4637</v>
      </c>
      <c r="B545" t="s">
        <v>4638</v>
      </c>
      <c r="C545">
        <v>1.0398000000000001</v>
      </c>
      <c r="D545" s="1">
        <v>42186</v>
      </c>
      <c r="E545" s="9">
        <f t="shared" si="18"/>
        <v>2016</v>
      </c>
      <c r="F545" t="str">
        <f t="shared" si="17"/>
        <v>WBCT</v>
      </c>
    </row>
    <row r="546" spans="1:6">
      <c r="A546" t="s">
        <v>4639</v>
      </c>
      <c r="B546" t="s">
        <v>4640</v>
      </c>
      <c r="C546">
        <v>1.1554</v>
      </c>
      <c r="D546" s="1">
        <v>42186</v>
      </c>
      <c r="E546" s="9">
        <f t="shared" si="18"/>
        <v>2016</v>
      </c>
      <c r="F546" t="str">
        <f t="shared" si="17"/>
        <v>WBDE</v>
      </c>
    </row>
    <row r="547" spans="1:6">
      <c r="A547" t="s">
        <v>4641</v>
      </c>
      <c r="B547" t="s">
        <v>4642</v>
      </c>
      <c r="C547">
        <v>1.0142</v>
      </c>
      <c r="D547" s="1">
        <v>42186</v>
      </c>
      <c r="E547" s="9">
        <f t="shared" si="18"/>
        <v>2016</v>
      </c>
      <c r="F547" t="str">
        <f t="shared" si="17"/>
        <v>WBDP</v>
      </c>
    </row>
    <row r="548" spans="1:6">
      <c r="A548" t="s">
        <v>4643</v>
      </c>
      <c r="B548" t="s">
        <v>4644</v>
      </c>
      <c r="C548">
        <v>1.0327</v>
      </c>
      <c r="D548" s="1">
        <v>42186</v>
      </c>
      <c r="E548" s="9">
        <f t="shared" si="18"/>
        <v>2016</v>
      </c>
      <c r="F548" t="str">
        <f t="shared" si="17"/>
        <v>WBEC</v>
      </c>
    </row>
    <row r="549" spans="1:6">
      <c r="A549" t="s">
        <v>4645</v>
      </c>
      <c r="B549" t="s">
        <v>4646</v>
      </c>
      <c r="C549">
        <v>1.0306999999999999</v>
      </c>
      <c r="D549" s="1">
        <v>42186</v>
      </c>
      <c r="E549" s="9">
        <f t="shared" si="18"/>
        <v>2016</v>
      </c>
      <c r="F549" t="str">
        <f t="shared" si="17"/>
        <v>WBEL</v>
      </c>
    </row>
    <row r="550" spans="1:6">
      <c r="A550" t="s">
        <v>4647</v>
      </c>
      <c r="B550" t="s">
        <v>4648</v>
      </c>
      <c r="C550">
        <v>1.0089999999999999</v>
      </c>
      <c r="D550" s="1">
        <v>42186</v>
      </c>
      <c r="E550" s="9">
        <f t="shared" si="18"/>
        <v>2016</v>
      </c>
      <c r="F550" t="str">
        <f t="shared" si="17"/>
        <v>WBGM</v>
      </c>
    </row>
    <row r="551" spans="1:6">
      <c r="A551" t="s">
        <v>4649</v>
      </c>
      <c r="B551" t="s">
        <v>4650</v>
      </c>
      <c r="C551">
        <v>1.0205</v>
      </c>
      <c r="D551" s="1">
        <v>42186</v>
      </c>
      <c r="E551" s="9">
        <f t="shared" si="18"/>
        <v>2016</v>
      </c>
      <c r="F551" t="str">
        <f t="shared" si="17"/>
        <v>WBHK</v>
      </c>
    </row>
    <row r="552" spans="1:6">
      <c r="A552" t="s">
        <v>4651</v>
      </c>
      <c r="B552" t="s">
        <v>4652</v>
      </c>
      <c r="C552">
        <v>1.0277000000000001</v>
      </c>
      <c r="D552" s="1">
        <v>42186</v>
      </c>
      <c r="E552" s="9">
        <f t="shared" si="18"/>
        <v>2016</v>
      </c>
      <c r="F552" t="str">
        <f t="shared" si="17"/>
        <v>WBIB</v>
      </c>
    </row>
    <row r="553" spans="1:6">
      <c r="A553" t="s">
        <v>4653</v>
      </c>
      <c r="B553" t="s">
        <v>4654</v>
      </c>
      <c r="C553">
        <v>1.2003999999999999</v>
      </c>
      <c r="D553" s="1">
        <v>42186</v>
      </c>
      <c r="E553" s="9">
        <f t="shared" si="18"/>
        <v>2016</v>
      </c>
      <c r="F553" t="str">
        <f t="shared" si="17"/>
        <v>WBKF</v>
      </c>
    </row>
    <row r="554" spans="1:6">
      <c r="A554" t="s">
        <v>4655</v>
      </c>
      <c r="B554" t="s">
        <v>4656</v>
      </c>
      <c r="C554">
        <v>1.1906000000000001</v>
      </c>
      <c r="D554" s="1">
        <v>42186</v>
      </c>
      <c r="E554" s="9">
        <f t="shared" si="18"/>
        <v>2016</v>
      </c>
      <c r="F554" t="str">
        <f t="shared" si="17"/>
        <v>WBLD</v>
      </c>
    </row>
    <row r="555" spans="1:6">
      <c r="A555" t="s">
        <v>4657</v>
      </c>
      <c r="B555" t="s">
        <v>4658</v>
      </c>
      <c r="C555">
        <v>1.0258</v>
      </c>
      <c r="D555" s="1">
        <v>42186</v>
      </c>
      <c r="E555" s="9">
        <f t="shared" si="18"/>
        <v>2016</v>
      </c>
      <c r="F555" t="str">
        <f t="shared" si="17"/>
        <v>WBNP</v>
      </c>
    </row>
    <row r="556" spans="1:6">
      <c r="A556" t="s">
        <v>4659</v>
      </c>
      <c r="B556" t="s">
        <v>4660</v>
      </c>
      <c r="C556">
        <v>1.0812999999999999</v>
      </c>
      <c r="D556" s="1">
        <v>42186</v>
      </c>
      <c r="E556" s="9">
        <f t="shared" si="18"/>
        <v>2016</v>
      </c>
      <c r="F556" t="str">
        <f t="shared" si="17"/>
        <v>WBNY</v>
      </c>
    </row>
    <row r="557" spans="1:6">
      <c r="A557" t="s">
        <v>4661</v>
      </c>
      <c r="B557" t="s">
        <v>4662</v>
      </c>
      <c r="C557">
        <v>1.0078</v>
      </c>
      <c r="D557" s="1">
        <v>42186</v>
      </c>
      <c r="E557" s="9">
        <f t="shared" si="18"/>
        <v>2016</v>
      </c>
      <c r="F557" t="str">
        <f t="shared" si="17"/>
        <v>WBOD</v>
      </c>
    </row>
    <row r="558" spans="1:6">
      <c r="A558" t="s">
        <v>4663</v>
      </c>
      <c r="B558" t="s">
        <v>4664</v>
      </c>
      <c r="C558">
        <v>1.0214000000000001</v>
      </c>
      <c r="D558" s="1">
        <v>42186</v>
      </c>
      <c r="E558" s="9">
        <f t="shared" si="18"/>
        <v>2016</v>
      </c>
      <c r="F558" t="str">
        <f t="shared" si="17"/>
        <v>WBPM</v>
      </c>
    </row>
    <row r="559" spans="1:6">
      <c r="A559" t="s">
        <v>4665</v>
      </c>
      <c r="B559" t="s">
        <v>4666</v>
      </c>
      <c r="C559">
        <v>1.0143</v>
      </c>
      <c r="D559" s="1">
        <v>42186</v>
      </c>
      <c r="E559" s="9">
        <f t="shared" si="18"/>
        <v>2016</v>
      </c>
      <c r="F559" t="str">
        <f t="shared" si="17"/>
        <v>WBSI</v>
      </c>
    </row>
    <row r="560" spans="1:6">
      <c r="A560" t="s">
        <v>4667</v>
      </c>
      <c r="B560" t="s">
        <v>4668</v>
      </c>
      <c r="C560">
        <v>1.0452999999999999</v>
      </c>
      <c r="D560" s="1">
        <v>42186</v>
      </c>
      <c r="E560" s="9">
        <f t="shared" si="18"/>
        <v>2016</v>
      </c>
      <c r="F560" t="str">
        <f t="shared" ref="F560:F623" si="19">A560</f>
        <v>WBSN</v>
      </c>
    </row>
    <row r="561" spans="1:6">
      <c r="A561" t="s">
        <v>4669</v>
      </c>
      <c r="B561" t="s">
        <v>4670</v>
      </c>
      <c r="C561">
        <v>1.0118</v>
      </c>
      <c r="D561" s="1">
        <v>42186</v>
      </c>
      <c r="E561" s="9">
        <f t="shared" si="18"/>
        <v>2016</v>
      </c>
      <c r="F561" t="str">
        <f t="shared" si="19"/>
        <v>WBTN</v>
      </c>
    </row>
    <row r="562" spans="1:6">
      <c r="A562" t="s">
        <v>4671</v>
      </c>
      <c r="B562" t="s">
        <v>4672</v>
      </c>
      <c r="C562">
        <v>1.0325</v>
      </c>
      <c r="D562" s="1">
        <v>42186</v>
      </c>
      <c r="E562" s="9">
        <f t="shared" si="18"/>
        <v>2016</v>
      </c>
      <c r="F562" t="str">
        <f t="shared" si="19"/>
        <v>WBTY</v>
      </c>
    </row>
    <row r="563" spans="1:6">
      <c r="A563" t="s">
        <v>4673</v>
      </c>
      <c r="B563" t="s">
        <v>4674</v>
      </c>
      <c r="C563">
        <v>1.0146999999999999</v>
      </c>
      <c r="D563" s="1">
        <v>42186</v>
      </c>
      <c r="E563" s="9">
        <f t="shared" si="18"/>
        <v>2016</v>
      </c>
      <c r="F563" t="str">
        <f t="shared" si="19"/>
        <v>WBUH</v>
      </c>
    </row>
    <row r="564" spans="1:6">
      <c r="A564" t="s">
        <v>4675</v>
      </c>
      <c r="B564" t="s">
        <v>4676</v>
      </c>
      <c r="C564">
        <v>1.0302</v>
      </c>
      <c r="D564" s="1">
        <v>42186</v>
      </c>
      <c r="E564" s="9">
        <f t="shared" si="18"/>
        <v>2016</v>
      </c>
      <c r="F564" t="str">
        <f t="shared" si="19"/>
        <v>WBYF</v>
      </c>
    </row>
    <row r="565" spans="1:6">
      <c r="A565" t="s">
        <v>4677</v>
      </c>
      <c r="B565" t="s">
        <v>4678</v>
      </c>
      <c r="C565">
        <v>1.0348999999999999</v>
      </c>
      <c r="D565" s="1">
        <v>42186</v>
      </c>
      <c r="E565" s="9">
        <f t="shared" si="18"/>
        <v>2016</v>
      </c>
      <c r="F565" t="str">
        <f t="shared" si="19"/>
        <v>WCAP</v>
      </c>
    </row>
    <row r="566" spans="1:6">
      <c r="A566" t="s">
        <v>4679</v>
      </c>
      <c r="B566" t="s">
        <v>4680</v>
      </c>
      <c r="C566">
        <v>1.1848000000000001</v>
      </c>
      <c r="D566" s="1">
        <v>42186</v>
      </c>
      <c r="E566" s="9">
        <f t="shared" si="18"/>
        <v>2016</v>
      </c>
      <c r="F566" t="str">
        <f t="shared" si="19"/>
        <v>WCAR</v>
      </c>
    </row>
    <row r="567" spans="1:6">
      <c r="A567" t="s">
        <v>4681</v>
      </c>
      <c r="B567" t="s">
        <v>4682</v>
      </c>
      <c r="C567">
        <v>1.02</v>
      </c>
      <c r="D567" s="1">
        <v>42186</v>
      </c>
      <c r="E567" s="9">
        <f t="shared" si="18"/>
        <v>2016</v>
      </c>
      <c r="F567" t="str">
        <f t="shared" si="19"/>
        <v>WCBP</v>
      </c>
    </row>
    <row r="568" spans="1:6">
      <c r="A568" t="s">
        <v>4683</v>
      </c>
      <c r="B568" t="s">
        <v>4684</v>
      </c>
      <c r="C568">
        <v>1.0241</v>
      </c>
      <c r="D568" s="1">
        <v>42186</v>
      </c>
      <c r="E568" s="9">
        <f t="shared" si="18"/>
        <v>2016</v>
      </c>
      <c r="F568" t="str">
        <f t="shared" si="19"/>
        <v>WCCL</v>
      </c>
    </row>
    <row r="569" spans="1:6">
      <c r="A569" t="s">
        <v>4685</v>
      </c>
      <c r="B569" t="s">
        <v>4574</v>
      </c>
      <c r="C569">
        <v>1.0254000000000001</v>
      </c>
      <c r="D569" s="1">
        <v>42186</v>
      </c>
      <c r="E569" s="9">
        <f t="shared" si="18"/>
        <v>2016</v>
      </c>
      <c r="F569" t="str">
        <f t="shared" si="19"/>
        <v>WCCT</v>
      </c>
    </row>
    <row r="570" spans="1:6">
      <c r="A570" t="s">
        <v>4686</v>
      </c>
      <c r="B570" t="s">
        <v>4687</v>
      </c>
      <c r="C570">
        <v>1.0031000000000001</v>
      </c>
      <c r="D570" s="1">
        <v>42186</v>
      </c>
      <c r="E570" s="9">
        <f t="shared" si="18"/>
        <v>2016</v>
      </c>
      <c r="F570" t="str">
        <f t="shared" si="19"/>
        <v>WCGW</v>
      </c>
    </row>
    <row r="571" spans="1:6">
      <c r="A571" t="s">
        <v>4688</v>
      </c>
      <c r="B571" t="s">
        <v>4689</v>
      </c>
      <c r="C571">
        <v>1.0371999999999999</v>
      </c>
      <c r="D571" s="1">
        <v>42186</v>
      </c>
      <c r="E571" s="9">
        <f t="shared" si="18"/>
        <v>2016</v>
      </c>
      <c r="F571" t="str">
        <f t="shared" si="19"/>
        <v>WCKN</v>
      </c>
    </row>
    <row r="572" spans="1:6">
      <c r="A572" t="s">
        <v>4690</v>
      </c>
      <c r="B572" t="s">
        <v>4691</v>
      </c>
      <c r="C572">
        <v>1.04</v>
      </c>
      <c r="D572" s="1">
        <v>42186</v>
      </c>
      <c r="E572" s="9">
        <f t="shared" si="18"/>
        <v>2016</v>
      </c>
      <c r="F572" t="str">
        <f t="shared" si="19"/>
        <v>WCKT</v>
      </c>
    </row>
    <row r="573" spans="1:6">
      <c r="A573" t="s">
        <v>4692</v>
      </c>
      <c r="B573" t="s">
        <v>4693</v>
      </c>
      <c r="C573">
        <v>1.0359</v>
      </c>
      <c r="D573" s="1">
        <v>42186</v>
      </c>
      <c r="E573" s="9">
        <f t="shared" si="18"/>
        <v>2016</v>
      </c>
      <c r="F573" t="str">
        <f t="shared" si="19"/>
        <v>WCLN</v>
      </c>
    </row>
    <row r="574" spans="1:6">
      <c r="A574" t="s">
        <v>4694</v>
      </c>
      <c r="B574" t="s">
        <v>4695</v>
      </c>
      <c r="C574">
        <v>1.0468999999999999</v>
      </c>
      <c r="D574" s="1">
        <v>42186</v>
      </c>
      <c r="E574" s="9">
        <f t="shared" si="18"/>
        <v>2016</v>
      </c>
      <c r="F574" t="str">
        <f t="shared" si="19"/>
        <v>WCLP</v>
      </c>
    </row>
    <row r="575" spans="1:6">
      <c r="A575" t="s">
        <v>4696</v>
      </c>
      <c r="B575" t="s">
        <v>4697</v>
      </c>
      <c r="C575">
        <v>1.0186999999999999</v>
      </c>
      <c r="D575" s="1">
        <v>42186</v>
      </c>
      <c r="E575" s="9">
        <f t="shared" si="18"/>
        <v>2016</v>
      </c>
      <c r="F575" t="str">
        <f t="shared" si="19"/>
        <v>WCOE</v>
      </c>
    </row>
    <row r="576" spans="1:6">
      <c r="A576" t="s">
        <v>4698</v>
      </c>
      <c r="B576" t="s">
        <v>4699</v>
      </c>
      <c r="C576">
        <v>1.0361</v>
      </c>
      <c r="D576" s="1">
        <v>42186</v>
      </c>
      <c r="E576" s="9">
        <f t="shared" si="18"/>
        <v>2016</v>
      </c>
      <c r="F576" t="str">
        <f t="shared" si="19"/>
        <v>WCOL</v>
      </c>
    </row>
    <row r="577" spans="1:6">
      <c r="A577" t="s">
        <v>4700</v>
      </c>
      <c r="B577" t="s">
        <v>4701</v>
      </c>
      <c r="C577">
        <v>1.01</v>
      </c>
      <c r="D577" s="1">
        <v>42186</v>
      </c>
      <c r="E577" s="9">
        <f t="shared" si="18"/>
        <v>2016</v>
      </c>
      <c r="F577" t="str">
        <f t="shared" si="19"/>
        <v>WCPN</v>
      </c>
    </row>
    <row r="578" spans="1:6">
      <c r="A578" t="s">
        <v>4702</v>
      </c>
      <c r="B578" t="s">
        <v>4703</v>
      </c>
      <c r="C578">
        <v>0.996</v>
      </c>
      <c r="D578" s="1">
        <v>42186</v>
      </c>
      <c r="E578" s="9">
        <f t="shared" si="18"/>
        <v>2016</v>
      </c>
      <c r="F578" t="str">
        <f t="shared" si="19"/>
        <v>WCPS</v>
      </c>
    </row>
    <row r="579" spans="1:6">
      <c r="A579" t="s">
        <v>4704</v>
      </c>
      <c r="B579" t="s">
        <v>4705</v>
      </c>
      <c r="C579">
        <v>1.0367</v>
      </c>
      <c r="D579" s="1">
        <v>42186</v>
      </c>
      <c r="E579" s="9">
        <f t="shared" ref="E579:E642" si="20">YEAR(D579)+1</f>
        <v>2016</v>
      </c>
      <c r="F579" t="str">
        <f t="shared" si="19"/>
        <v>WCTE</v>
      </c>
    </row>
    <row r="580" spans="1:6">
      <c r="A580" t="s">
        <v>4706</v>
      </c>
      <c r="B580" t="s">
        <v>4707</v>
      </c>
      <c r="C580">
        <v>1.0817000000000001</v>
      </c>
      <c r="D580" s="1">
        <v>42186</v>
      </c>
      <c r="E580" s="9">
        <f t="shared" si="20"/>
        <v>2016</v>
      </c>
      <c r="F580" t="str">
        <f t="shared" si="19"/>
        <v>WCUN</v>
      </c>
    </row>
    <row r="581" spans="1:6">
      <c r="A581" t="s">
        <v>4708</v>
      </c>
      <c r="B581" t="s">
        <v>4709</v>
      </c>
      <c r="C581">
        <v>1.0283</v>
      </c>
      <c r="D581" s="1">
        <v>42186</v>
      </c>
      <c r="E581" s="9">
        <f t="shared" si="20"/>
        <v>2016</v>
      </c>
      <c r="F581" t="str">
        <f t="shared" si="19"/>
        <v>WCVE</v>
      </c>
    </row>
    <row r="582" spans="1:6">
      <c r="A582" t="s">
        <v>4710</v>
      </c>
      <c r="B582" t="s">
        <v>4711</v>
      </c>
      <c r="C582">
        <v>1.0382</v>
      </c>
      <c r="D582" s="1">
        <v>42186</v>
      </c>
      <c r="E582" s="9">
        <f t="shared" si="20"/>
        <v>2016</v>
      </c>
      <c r="F582" t="str">
        <f t="shared" si="19"/>
        <v>WDTN</v>
      </c>
    </row>
    <row r="583" spans="1:6">
      <c r="A583" t="s">
        <v>4712</v>
      </c>
      <c r="B583" t="s">
        <v>4713</v>
      </c>
      <c r="C583">
        <v>1.0096000000000001</v>
      </c>
      <c r="D583" s="1">
        <v>42186</v>
      </c>
      <c r="E583" s="9">
        <f t="shared" si="20"/>
        <v>2016</v>
      </c>
      <c r="F583" t="str">
        <f t="shared" si="19"/>
        <v>WDUR</v>
      </c>
    </row>
    <row r="584" spans="1:6">
      <c r="A584" t="s">
        <v>4714</v>
      </c>
      <c r="B584" t="s">
        <v>4715</v>
      </c>
      <c r="C584">
        <v>1.0341</v>
      </c>
      <c r="D584" s="1">
        <v>42186</v>
      </c>
      <c r="E584" s="9">
        <f t="shared" si="20"/>
        <v>2016</v>
      </c>
      <c r="F584" t="str">
        <f t="shared" si="19"/>
        <v>WEDD</v>
      </c>
    </row>
    <row r="585" spans="1:6">
      <c r="A585" t="s">
        <v>4716</v>
      </c>
      <c r="B585" t="s">
        <v>4717</v>
      </c>
      <c r="C585">
        <v>1.0434000000000001</v>
      </c>
      <c r="D585" s="1">
        <v>42186</v>
      </c>
      <c r="E585" s="9">
        <f t="shared" si="20"/>
        <v>2016</v>
      </c>
      <c r="F585" t="str">
        <f t="shared" si="19"/>
        <v>WEDG</v>
      </c>
    </row>
    <row r="586" spans="1:6">
      <c r="A586" t="s">
        <v>4718</v>
      </c>
      <c r="B586" t="s">
        <v>4719</v>
      </c>
      <c r="C586">
        <v>1.0130999999999999</v>
      </c>
      <c r="D586" s="1">
        <v>42186</v>
      </c>
      <c r="E586" s="9">
        <f t="shared" si="20"/>
        <v>2016</v>
      </c>
      <c r="F586" t="str">
        <f t="shared" si="19"/>
        <v>WEMD</v>
      </c>
    </row>
    <row r="587" spans="1:6">
      <c r="A587" t="s">
        <v>4720</v>
      </c>
      <c r="B587" t="s">
        <v>4721</v>
      </c>
      <c r="C587">
        <v>1.0304</v>
      </c>
      <c r="D587" s="1">
        <v>42186</v>
      </c>
      <c r="E587" s="9">
        <f t="shared" si="20"/>
        <v>2016</v>
      </c>
      <c r="F587" t="str">
        <f t="shared" si="19"/>
        <v>WENB</v>
      </c>
    </row>
    <row r="588" spans="1:6">
      <c r="A588" t="s">
        <v>4722</v>
      </c>
      <c r="B588" t="s">
        <v>4723</v>
      </c>
      <c r="C588">
        <v>1.038</v>
      </c>
      <c r="D588" s="1">
        <v>42186</v>
      </c>
      <c r="E588" s="9">
        <f t="shared" si="20"/>
        <v>2016</v>
      </c>
      <c r="F588" t="str">
        <f t="shared" si="19"/>
        <v>WFFD</v>
      </c>
    </row>
    <row r="589" spans="1:6">
      <c r="A589" t="s">
        <v>4724</v>
      </c>
      <c r="B589" t="s">
        <v>4725</v>
      </c>
      <c r="C589">
        <v>1.0425</v>
      </c>
      <c r="D589" s="1">
        <v>42186</v>
      </c>
      <c r="E589" s="9">
        <f t="shared" si="20"/>
        <v>2016</v>
      </c>
      <c r="F589" t="str">
        <f t="shared" si="19"/>
        <v>WFRT</v>
      </c>
    </row>
    <row r="590" spans="1:6">
      <c r="A590" t="s">
        <v>4726</v>
      </c>
      <c r="B590" t="s">
        <v>4727</v>
      </c>
      <c r="C590">
        <v>1.0571999999999999</v>
      </c>
      <c r="D590" s="1">
        <v>42186</v>
      </c>
      <c r="E590" s="9">
        <f t="shared" si="20"/>
        <v>2016</v>
      </c>
      <c r="F590" t="str">
        <f t="shared" si="19"/>
        <v>WGGV</v>
      </c>
    </row>
    <row r="591" spans="1:6">
      <c r="A591" t="s">
        <v>4728</v>
      </c>
      <c r="B591" t="s">
        <v>4729</v>
      </c>
      <c r="C591">
        <v>1.0249999999999999</v>
      </c>
      <c r="D591" s="1">
        <v>42186</v>
      </c>
      <c r="E591" s="9">
        <f t="shared" si="20"/>
        <v>2016</v>
      </c>
      <c r="F591" t="str">
        <f t="shared" si="19"/>
        <v>WGNI</v>
      </c>
    </row>
    <row r="592" spans="1:6">
      <c r="A592" t="s">
        <v>4730</v>
      </c>
      <c r="B592" t="s">
        <v>4731</v>
      </c>
      <c r="C592">
        <v>1.0288999999999999</v>
      </c>
      <c r="D592" s="1">
        <v>42186</v>
      </c>
      <c r="E592" s="9">
        <f t="shared" si="20"/>
        <v>2016</v>
      </c>
      <c r="F592" t="str">
        <f t="shared" si="19"/>
        <v>WGNL</v>
      </c>
    </row>
    <row r="593" spans="1:6">
      <c r="A593" t="s">
        <v>4732</v>
      </c>
      <c r="B593" t="s">
        <v>4733</v>
      </c>
      <c r="C593">
        <v>1.0278</v>
      </c>
      <c r="D593" s="1">
        <v>42186</v>
      </c>
      <c r="E593" s="9">
        <f t="shared" si="20"/>
        <v>2016</v>
      </c>
      <c r="F593" t="str">
        <f t="shared" si="19"/>
        <v>WGNN</v>
      </c>
    </row>
    <row r="594" spans="1:6">
      <c r="A594" t="s">
        <v>4734</v>
      </c>
      <c r="B594" t="s">
        <v>4735</v>
      </c>
      <c r="C594">
        <v>1.0096000000000001</v>
      </c>
      <c r="D594" s="1">
        <v>42186</v>
      </c>
      <c r="E594" s="9">
        <f t="shared" si="20"/>
        <v>2016</v>
      </c>
      <c r="F594" t="str">
        <f t="shared" si="19"/>
        <v>WGTN</v>
      </c>
    </row>
    <row r="595" spans="1:6">
      <c r="A595" t="s">
        <v>4736</v>
      </c>
      <c r="B595" t="s">
        <v>4737</v>
      </c>
      <c r="C595">
        <v>1.0399</v>
      </c>
      <c r="D595" s="1">
        <v>42186</v>
      </c>
      <c r="E595" s="9">
        <f t="shared" si="20"/>
        <v>2016</v>
      </c>
      <c r="F595" t="str">
        <f t="shared" si="19"/>
        <v>WHAY</v>
      </c>
    </row>
    <row r="596" spans="1:6">
      <c r="A596" t="s">
        <v>4738</v>
      </c>
      <c r="B596" t="s">
        <v>4739</v>
      </c>
      <c r="C596">
        <v>1.0366</v>
      </c>
      <c r="D596" s="1">
        <v>42186</v>
      </c>
      <c r="E596" s="9">
        <f t="shared" si="20"/>
        <v>2016</v>
      </c>
      <c r="F596" t="str">
        <f t="shared" si="19"/>
        <v>WHBK</v>
      </c>
    </row>
    <row r="597" spans="1:6">
      <c r="A597" t="s">
        <v>4740</v>
      </c>
      <c r="B597" t="s">
        <v>4741</v>
      </c>
      <c r="C597">
        <v>1.0441</v>
      </c>
      <c r="D597" s="1">
        <v>42186</v>
      </c>
      <c r="E597" s="9">
        <f t="shared" si="20"/>
        <v>2016</v>
      </c>
      <c r="F597" t="str">
        <f t="shared" si="19"/>
        <v>WHEP</v>
      </c>
    </row>
    <row r="598" spans="1:6">
      <c r="A598" t="s">
        <v>4742</v>
      </c>
      <c r="B598" t="s">
        <v>4743</v>
      </c>
      <c r="C598">
        <v>1.0396000000000001</v>
      </c>
      <c r="D598" s="1">
        <v>42186</v>
      </c>
      <c r="E598" s="9">
        <f t="shared" si="20"/>
        <v>2016</v>
      </c>
      <c r="F598" t="str">
        <f t="shared" si="19"/>
        <v>WHFS</v>
      </c>
    </row>
    <row r="599" spans="1:6">
      <c r="A599" t="s">
        <v>4744</v>
      </c>
      <c r="B599" t="s">
        <v>4938</v>
      </c>
      <c r="C599">
        <v>1.0181</v>
      </c>
      <c r="D599" s="1">
        <v>42186</v>
      </c>
      <c r="E599" s="9">
        <f t="shared" si="20"/>
        <v>2016</v>
      </c>
      <c r="F599" t="str">
        <f t="shared" si="19"/>
        <v>WHIS</v>
      </c>
    </row>
    <row r="600" spans="1:6">
      <c r="A600" t="s">
        <v>4746</v>
      </c>
      <c r="B600" t="s">
        <v>4747</v>
      </c>
      <c r="C600">
        <v>1.0337000000000001</v>
      </c>
      <c r="D600" s="1">
        <v>42186</v>
      </c>
      <c r="E600" s="9">
        <f t="shared" si="20"/>
        <v>2016</v>
      </c>
      <c r="F600" t="str">
        <f t="shared" si="19"/>
        <v>WHZM</v>
      </c>
    </row>
    <row r="601" spans="1:6">
      <c r="A601" t="s">
        <v>4748</v>
      </c>
      <c r="B601" t="s">
        <v>4749</v>
      </c>
      <c r="C601">
        <v>1.04</v>
      </c>
      <c r="D601" s="1">
        <v>42186</v>
      </c>
      <c r="E601" s="9">
        <f t="shared" si="20"/>
        <v>2016</v>
      </c>
      <c r="F601" t="str">
        <f t="shared" si="19"/>
        <v>WJDP</v>
      </c>
    </row>
    <row r="602" spans="1:6">
      <c r="A602" t="s">
        <v>4750</v>
      </c>
      <c r="B602" t="s">
        <v>4751</v>
      </c>
      <c r="C602">
        <v>1.0396000000000001</v>
      </c>
      <c r="D602" s="1">
        <v>42186</v>
      </c>
      <c r="E602" s="9">
        <f t="shared" si="20"/>
        <v>2016</v>
      </c>
      <c r="F602" t="str">
        <f t="shared" si="19"/>
        <v>WJTE</v>
      </c>
    </row>
    <row r="603" spans="1:6">
      <c r="A603" t="s">
        <v>4752</v>
      </c>
      <c r="B603" t="s">
        <v>4753</v>
      </c>
      <c r="C603">
        <v>1.0519000000000001</v>
      </c>
      <c r="D603" s="1">
        <v>42186</v>
      </c>
      <c r="E603" s="9">
        <f t="shared" si="20"/>
        <v>2016</v>
      </c>
      <c r="F603" t="str">
        <f t="shared" si="19"/>
        <v>WKAT</v>
      </c>
    </row>
    <row r="604" spans="1:6">
      <c r="A604" t="s">
        <v>4754</v>
      </c>
      <c r="B604" t="s">
        <v>4450</v>
      </c>
      <c r="C604">
        <v>1.0392999999999999</v>
      </c>
      <c r="D604" s="1">
        <v>42186</v>
      </c>
      <c r="E604" s="9">
        <f t="shared" si="20"/>
        <v>2016</v>
      </c>
      <c r="F604" t="str">
        <f t="shared" si="19"/>
        <v>WKDA</v>
      </c>
    </row>
    <row r="605" spans="1:6">
      <c r="A605" t="s">
        <v>4755</v>
      </c>
      <c r="B605" t="s">
        <v>4756</v>
      </c>
      <c r="C605">
        <v>1.0301</v>
      </c>
      <c r="D605" s="1">
        <v>42186</v>
      </c>
      <c r="E605" s="9">
        <f t="shared" si="20"/>
        <v>2016</v>
      </c>
      <c r="F605" t="str">
        <f t="shared" si="19"/>
        <v>WKDL</v>
      </c>
    </row>
    <row r="606" spans="1:6">
      <c r="A606" t="s">
        <v>4757</v>
      </c>
      <c r="B606" t="s">
        <v>4758</v>
      </c>
      <c r="C606">
        <v>1.0470999999999999</v>
      </c>
      <c r="D606" s="1">
        <v>42186</v>
      </c>
      <c r="E606" s="9">
        <f t="shared" si="20"/>
        <v>2016</v>
      </c>
      <c r="F606" t="str">
        <f t="shared" si="19"/>
        <v>WKDN</v>
      </c>
    </row>
    <row r="607" spans="1:6">
      <c r="A607" t="s">
        <v>4759</v>
      </c>
      <c r="B607" t="s">
        <v>4760</v>
      </c>
      <c r="C607">
        <v>1.0185</v>
      </c>
      <c r="D607" s="1">
        <v>42186</v>
      </c>
      <c r="E607" s="9">
        <f t="shared" si="20"/>
        <v>2016</v>
      </c>
      <c r="F607" t="str">
        <f t="shared" si="19"/>
        <v>WKDP</v>
      </c>
    </row>
    <row r="608" spans="1:6">
      <c r="A608" t="s">
        <v>4761</v>
      </c>
      <c r="B608" t="s">
        <v>4762</v>
      </c>
      <c r="C608">
        <v>1.0797000000000001</v>
      </c>
      <c r="D608" s="1">
        <v>42186</v>
      </c>
      <c r="E608" s="9">
        <f t="shared" si="20"/>
        <v>2016</v>
      </c>
      <c r="F608" t="str">
        <f t="shared" si="19"/>
        <v>WKEL</v>
      </c>
    </row>
    <row r="609" spans="1:6">
      <c r="A609" t="s">
        <v>4763</v>
      </c>
      <c r="B609" t="s">
        <v>4764</v>
      </c>
      <c r="C609">
        <v>1.0082</v>
      </c>
      <c r="D609" s="1">
        <v>42186</v>
      </c>
      <c r="E609" s="9">
        <f t="shared" si="20"/>
        <v>2016</v>
      </c>
      <c r="F609" t="str">
        <f t="shared" si="19"/>
        <v>WKEM</v>
      </c>
    </row>
    <row r="610" spans="1:6">
      <c r="A610" t="s">
        <v>4765</v>
      </c>
      <c r="B610" t="s">
        <v>4766</v>
      </c>
      <c r="C610">
        <v>1.0321</v>
      </c>
      <c r="D610" s="1">
        <v>42186</v>
      </c>
      <c r="E610" s="9">
        <f t="shared" si="20"/>
        <v>2016</v>
      </c>
      <c r="F610" t="str">
        <f t="shared" si="19"/>
        <v>WKMC</v>
      </c>
    </row>
    <row r="611" spans="1:6">
      <c r="A611" t="s">
        <v>4767</v>
      </c>
      <c r="B611" t="s">
        <v>4768</v>
      </c>
      <c r="C611">
        <v>1.0172000000000001</v>
      </c>
      <c r="D611" s="1">
        <v>42186</v>
      </c>
      <c r="E611" s="9">
        <f t="shared" si="20"/>
        <v>2016</v>
      </c>
      <c r="F611" t="str">
        <f t="shared" si="19"/>
        <v>WKMK</v>
      </c>
    </row>
    <row r="612" spans="1:6">
      <c r="A612" t="s">
        <v>4769</v>
      </c>
      <c r="B612" t="s">
        <v>4770</v>
      </c>
      <c r="C612">
        <v>1.034</v>
      </c>
      <c r="D612" s="1">
        <v>42186</v>
      </c>
      <c r="E612" s="9">
        <f t="shared" si="20"/>
        <v>2016</v>
      </c>
      <c r="F612" t="str">
        <f t="shared" si="19"/>
        <v>WKMM</v>
      </c>
    </row>
    <row r="613" spans="1:6">
      <c r="A613" t="s">
        <v>4771</v>
      </c>
      <c r="B613" t="s">
        <v>4772</v>
      </c>
      <c r="C613">
        <v>1.0190999999999999</v>
      </c>
      <c r="D613" s="1">
        <v>42186</v>
      </c>
      <c r="E613" s="9">
        <f t="shared" si="20"/>
        <v>2016</v>
      </c>
      <c r="F613" t="str">
        <f t="shared" si="19"/>
        <v>WKND</v>
      </c>
    </row>
    <row r="614" spans="1:6">
      <c r="A614" t="s">
        <v>4773</v>
      </c>
      <c r="B614" t="s">
        <v>4774</v>
      </c>
      <c r="C614">
        <v>1.0331999999999999</v>
      </c>
      <c r="D614" s="1">
        <v>42186</v>
      </c>
      <c r="E614" s="9">
        <f t="shared" si="20"/>
        <v>2016</v>
      </c>
      <c r="F614" t="str">
        <f t="shared" si="19"/>
        <v>WKOJ</v>
      </c>
    </row>
    <row r="615" spans="1:6">
      <c r="A615" t="s">
        <v>4775</v>
      </c>
      <c r="B615" t="s">
        <v>4776</v>
      </c>
      <c r="C615">
        <v>1.0174000000000001</v>
      </c>
      <c r="D615" s="1">
        <v>42186</v>
      </c>
      <c r="E615" s="9">
        <f t="shared" si="20"/>
        <v>2016</v>
      </c>
      <c r="F615" t="str">
        <f t="shared" si="19"/>
        <v>WKPS</v>
      </c>
    </row>
    <row r="616" spans="1:6">
      <c r="A616" t="s">
        <v>4777</v>
      </c>
      <c r="B616" t="s">
        <v>4778</v>
      </c>
      <c r="C616">
        <v>1.0407</v>
      </c>
      <c r="D616" s="1">
        <v>42186</v>
      </c>
      <c r="E616" s="9">
        <f t="shared" si="20"/>
        <v>2016</v>
      </c>
      <c r="F616" t="str">
        <f t="shared" si="19"/>
        <v>WLDE</v>
      </c>
    </row>
    <row r="617" spans="1:6">
      <c r="A617" t="s">
        <v>4779</v>
      </c>
      <c r="B617" t="s">
        <v>4780</v>
      </c>
      <c r="C617">
        <v>1.0405</v>
      </c>
      <c r="D617" s="1">
        <v>42186</v>
      </c>
      <c r="E617" s="9">
        <f t="shared" si="20"/>
        <v>2016</v>
      </c>
      <c r="F617" t="str">
        <f t="shared" si="19"/>
        <v>WMAG</v>
      </c>
    </row>
    <row r="618" spans="1:6">
      <c r="A618" t="s">
        <v>4781</v>
      </c>
      <c r="B618" t="s">
        <v>4782</v>
      </c>
      <c r="C618">
        <v>1.0541</v>
      </c>
      <c r="D618" s="1">
        <v>42186</v>
      </c>
      <c r="E618" s="9">
        <f t="shared" si="20"/>
        <v>2016</v>
      </c>
      <c r="F618" t="str">
        <f t="shared" si="19"/>
        <v>WMBR</v>
      </c>
    </row>
    <row r="619" spans="1:6">
      <c r="A619" t="s">
        <v>4783</v>
      </c>
      <c r="B619" t="s">
        <v>4784</v>
      </c>
      <c r="C619">
        <v>1.0427999999999999</v>
      </c>
      <c r="D619" s="1">
        <v>42186</v>
      </c>
      <c r="E619" s="9">
        <f t="shared" si="20"/>
        <v>2016</v>
      </c>
      <c r="F619" t="str">
        <f t="shared" si="19"/>
        <v>WMCR</v>
      </c>
    </row>
    <row r="620" spans="1:6">
      <c r="A620" t="s">
        <v>4785</v>
      </c>
      <c r="B620" t="s">
        <v>4786</v>
      </c>
      <c r="C620">
        <v>1.0311999999999999</v>
      </c>
      <c r="D620" s="1">
        <v>42186</v>
      </c>
      <c r="E620" s="9">
        <f t="shared" si="20"/>
        <v>2016</v>
      </c>
      <c r="F620" t="str">
        <f t="shared" si="19"/>
        <v>WMDN</v>
      </c>
    </row>
    <row r="621" spans="1:6">
      <c r="A621" t="s">
        <v>4787</v>
      </c>
      <c r="B621" t="s">
        <v>4788</v>
      </c>
      <c r="C621">
        <v>1.0367</v>
      </c>
      <c r="D621" s="1">
        <v>42186</v>
      </c>
      <c r="E621" s="9">
        <f t="shared" si="20"/>
        <v>2016</v>
      </c>
      <c r="F621" t="str">
        <f t="shared" si="19"/>
        <v>WMDY</v>
      </c>
    </row>
    <row r="622" spans="1:6">
      <c r="A622" t="s">
        <v>4789</v>
      </c>
      <c r="B622" t="s">
        <v>4790</v>
      </c>
      <c r="C622">
        <v>1.0243</v>
      </c>
      <c r="D622" s="1">
        <v>42186</v>
      </c>
      <c r="E622" s="9">
        <f t="shared" si="20"/>
        <v>2016</v>
      </c>
      <c r="F622" t="str">
        <f t="shared" si="19"/>
        <v>WMED</v>
      </c>
    </row>
    <row r="623" spans="1:6">
      <c r="A623" t="s">
        <v>4791</v>
      </c>
      <c r="B623" t="s">
        <v>4792</v>
      </c>
      <c r="C623">
        <v>1.0628</v>
      </c>
      <c r="D623" s="1">
        <v>42186</v>
      </c>
      <c r="E623" s="9">
        <f t="shared" si="20"/>
        <v>2016</v>
      </c>
      <c r="F623" t="str">
        <f t="shared" si="19"/>
        <v>WMER</v>
      </c>
    </row>
    <row r="624" spans="1:6">
      <c r="A624" t="s">
        <v>4793</v>
      </c>
      <c r="B624" t="s">
        <v>4794</v>
      </c>
      <c r="C624">
        <v>0.99629999999999996</v>
      </c>
      <c r="D624" s="1">
        <v>42186</v>
      </c>
      <c r="E624" s="9">
        <f t="shared" si="20"/>
        <v>2016</v>
      </c>
      <c r="F624" t="str">
        <f t="shared" ref="F624:F687" si="21">A624</f>
        <v>WMGA</v>
      </c>
    </row>
    <row r="625" spans="1:6">
      <c r="A625" t="s">
        <v>4795</v>
      </c>
      <c r="B625" t="s">
        <v>4796</v>
      </c>
      <c r="C625">
        <v>1.0281</v>
      </c>
      <c r="D625" s="1">
        <v>42186</v>
      </c>
      <c r="E625" s="9">
        <f t="shared" si="20"/>
        <v>2016</v>
      </c>
      <c r="F625" t="str">
        <f t="shared" si="21"/>
        <v>WMHA</v>
      </c>
    </row>
    <row r="626" spans="1:6">
      <c r="A626" t="s">
        <v>4797</v>
      </c>
      <c r="B626" t="s">
        <v>4798</v>
      </c>
      <c r="C626">
        <v>1.0404</v>
      </c>
      <c r="D626" s="1">
        <v>42186</v>
      </c>
      <c r="E626" s="9">
        <f t="shared" si="20"/>
        <v>2016</v>
      </c>
      <c r="F626" t="str">
        <f t="shared" si="21"/>
        <v>WMIL</v>
      </c>
    </row>
    <row r="627" spans="1:6">
      <c r="A627" t="s">
        <v>4799</v>
      </c>
      <c r="B627" t="s">
        <v>4800</v>
      </c>
      <c r="C627">
        <v>1.0179</v>
      </c>
      <c r="D627" s="1">
        <v>42186</v>
      </c>
      <c r="E627" s="9">
        <f t="shared" si="20"/>
        <v>2016</v>
      </c>
      <c r="F627" t="str">
        <f t="shared" si="21"/>
        <v>WMJP</v>
      </c>
    </row>
    <row r="628" spans="1:6">
      <c r="A628" t="s">
        <v>4801</v>
      </c>
      <c r="B628" t="s">
        <v>4802</v>
      </c>
      <c r="C628">
        <v>1.0345</v>
      </c>
      <c r="D628" s="1">
        <v>42186</v>
      </c>
      <c r="E628" s="9">
        <f t="shared" si="20"/>
        <v>2016</v>
      </c>
      <c r="F628" t="str">
        <f t="shared" si="21"/>
        <v>WMJX</v>
      </c>
    </row>
    <row r="629" spans="1:6">
      <c r="A629" t="s">
        <v>4803</v>
      </c>
      <c r="B629" t="s">
        <v>4804</v>
      </c>
      <c r="C629">
        <v>1.0359</v>
      </c>
      <c r="D629" s="1">
        <v>42186</v>
      </c>
      <c r="E629" s="9">
        <f t="shared" si="20"/>
        <v>2016</v>
      </c>
      <c r="F629" t="str">
        <f t="shared" si="21"/>
        <v>WMLG</v>
      </c>
    </row>
    <row r="630" spans="1:6">
      <c r="A630" t="s">
        <v>4805</v>
      </c>
      <c r="B630" t="s">
        <v>4806</v>
      </c>
      <c r="C630">
        <v>1.0461</v>
      </c>
      <c r="D630" s="1">
        <v>42186</v>
      </c>
      <c r="E630" s="9">
        <f t="shared" si="20"/>
        <v>2016</v>
      </c>
      <c r="F630" t="str">
        <f t="shared" si="21"/>
        <v>WMOR</v>
      </c>
    </row>
    <row r="631" spans="1:6">
      <c r="A631" t="s">
        <v>4807</v>
      </c>
      <c r="B631" t="s">
        <v>4808</v>
      </c>
      <c r="C631">
        <v>1.04</v>
      </c>
      <c r="D631" s="1">
        <v>42186</v>
      </c>
      <c r="E631" s="9">
        <f t="shared" si="20"/>
        <v>2016</v>
      </c>
      <c r="F631" t="str">
        <f t="shared" si="21"/>
        <v>WMOY</v>
      </c>
    </row>
    <row r="632" spans="1:6">
      <c r="A632" t="s">
        <v>4809</v>
      </c>
      <c r="B632" t="s">
        <v>4810</v>
      </c>
      <c r="C632">
        <v>1</v>
      </c>
      <c r="D632" s="1">
        <v>42186</v>
      </c>
      <c r="E632" s="9">
        <f t="shared" si="20"/>
        <v>2016</v>
      </c>
      <c r="F632" t="str">
        <f t="shared" si="21"/>
        <v>WMPS</v>
      </c>
    </row>
    <row r="633" spans="1:6">
      <c r="A633" t="s">
        <v>4811</v>
      </c>
      <c r="B633" t="s">
        <v>4812</v>
      </c>
      <c r="C633">
        <v>1.0124</v>
      </c>
      <c r="D633" s="1">
        <v>42186</v>
      </c>
      <c r="E633" s="9">
        <f t="shared" si="20"/>
        <v>2016</v>
      </c>
      <c r="F633" t="str">
        <f t="shared" si="21"/>
        <v>WMRR</v>
      </c>
    </row>
    <row r="634" spans="1:6">
      <c r="A634" t="s">
        <v>4813</v>
      </c>
      <c r="B634" t="s">
        <v>4814</v>
      </c>
      <c r="C634">
        <v>1.1003000000000001</v>
      </c>
      <c r="D634" s="1">
        <v>42186</v>
      </c>
      <c r="E634" s="9">
        <f t="shared" si="20"/>
        <v>2016</v>
      </c>
      <c r="F634" t="str">
        <f t="shared" si="21"/>
        <v>WMRV</v>
      </c>
    </row>
    <row r="635" spans="1:6">
      <c r="A635" t="s">
        <v>4815</v>
      </c>
      <c r="B635" t="s">
        <v>4816</v>
      </c>
      <c r="C635">
        <v>1.0182</v>
      </c>
      <c r="D635" s="1">
        <v>42186</v>
      </c>
      <c r="E635" s="9">
        <f t="shared" si="20"/>
        <v>2016</v>
      </c>
      <c r="F635" t="str">
        <f t="shared" si="21"/>
        <v>WMSR</v>
      </c>
    </row>
    <row r="636" spans="1:6">
      <c r="A636" t="s">
        <v>4817</v>
      </c>
      <c r="B636" t="s">
        <v>4818</v>
      </c>
      <c r="C636">
        <v>1.0270999999999999</v>
      </c>
      <c r="D636" s="1">
        <v>42186</v>
      </c>
      <c r="E636" s="9">
        <f t="shared" si="20"/>
        <v>2016</v>
      </c>
      <c r="F636" t="str">
        <f t="shared" si="21"/>
        <v>WMSS</v>
      </c>
    </row>
    <row r="637" spans="1:6">
      <c r="A637" t="s">
        <v>4819</v>
      </c>
      <c r="B637" t="s">
        <v>4820</v>
      </c>
      <c r="C637">
        <v>1.0358000000000001</v>
      </c>
      <c r="D637" s="1">
        <v>42186</v>
      </c>
      <c r="E637" s="9">
        <f t="shared" si="20"/>
        <v>2016</v>
      </c>
      <c r="F637" t="str">
        <f t="shared" si="21"/>
        <v>WMUC</v>
      </c>
    </row>
    <row r="638" spans="1:6">
      <c r="A638" t="s">
        <v>4821</v>
      </c>
      <c r="B638" t="s">
        <v>4822</v>
      </c>
      <c r="C638">
        <v>1.0404</v>
      </c>
      <c r="D638" s="1">
        <v>42186</v>
      </c>
      <c r="E638" s="9">
        <f t="shared" si="20"/>
        <v>2016</v>
      </c>
      <c r="F638" t="str">
        <f t="shared" si="21"/>
        <v>WMUL</v>
      </c>
    </row>
    <row r="639" spans="1:6">
      <c r="A639" t="s">
        <v>4823</v>
      </c>
      <c r="B639" t="s">
        <v>4824</v>
      </c>
      <c r="C639">
        <v>1.0262</v>
      </c>
      <c r="D639" s="1">
        <v>42186</v>
      </c>
      <c r="E639" s="9">
        <f t="shared" si="20"/>
        <v>2016</v>
      </c>
      <c r="F639" t="str">
        <f t="shared" si="21"/>
        <v>WMUR</v>
      </c>
    </row>
    <row r="640" spans="1:6">
      <c r="A640" t="s">
        <v>4825</v>
      </c>
      <c r="B640" t="s">
        <v>4826</v>
      </c>
      <c r="C640">
        <v>1.0431999999999999</v>
      </c>
      <c r="D640" s="1">
        <v>42186</v>
      </c>
      <c r="E640" s="9">
        <f t="shared" si="20"/>
        <v>2016</v>
      </c>
      <c r="F640" t="str">
        <f t="shared" si="21"/>
        <v>WMWR</v>
      </c>
    </row>
    <row r="641" spans="1:6">
      <c r="A641" t="s">
        <v>4827</v>
      </c>
      <c r="B641" t="s">
        <v>4828</v>
      </c>
      <c r="C641">
        <v>1.0398000000000001</v>
      </c>
      <c r="D641" s="1">
        <v>42186</v>
      </c>
      <c r="E641" s="9">
        <f t="shared" si="20"/>
        <v>2016</v>
      </c>
      <c r="F641" t="str">
        <f t="shared" si="21"/>
        <v>WMYR</v>
      </c>
    </row>
    <row r="642" spans="1:6">
      <c r="A642" t="s">
        <v>4829</v>
      </c>
      <c r="B642" t="s">
        <v>4830</v>
      </c>
      <c r="C642">
        <v>1.0410999999999999</v>
      </c>
      <c r="D642" s="1">
        <v>42186</v>
      </c>
      <c r="E642" s="9">
        <f t="shared" si="20"/>
        <v>2016</v>
      </c>
      <c r="F642" t="str">
        <f t="shared" si="21"/>
        <v>WNBH</v>
      </c>
    </row>
    <row r="643" spans="1:6">
      <c r="A643" t="s">
        <v>4831</v>
      </c>
      <c r="B643" t="s">
        <v>4832</v>
      </c>
      <c r="C643">
        <v>1.0429999999999999</v>
      </c>
      <c r="D643" s="1">
        <v>42186</v>
      </c>
      <c r="E643" s="9">
        <f t="shared" ref="E643:E706" si="22">YEAR(D643)+1</f>
        <v>2016</v>
      </c>
      <c r="F643" t="str">
        <f t="shared" si="21"/>
        <v>WNED</v>
      </c>
    </row>
    <row r="644" spans="1:6">
      <c r="A644" t="s">
        <v>4833</v>
      </c>
      <c r="B644" t="s">
        <v>4834</v>
      </c>
      <c r="C644">
        <v>1.034</v>
      </c>
      <c r="D644" s="1">
        <v>42186</v>
      </c>
      <c r="E644" s="9">
        <f t="shared" si="22"/>
        <v>2016</v>
      </c>
      <c r="F644" t="str">
        <f t="shared" si="21"/>
        <v>WNFL</v>
      </c>
    </row>
    <row r="645" spans="1:6">
      <c r="A645" t="s">
        <v>4835</v>
      </c>
      <c r="B645" t="s">
        <v>4581</v>
      </c>
      <c r="C645">
        <v>1.0208999999999999</v>
      </c>
      <c r="D645" s="1">
        <v>42186</v>
      </c>
      <c r="E645" s="9">
        <f t="shared" si="22"/>
        <v>2016</v>
      </c>
      <c r="F645" t="str">
        <f t="shared" si="21"/>
        <v>WNGK</v>
      </c>
    </row>
    <row r="646" spans="1:6">
      <c r="A646" t="s">
        <v>4836</v>
      </c>
      <c r="B646" t="s">
        <v>4837</v>
      </c>
      <c r="C646">
        <v>1.0489999999999999</v>
      </c>
      <c r="D646" s="1">
        <v>42186</v>
      </c>
      <c r="E646" s="9">
        <f t="shared" si="22"/>
        <v>2016</v>
      </c>
      <c r="F646" t="str">
        <f t="shared" si="21"/>
        <v>WNGN</v>
      </c>
    </row>
    <row r="647" spans="1:6">
      <c r="A647" t="s">
        <v>4838</v>
      </c>
      <c r="B647" t="s">
        <v>4839</v>
      </c>
      <c r="C647">
        <v>1.0475000000000001</v>
      </c>
      <c r="D647" s="1">
        <v>42186</v>
      </c>
      <c r="E647" s="9">
        <f t="shared" si="22"/>
        <v>2016</v>
      </c>
      <c r="F647" t="str">
        <f t="shared" si="21"/>
        <v>WNOR</v>
      </c>
    </row>
    <row r="648" spans="1:6">
      <c r="A648" t="s">
        <v>4840</v>
      </c>
      <c r="B648" t="s">
        <v>4841</v>
      </c>
      <c r="C648">
        <v>1.0341</v>
      </c>
      <c r="D648" s="1">
        <v>42186</v>
      </c>
      <c r="E648" s="9">
        <f t="shared" si="22"/>
        <v>2016</v>
      </c>
      <c r="F648" t="str">
        <f t="shared" si="21"/>
        <v>WNOW</v>
      </c>
    </row>
    <row r="649" spans="1:6">
      <c r="A649" t="s">
        <v>4842</v>
      </c>
      <c r="B649" t="s">
        <v>4843</v>
      </c>
      <c r="C649">
        <v>1.0398000000000001</v>
      </c>
      <c r="D649" s="1">
        <v>42186</v>
      </c>
      <c r="E649" s="9">
        <f t="shared" si="22"/>
        <v>2016</v>
      </c>
      <c r="F649" t="str">
        <f t="shared" si="21"/>
        <v>WNPH</v>
      </c>
    </row>
    <row r="650" spans="1:6">
      <c r="A650" t="s">
        <v>4844</v>
      </c>
      <c r="B650" t="s">
        <v>4845</v>
      </c>
      <c r="C650">
        <v>1.0382</v>
      </c>
      <c r="D650" s="1">
        <v>42186</v>
      </c>
      <c r="E650" s="9">
        <f t="shared" si="22"/>
        <v>2016</v>
      </c>
      <c r="F650" t="str">
        <f t="shared" si="21"/>
        <v>WOCN</v>
      </c>
    </row>
    <row r="651" spans="1:6">
      <c r="A651" t="s">
        <v>4846</v>
      </c>
      <c r="B651" t="s">
        <v>4847</v>
      </c>
      <c r="C651">
        <v>1.0407999999999999</v>
      </c>
      <c r="D651" s="1">
        <v>42186</v>
      </c>
      <c r="E651" s="9">
        <f t="shared" si="22"/>
        <v>2016</v>
      </c>
      <c r="F651" t="str">
        <f t="shared" si="21"/>
        <v>WOPK</v>
      </c>
    </row>
    <row r="652" spans="1:6">
      <c r="A652" t="s">
        <v>4848</v>
      </c>
      <c r="B652" t="s">
        <v>4849</v>
      </c>
      <c r="C652">
        <v>1.0415000000000001</v>
      </c>
      <c r="D652" s="1">
        <v>42186</v>
      </c>
      <c r="E652" s="9">
        <f t="shared" si="22"/>
        <v>2016</v>
      </c>
      <c r="F652" t="str">
        <f t="shared" si="21"/>
        <v>WPBY</v>
      </c>
    </row>
    <row r="653" spans="1:6">
      <c r="A653" t="s">
        <v>4850</v>
      </c>
      <c r="B653" t="s">
        <v>4851</v>
      </c>
      <c r="C653">
        <v>1.1942999999999999</v>
      </c>
      <c r="D653" s="1">
        <v>42186</v>
      </c>
      <c r="E653" s="9">
        <f t="shared" si="22"/>
        <v>2016</v>
      </c>
      <c r="F653" t="str">
        <f t="shared" si="21"/>
        <v>WPCY</v>
      </c>
    </row>
    <row r="654" spans="1:6">
      <c r="A654" t="s">
        <v>4852</v>
      </c>
      <c r="B654" t="s">
        <v>4853</v>
      </c>
      <c r="C654">
        <v>1.0148999999999999</v>
      </c>
      <c r="D654" s="1">
        <v>42186</v>
      </c>
      <c r="E654" s="9">
        <f t="shared" si="22"/>
        <v>2016</v>
      </c>
      <c r="F654" t="str">
        <f t="shared" si="21"/>
        <v>WPIC</v>
      </c>
    </row>
    <row r="655" spans="1:6">
      <c r="A655" t="s">
        <v>4854</v>
      </c>
      <c r="B655" t="s">
        <v>4855</v>
      </c>
      <c r="C655">
        <v>1.0298</v>
      </c>
      <c r="D655" s="1">
        <v>42186</v>
      </c>
      <c r="E655" s="9">
        <f t="shared" si="22"/>
        <v>2016</v>
      </c>
      <c r="F655" t="str">
        <f t="shared" si="21"/>
        <v>WPJR</v>
      </c>
    </row>
    <row r="656" spans="1:6">
      <c r="A656" t="s">
        <v>4856</v>
      </c>
      <c r="B656" t="s">
        <v>4857</v>
      </c>
      <c r="C656">
        <v>1.1896</v>
      </c>
      <c r="D656" s="1">
        <v>42186</v>
      </c>
      <c r="E656" s="9">
        <f t="shared" si="22"/>
        <v>2016</v>
      </c>
      <c r="F656" t="str">
        <f t="shared" si="21"/>
        <v>WPKS</v>
      </c>
    </row>
    <row r="657" spans="1:6">
      <c r="A657" t="s">
        <v>4858</v>
      </c>
      <c r="B657" t="s">
        <v>4859</v>
      </c>
      <c r="C657">
        <v>1.0265</v>
      </c>
      <c r="D657" s="1">
        <v>42186</v>
      </c>
      <c r="E657" s="9">
        <f t="shared" si="22"/>
        <v>2016</v>
      </c>
      <c r="F657" t="str">
        <f t="shared" si="21"/>
        <v>WPLD</v>
      </c>
    </row>
    <row r="658" spans="1:6">
      <c r="A658" t="s">
        <v>4860</v>
      </c>
      <c r="B658" t="s">
        <v>4861</v>
      </c>
      <c r="C658">
        <v>1.02</v>
      </c>
      <c r="D658" s="1">
        <v>42186</v>
      </c>
      <c r="E658" s="9">
        <f t="shared" si="22"/>
        <v>2016</v>
      </c>
      <c r="F658" t="str">
        <f t="shared" si="21"/>
        <v>WPNJ</v>
      </c>
    </row>
    <row r="659" spans="1:6">
      <c r="A659" t="s">
        <v>4862</v>
      </c>
      <c r="B659" t="s">
        <v>4863</v>
      </c>
      <c r="C659">
        <v>1.0096000000000001</v>
      </c>
      <c r="D659" s="1">
        <v>42186</v>
      </c>
      <c r="E659" s="9">
        <f t="shared" si="22"/>
        <v>2016</v>
      </c>
      <c r="F659" t="str">
        <f t="shared" si="21"/>
        <v>WRAN</v>
      </c>
    </row>
    <row r="660" spans="1:6">
      <c r="A660" t="s">
        <v>4864</v>
      </c>
      <c r="B660" t="s">
        <v>4865</v>
      </c>
      <c r="C660">
        <v>1.0342</v>
      </c>
      <c r="D660" s="1">
        <v>42186</v>
      </c>
      <c r="E660" s="9">
        <f t="shared" si="22"/>
        <v>2016</v>
      </c>
      <c r="F660" t="str">
        <f t="shared" si="21"/>
        <v>WRGN</v>
      </c>
    </row>
    <row r="661" spans="1:6">
      <c r="A661" t="s">
        <v>4866</v>
      </c>
      <c r="B661" t="s">
        <v>4513</v>
      </c>
      <c r="C661">
        <v>1.0244</v>
      </c>
      <c r="D661" s="1">
        <v>42186</v>
      </c>
      <c r="E661" s="9">
        <f t="shared" si="22"/>
        <v>2016</v>
      </c>
      <c r="F661" t="str">
        <f t="shared" si="21"/>
        <v>WROH</v>
      </c>
    </row>
    <row r="662" spans="1:6">
      <c r="A662" t="s">
        <v>4867</v>
      </c>
      <c r="B662" t="s">
        <v>4868</v>
      </c>
      <c r="C662">
        <v>1.0276000000000001</v>
      </c>
      <c r="D662" s="1">
        <v>42186</v>
      </c>
      <c r="E662" s="9">
        <f t="shared" si="22"/>
        <v>2016</v>
      </c>
      <c r="F662" t="str">
        <f t="shared" si="21"/>
        <v>WRTN</v>
      </c>
    </row>
    <row r="663" spans="1:6">
      <c r="A663" t="s">
        <v>4869</v>
      </c>
      <c r="B663" t="s">
        <v>4870</v>
      </c>
      <c r="C663">
        <v>1.0305</v>
      </c>
      <c r="D663" s="1">
        <v>42186</v>
      </c>
      <c r="E663" s="9">
        <f t="shared" si="22"/>
        <v>2016</v>
      </c>
      <c r="F663" t="str">
        <f t="shared" si="21"/>
        <v>WRVE</v>
      </c>
    </row>
    <row r="664" spans="1:6">
      <c r="A664" t="s">
        <v>4871</v>
      </c>
      <c r="B664" t="s">
        <v>4872</v>
      </c>
      <c r="C664">
        <v>1.0246</v>
      </c>
      <c r="D664" s="1">
        <v>42186</v>
      </c>
      <c r="E664" s="9">
        <f t="shared" si="22"/>
        <v>2016</v>
      </c>
      <c r="F664" t="str">
        <f t="shared" si="21"/>
        <v>WSFT</v>
      </c>
    </row>
    <row r="665" spans="1:6">
      <c r="A665" t="s">
        <v>4873</v>
      </c>
      <c r="B665" t="s">
        <v>4874</v>
      </c>
      <c r="C665">
        <v>1.0281</v>
      </c>
      <c r="D665" s="1">
        <v>42186</v>
      </c>
      <c r="E665" s="9">
        <f t="shared" si="22"/>
        <v>2016</v>
      </c>
      <c r="F665" t="str">
        <f t="shared" si="21"/>
        <v>WSNR</v>
      </c>
    </row>
    <row r="666" spans="1:6">
      <c r="A666" t="s">
        <v>4875</v>
      </c>
      <c r="B666" t="s">
        <v>4876</v>
      </c>
      <c r="C666">
        <v>1.0412999999999999</v>
      </c>
      <c r="D666" s="1">
        <v>42186</v>
      </c>
      <c r="E666" s="9">
        <f t="shared" si="22"/>
        <v>2016</v>
      </c>
      <c r="F666" t="str">
        <f t="shared" si="21"/>
        <v>WSPA</v>
      </c>
    </row>
    <row r="667" spans="1:6">
      <c r="A667" t="s">
        <v>4877</v>
      </c>
      <c r="B667" t="s">
        <v>4878</v>
      </c>
      <c r="C667">
        <v>1.0402</v>
      </c>
      <c r="D667" s="1">
        <v>42186</v>
      </c>
      <c r="E667" s="9">
        <f t="shared" si="22"/>
        <v>2016</v>
      </c>
      <c r="F667" t="str">
        <f t="shared" si="21"/>
        <v>WSRD</v>
      </c>
    </row>
    <row r="668" spans="1:6">
      <c r="A668" t="s">
        <v>4879</v>
      </c>
      <c r="B668" t="s">
        <v>4880</v>
      </c>
      <c r="C668">
        <v>1.0403</v>
      </c>
      <c r="D668" s="1">
        <v>42186</v>
      </c>
      <c r="E668" s="9">
        <f t="shared" si="22"/>
        <v>2016</v>
      </c>
      <c r="F668" t="str">
        <f t="shared" si="21"/>
        <v>WSUM</v>
      </c>
    </row>
    <row r="669" spans="1:6">
      <c r="A669" t="s">
        <v>4881</v>
      </c>
      <c r="B669" t="s">
        <v>4882</v>
      </c>
      <c r="C669">
        <v>1.0422</v>
      </c>
      <c r="D669" s="1">
        <v>42186</v>
      </c>
      <c r="E669" s="9">
        <f t="shared" si="22"/>
        <v>2016</v>
      </c>
      <c r="F669" t="str">
        <f t="shared" si="21"/>
        <v>WSVY</v>
      </c>
    </row>
    <row r="670" spans="1:6">
      <c r="A670" t="s">
        <v>4883</v>
      </c>
      <c r="B670" t="s">
        <v>4884</v>
      </c>
      <c r="C670">
        <v>1.0306999999999999</v>
      </c>
      <c r="D670" s="1">
        <v>42186</v>
      </c>
      <c r="E670" s="9">
        <f t="shared" si="22"/>
        <v>2016</v>
      </c>
      <c r="F670" t="str">
        <f t="shared" si="21"/>
        <v>WTLN</v>
      </c>
    </row>
    <row r="671" spans="1:6">
      <c r="A671" t="s">
        <v>4885</v>
      </c>
      <c r="B671" t="s">
        <v>4886</v>
      </c>
      <c r="C671">
        <v>1.0336000000000001</v>
      </c>
      <c r="D671" s="1">
        <v>42186</v>
      </c>
      <c r="E671" s="9">
        <f t="shared" si="22"/>
        <v>2016</v>
      </c>
      <c r="F671" t="str">
        <f t="shared" si="21"/>
        <v>WTSG</v>
      </c>
    </row>
    <row r="672" spans="1:6">
      <c r="A672" t="s">
        <v>4887</v>
      </c>
      <c r="B672" t="s">
        <v>4888</v>
      </c>
      <c r="C672">
        <v>1.0443</v>
      </c>
      <c r="D672" s="1">
        <v>42186</v>
      </c>
      <c r="E672" s="9">
        <f t="shared" si="22"/>
        <v>2016</v>
      </c>
      <c r="F672" t="str">
        <f t="shared" si="21"/>
        <v>WTST</v>
      </c>
    </row>
    <row r="673" spans="1:6">
      <c r="A673" t="s">
        <v>4889</v>
      </c>
      <c r="B673" t="s">
        <v>4890</v>
      </c>
      <c r="C673">
        <v>1.0308999999999999</v>
      </c>
      <c r="D673" s="1">
        <v>42186</v>
      </c>
      <c r="E673" s="9">
        <f t="shared" si="22"/>
        <v>2016</v>
      </c>
      <c r="F673" t="str">
        <f t="shared" si="21"/>
        <v>WTTS</v>
      </c>
    </row>
    <row r="674" spans="1:6">
      <c r="A674" t="s">
        <v>4891</v>
      </c>
      <c r="B674" t="s">
        <v>4892</v>
      </c>
      <c r="C674">
        <v>1.0430999999999999</v>
      </c>
      <c r="D674" s="1">
        <v>42186</v>
      </c>
      <c r="E674" s="9">
        <f t="shared" si="22"/>
        <v>2016</v>
      </c>
      <c r="F674" t="str">
        <f t="shared" si="21"/>
        <v>WUNI</v>
      </c>
    </row>
    <row r="675" spans="1:6">
      <c r="A675" t="s">
        <v>4893</v>
      </c>
      <c r="B675" t="s">
        <v>4894</v>
      </c>
      <c r="C675">
        <v>1.0351999999999999</v>
      </c>
      <c r="D675" s="1">
        <v>42186</v>
      </c>
      <c r="E675" s="9">
        <f t="shared" si="22"/>
        <v>2016</v>
      </c>
      <c r="F675" t="str">
        <f t="shared" si="21"/>
        <v>WVPA</v>
      </c>
    </row>
    <row r="676" spans="1:6">
      <c r="A676" t="s">
        <v>4895</v>
      </c>
      <c r="B676" t="s">
        <v>4896</v>
      </c>
      <c r="C676">
        <v>1.0537000000000001</v>
      </c>
      <c r="D676" s="1">
        <v>42186</v>
      </c>
      <c r="E676" s="9">
        <f t="shared" si="22"/>
        <v>2016</v>
      </c>
      <c r="F676" t="str">
        <f t="shared" si="21"/>
        <v>WWAG</v>
      </c>
    </row>
    <row r="677" spans="1:6">
      <c r="A677" t="s">
        <v>4897</v>
      </c>
      <c r="B677" t="s">
        <v>4898</v>
      </c>
      <c r="C677">
        <v>1.0261</v>
      </c>
      <c r="D677" s="1">
        <v>42186</v>
      </c>
      <c r="E677" s="9">
        <f t="shared" si="22"/>
        <v>2016</v>
      </c>
      <c r="F677" t="str">
        <f t="shared" si="21"/>
        <v>WWAI</v>
      </c>
    </row>
    <row r="678" spans="1:6">
      <c r="A678" t="s">
        <v>4899</v>
      </c>
      <c r="B678" t="s">
        <v>4900</v>
      </c>
      <c r="C678">
        <v>0.99490000000000001</v>
      </c>
      <c r="D678" s="1">
        <v>42186</v>
      </c>
      <c r="E678" s="9">
        <f t="shared" si="22"/>
        <v>2016</v>
      </c>
      <c r="F678" t="str">
        <f t="shared" si="21"/>
        <v>WWCL</v>
      </c>
    </row>
    <row r="679" spans="1:6">
      <c r="A679" t="s">
        <v>4901</v>
      </c>
      <c r="B679" t="s">
        <v>4902</v>
      </c>
      <c r="C679">
        <v>1.0436000000000001</v>
      </c>
      <c r="D679" s="1">
        <v>42186</v>
      </c>
      <c r="E679" s="9">
        <f t="shared" si="22"/>
        <v>2016</v>
      </c>
      <c r="F679" t="str">
        <f t="shared" si="21"/>
        <v>WWDN</v>
      </c>
    </row>
    <row r="680" spans="1:6">
      <c r="A680" t="s">
        <v>4903</v>
      </c>
      <c r="B680" t="s">
        <v>4904</v>
      </c>
      <c r="C680">
        <v>1.0299</v>
      </c>
      <c r="D680" s="1">
        <v>42186</v>
      </c>
      <c r="E680" s="9">
        <f t="shared" si="22"/>
        <v>2016</v>
      </c>
      <c r="F680" t="str">
        <f t="shared" si="21"/>
        <v>WWEL</v>
      </c>
    </row>
    <row r="681" spans="1:6">
      <c r="A681" t="s">
        <v>4905</v>
      </c>
      <c r="B681" t="s">
        <v>4906</v>
      </c>
      <c r="C681">
        <v>1.0406</v>
      </c>
      <c r="D681" s="1">
        <v>42186</v>
      </c>
      <c r="E681" s="9">
        <f t="shared" si="22"/>
        <v>2016</v>
      </c>
      <c r="F681" t="str">
        <f t="shared" si="21"/>
        <v>WWGA</v>
      </c>
    </row>
    <row r="682" spans="1:6">
      <c r="A682" t="s">
        <v>4907</v>
      </c>
      <c r="B682" t="s">
        <v>4908</v>
      </c>
      <c r="C682">
        <v>0.99639999999999995</v>
      </c>
      <c r="D682" s="1">
        <v>42186</v>
      </c>
      <c r="E682" s="9">
        <f t="shared" si="22"/>
        <v>2016</v>
      </c>
      <c r="F682" t="str">
        <f t="shared" si="21"/>
        <v>WWGP</v>
      </c>
    </row>
    <row r="683" spans="1:6">
      <c r="A683" t="s">
        <v>4909</v>
      </c>
      <c r="B683" t="s">
        <v>4910</v>
      </c>
      <c r="C683">
        <v>1.1848000000000001</v>
      </c>
      <c r="D683" s="1">
        <v>42186</v>
      </c>
      <c r="E683" s="9">
        <f t="shared" si="22"/>
        <v>2016</v>
      </c>
      <c r="F683" t="str">
        <f t="shared" si="21"/>
        <v>WWKT</v>
      </c>
    </row>
    <row r="684" spans="1:6">
      <c r="A684" t="s">
        <v>4911</v>
      </c>
      <c r="B684" t="s">
        <v>4912</v>
      </c>
      <c r="C684">
        <v>1.0275000000000001</v>
      </c>
      <c r="D684" s="1">
        <v>42186</v>
      </c>
      <c r="E684" s="9">
        <f t="shared" si="22"/>
        <v>2016</v>
      </c>
      <c r="F684" t="str">
        <f t="shared" si="21"/>
        <v>WWLN</v>
      </c>
    </row>
    <row r="685" spans="1:6">
      <c r="A685" t="s">
        <v>4913</v>
      </c>
      <c r="B685" t="s">
        <v>4914</v>
      </c>
      <c r="C685">
        <v>1.0207999999999999</v>
      </c>
      <c r="D685" s="1">
        <v>42186</v>
      </c>
      <c r="E685" s="9">
        <f t="shared" si="22"/>
        <v>2016</v>
      </c>
      <c r="F685" t="str">
        <f t="shared" si="21"/>
        <v>WWMG</v>
      </c>
    </row>
    <row r="686" spans="1:6">
      <c r="A686" t="s">
        <v>4915</v>
      </c>
      <c r="B686" t="s">
        <v>4916</v>
      </c>
      <c r="C686">
        <v>1.0359</v>
      </c>
      <c r="D686" s="1">
        <v>42186</v>
      </c>
      <c r="E686" s="9">
        <f t="shared" si="22"/>
        <v>2016</v>
      </c>
      <c r="F686" t="str">
        <f t="shared" si="21"/>
        <v>WWNO</v>
      </c>
    </row>
    <row r="687" spans="1:6">
      <c r="A687" t="s">
        <v>4917</v>
      </c>
      <c r="B687" t="s">
        <v>4918</v>
      </c>
      <c r="C687">
        <v>1.0421</v>
      </c>
      <c r="D687" s="1">
        <v>42186</v>
      </c>
      <c r="E687" s="9">
        <f t="shared" si="22"/>
        <v>2016</v>
      </c>
      <c r="F687" t="str">
        <f t="shared" si="21"/>
        <v>WWNT</v>
      </c>
    </row>
    <row r="688" spans="1:6">
      <c r="A688" t="s">
        <v>4919</v>
      </c>
      <c r="B688" t="s">
        <v>4920</v>
      </c>
      <c r="C688">
        <v>1.0283</v>
      </c>
      <c r="D688" s="1">
        <v>42186</v>
      </c>
      <c r="E688" s="9">
        <f t="shared" si="22"/>
        <v>2016</v>
      </c>
      <c r="F688" t="str">
        <f t="shared" ref="F688:F751" si="23">A688</f>
        <v>WWSD</v>
      </c>
    </row>
    <row r="689" spans="1:6">
      <c r="A689" t="s">
        <v>4921</v>
      </c>
      <c r="B689" t="s">
        <v>4922</v>
      </c>
      <c r="C689">
        <v>1.0543</v>
      </c>
      <c r="D689" s="1">
        <v>42186</v>
      </c>
      <c r="E689" s="9">
        <f t="shared" si="22"/>
        <v>2016</v>
      </c>
      <c r="F689" t="str">
        <f t="shared" si="23"/>
        <v>WWUN</v>
      </c>
    </row>
    <row r="690" spans="1:6">
      <c r="A690" t="s">
        <v>4923</v>
      </c>
      <c r="B690" t="s">
        <v>4924</v>
      </c>
      <c r="C690">
        <v>0.93840000000000001</v>
      </c>
      <c r="D690" s="1">
        <v>42186</v>
      </c>
      <c r="E690" s="9">
        <f t="shared" si="22"/>
        <v>2016</v>
      </c>
      <c r="F690" t="str">
        <f t="shared" si="23"/>
        <v>WWWF</v>
      </c>
    </row>
    <row r="691" spans="1:6">
      <c r="A691" t="s">
        <v>4925</v>
      </c>
      <c r="B691" t="s">
        <v>4926</v>
      </c>
      <c r="C691">
        <v>1.0358000000000001</v>
      </c>
      <c r="D691" s="1">
        <v>42186</v>
      </c>
      <c r="E691" s="9">
        <f t="shared" si="22"/>
        <v>2016</v>
      </c>
      <c r="F691" t="str">
        <f t="shared" si="23"/>
        <v>WYCP</v>
      </c>
    </row>
    <row r="692" spans="1:6">
      <c r="A692" t="s">
        <v>4927</v>
      </c>
      <c r="B692" t="s">
        <v>4928</v>
      </c>
      <c r="C692">
        <v>1.1919999999999999</v>
      </c>
      <c r="D692" s="1">
        <v>42186</v>
      </c>
      <c r="E692" s="9">
        <f t="shared" si="22"/>
        <v>2016</v>
      </c>
      <c r="F692" t="str">
        <f t="shared" si="23"/>
        <v>WYER</v>
      </c>
    </row>
    <row r="693" spans="1:6">
      <c r="A693" t="s">
        <v>4929</v>
      </c>
      <c r="B693" t="s">
        <v>4930</v>
      </c>
      <c r="C693">
        <v>1.0398000000000001</v>
      </c>
      <c r="D693" s="1">
        <v>42186</v>
      </c>
      <c r="E693" s="9">
        <f t="shared" si="22"/>
        <v>2016</v>
      </c>
      <c r="F693" t="str">
        <f t="shared" si="23"/>
        <v>WYKE</v>
      </c>
    </row>
    <row r="694" spans="1:6">
      <c r="A694" t="s">
        <v>4931</v>
      </c>
      <c r="B694" t="s">
        <v>4932</v>
      </c>
      <c r="C694">
        <v>1.095</v>
      </c>
      <c r="D694" s="1">
        <v>42186</v>
      </c>
      <c r="E694" s="9">
        <f t="shared" si="22"/>
        <v>2016</v>
      </c>
      <c r="F694" t="str">
        <f t="shared" si="23"/>
        <v>WYLN</v>
      </c>
    </row>
    <row r="695" spans="1:6">
      <c r="A695" t="s">
        <v>4593</v>
      </c>
      <c r="B695" t="s">
        <v>4594</v>
      </c>
      <c r="C695">
        <v>1.0044999999999999</v>
      </c>
      <c r="D695" s="1">
        <v>41821</v>
      </c>
      <c r="E695" s="9">
        <f t="shared" si="22"/>
        <v>2015</v>
      </c>
      <c r="F695" t="str">
        <f t="shared" si="23"/>
        <v>TAPA</v>
      </c>
    </row>
    <row r="696" spans="1:6">
      <c r="A696" t="s">
        <v>4595</v>
      </c>
      <c r="B696" t="s">
        <v>4596</v>
      </c>
      <c r="C696">
        <v>0.99950000000000006</v>
      </c>
      <c r="D696" s="1">
        <v>41821</v>
      </c>
      <c r="E696" s="9">
        <f t="shared" si="22"/>
        <v>2015</v>
      </c>
      <c r="F696" t="str">
        <f t="shared" si="23"/>
        <v>TAPL</v>
      </c>
    </row>
    <row r="697" spans="1:6">
      <c r="A697" t="s">
        <v>4597</v>
      </c>
      <c r="B697" t="s">
        <v>4936</v>
      </c>
      <c r="C697">
        <v>1.0004</v>
      </c>
      <c r="D697" s="1">
        <v>41821</v>
      </c>
      <c r="E697" s="9">
        <f t="shared" si="22"/>
        <v>2015</v>
      </c>
      <c r="F697" t="str">
        <f t="shared" si="23"/>
        <v>TBLB</v>
      </c>
    </row>
    <row r="698" spans="1:6">
      <c r="A698" t="s">
        <v>4602</v>
      </c>
      <c r="B698" t="s">
        <v>4937</v>
      </c>
      <c r="C698">
        <v>1.0132000000000001</v>
      </c>
      <c r="D698" s="1">
        <v>41821</v>
      </c>
      <c r="E698" s="9">
        <f t="shared" si="22"/>
        <v>2015</v>
      </c>
      <c r="F698" t="str">
        <f t="shared" si="23"/>
        <v>TLWA</v>
      </c>
    </row>
    <row r="699" spans="1:6">
      <c r="A699" t="s">
        <v>4609</v>
      </c>
      <c r="B699" t="s">
        <v>4610</v>
      </c>
      <c r="C699">
        <v>1.0222</v>
      </c>
      <c r="D699" s="1">
        <v>41821</v>
      </c>
      <c r="E699" s="9">
        <f t="shared" si="22"/>
        <v>2015</v>
      </c>
      <c r="F699" t="str">
        <f t="shared" si="23"/>
        <v>TMSK</v>
      </c>
    </row>
    <row r="700" spans="1:6">
      <c r="A700" t="s">
        <v>4611</v>
      </c>
      <c r="B700" t="s">
        <v>4612</v>
      </c>
      <c r="C700">
        <v>1.0161</v>
      </c>
      <c r="D700" s="1">
        <v>41821</v>
      </c>
      <c r="E700" s="9">
        <f t="shared" si="22"/>
        <v>2015</v>
      </c>
      <c r="F700" t="str">
        <f t="shared" si="23"/>
        <v>TOLA</v>
      </c>
    </row>
    <row r="701" spans="1:6">
      <c r="A701" t="s">
        <v>4613</v>
      </c>
      <c r="B701" t="s">
        <v>4614</v>
      </c>
      <c r="C701">
        <v>1.0431999999999999</v>
      </c>
      <c r="D701" s="1">
        <v>41821</v>
      </c>
      <c r="E701" s="9">
        <f t="shared" si="22"/>
        <v>2015</v>
      </c>
      <c r="F701" t="str">
        <f t="shared" si="23"/>
        <v>TSAV</v>
      </c>
    </row>
    <row r="702" spans="1:6">
      <c r="A702" t="s">
        <v>4615</v>
      </c>
      <c r="B702" t="s">
        <v>4616</v>
      </c>
      <c r="C702">
        <v>1.0430999999999999</v>
      </c>
      <c r="D702" s="1">
        <v>41821</v>
      </c>
      <c r="E702" s="9">
        <f t="shared" si="22"/>
        <v>2015</v>
      </c>
      <c r="F702" t="str">
        <f t="shared" si="23"/>
        <v>TUAV</v>
      </c>
    </row>
    <row r="703" spans="1:6">
      <c r="A703" t="s">
        <v>4619</v>
      </c>
      <c r="B703" t="s">
        <v>4620</v>
      </c>
      <c r="C703">
        <v>0.98660000000000003</v>
      </c>
      <c r="D703" s="1">
        <v>41821</v>
      </c>
      <c r="E703" s="9">
        <f t="shared" si="22"/>
        <v>2015</v>
      </c>
      <c r="F703" t="str">
        <f t="shared" si="23"/>
        <v>TWOJ</v>
      </c>
    </row>
    <row r="704" spans="1:6">
      <c r="A704" t="s">
        <v>4621</v>
      </c>
      <c r="B704" t="s">
        <v>4622</v>
      </c>
      <c r="C704">
        <v>0.98980000000000001</v>
      </c>
      <c r="D704" s="1">
        <v>41821</v>
      </c>
      <c r="E704" s="9">
        <f t="shared" si="22"/>
        <v>2015</v>
      </c>
      <c r="F704" t="str">
        <f t="shared" si="23"/>
        <v>TWOW</v>
      </c>
    </row>
    <row r="705" spans="1:6">
      <c r="A705" t="s">
        <v>4623</v>
      </c>
      <c r="B705" t="s">
        <v>4624</v>
      </c>
      <c r="C705">
        <v>1.0246999999999999</v>
      </c>
      <c r="D705" s="1">
        <v>41821</v>
      </c>
      <c r="E705" s="9">
        <f t="shared" si="22"/>
        <v>2015</v>
      </c>
      <c r="F705" t="str">
        <f t="shared" si="23"/>
        <v>WAFM</v>
      </c>
    </row>
    <row r="706" spans="1:6">
      <c r="A706" t="s">
        <v>4625</v>
      </c>
      <c r="B706" t="s">
        <v>4626</v>
      </c>
      <c r="C706">
        <v>1.0230999999999999</v>
      </c>
      <c r="D706" s="1">
        <v>41821</v>
      </c>
      <c r="E706" s="9">
        <f t="shared" si="22"/>
        <v>2015</v>
      </c>
      <c r="F706" t="str">
        <f t="shared" si="23"/>
        <v>WAKW</v>
      </c>
    </row>
    <row r="707" spans="1:6">
      <c r="A707" t="s">
        <v>4627</v>
      </c>
      <c r="B707" t="s">
        <v>4628</v>
      </c>
      <c r="C707">
        <v>1.0926</v>
      </c>
      <c r="D707" s="1">
        <v>41821</v>
      </c>
      <c r="E707" s="9">
        <f t="shared" ref="E707:E770" si="24">YEAR(D707)+1</f>
        <v>2015</v>
      </c>
      <c r="F707" t="str">
        <f t="shared" si="23"/>
        <v>WALB</v>
      </c>
    </row>
    <row r="708" spans="1:6">
      <c r="A708" t="s">
        <v>4629</v>
      </c>
      <c r="B708" t="s">
        <v>4630</v>
      </c>
      <c r="C708">
        <v>1.0398000000000001</v>
      </c>
      <c r="D708" s="1">
        <v>41821</v>
      </c>
      <c r="E708" s="9">
        <f t="shared" si="24"/>
        <v>2015</v>
      </c>
      <c r="F708" t="str">
        <f t="shared" si="23"/>
        <v>WAMT</v>
      </c>
    </row>
    <row r="709" spans="1:6">
      <c r="A709" t="s">
        <v>4631</v>
      </c>
      <c r="B709" t="s">
        <v>4632</v>
      </c>
      <c r="C709">
        <v>1.0427</v>
      </c>
      <c r="D709" s="1">
        <v>41821</v>
      </c>
      <c r="E709" s="9">
        <f t="shared" si="24"/>
        <v>2015</v>
      </c>
      <c r="F709" t="str">
        <f t="shared" si="23"/>
        <v>WAPM</v>
      </c>
    </row>
    <row r="710" spans="1:6">
      <c r="A710" t="s">
        <v>4633</v>
      </c>
      <c r="B710" t="s">
        <v>4634</v>
      </c>
      <c r="C710">
        <v>1.0454000000000001</v>
      </c>
      <c r="D710" s="1">
        <v>41821</v>
      </c>
      <c r="E710" s="9">
        <f t="shared" si="24"/>
        <v>2015</v>
      </c>
      <c r="F710" t="str">
        <f t="shared" si="23"/>
        <v>WARK</v>
      </c>
    </row>
    <row r="711" spans="1:6">
      <c r="A711" t="s">
        <v>4635</v>
      </c>
      <c r="B711" t="s">
        <v>4636</v>
      </c>
      <c r="C711">
        <v>1.0457000000000001</v>
      </c>
      <c r="D711" s="1">
        <v>41821</v>
      </c>
      <c r="E711" s="9">
        <f t="shared" si="24"/>
        <v>2015</v>
      </c>
      <c r="F711" t="str">
        <f t="shared" si="23"/>
        <v>WBCH</v>
      </c>
    </row>
    <row r="712" spans="1:6">
      <c r="A712" t="s">
        <v>4639</v>
      </c>
      <c r="B712" t="s">
        <v>4640</v>
      </c>
      <c r="C712">
        <v>1.0857000000000001</v>
      </c>
      <c r="D712" s="1">
        <v>41821</v>
      </c>
      <c r="E712" s="9">
        <f t="shared" si="24"/>
        <v>2015</v>
      </c>
      <c r="F712" t="str">
        <f t="shared" si="23"/>
        <v>WBDE</v>
      </c>
    </row>
    <row r="713" spans="1:6">
      <c r="A713" t="s">
        <v>4641</v>
      </c>
      <c r="B713" t="s">
        <v>4642</v>
      </c>
      <c r="C713">
        <v>1.014</v>
      </c>
      <c r="D713" s="1">
        <v>41821</v>
      </c>
      <c r="E713" s="9">
        <f t="shared" si="24"/>
        <v>2015</v>
      </c>
      <c r="F713" t="str">
        <f t="shared" si="23"/>
        <v>WBDP</v>
      </c>
    </row>
    <row r="714" spans="1:6">
      <c r="A714" t="s">
        <v>4643</v>
      </c>
      <c r="B714" t="s">
        <v>4644</v>
      </c>
      <c r="C714">
        <v>1.0327</v>
      </c>
      <c r="D714" s="1">
        <v>41821</v>
      </c>
      <c r="E714" s="9">
        <f t="shared" si="24"/>
        <v>2015</v>
      </c>
      <c r="F714" t="str">
        <f t="shared" si="23"/>
        <v>WBEC</v>
      </c>
    </row>
    <row r="715" spans="1:6">
      <c r="A715" t="s">
        <v>4645</v>
      </c>
      <c r="B715" t="s">
        <v>4646</v>
      </c>
      <c r="C715">
        <v>1.0348999999999999</v>
      </c>
      <c r="D715" s="1">
        <v>41821</v>
      </c>
      <c r="E715" s="9">
        <f t="shared" si="24"/>
        <v>2015</v>
      </c>
      <c r="F715" t="str">
        <f t="shared" si="23"/>
        <v>WBEL</v>
      </c>
    </row>
    <row r="716" spans="1:6">
      <c r="A716" t="s">
        <v>4647</v>
      </c>
      <c r="B716" t="s">
        <v>4939</v>
      </c>
      <c r="C716">
        <v>1.0098</v>
      </c>
      <c r="D716" s="1">
        <v>41821</v>
      </c>
      <c r="E716" s="9">
        <f t="shared" si="24"/>
        <v>2015</v>
      </c>
      <c r="F716" t="str">
        <f t="shared" si="23"/>
        <v>WBGM</v>
      </c>
    </row>
    <row r="717" spans="1:6">
      <c r="A717" t="s">
        <v>4649</v>
      </c>
      <c r="B717" t="s">
        <v>4650</v>
      </c>
      <c r="C717">
        <v>1.0261</v>
      </c>
      <c r="D717" s="1">
        <v>41821</v>
      </c>
      <c r="E717" s="9">
        <f t="shared" si="24"/>
        <v>2015</v>
      </c>
      <c r="F717" t="str">
        <f t="shared" si="23"/>
        <v>WBHK</v>
      </c>
    </row>
    <row r="718" spans="1:6">
      <c r="A718" t="s">
        <v>4651</v>
      </c>
      <c r="B718" t="s">
        <v>4652</v>
      </c>
      <c r="C718">
        <v>1.0331999999999999</v>
      </c>
      <c r="D718" s="1">
        <v>41821</v>
      </c>
      <c r="E718" s="9">
        <f t="shared" si="24"/>
        <v>2015</v>
      </c>
      <c r="F718" t="str">
        <f t="shared" si="23"/>
        <v>WBIB</v>
      </c>
    </row>
    <row r="719" spans="1:6">
      <c r="A719" t="s">
        <v>4657</v>
      </c>
      <c r="B719" t="s">
        <v>4658</v>
      </c>
      <c r="C719">
        <v>1.0251999999999999</v>
      </c>
      <c r="D719" s="1">
        <v>41821</v>
      </c>
      <c r="E719" s="9">
        <f t="shared" si="24"/>
        <v>2015</v>
      </c>
      <c r="F719" t="str">
        <f t="shared" si="23"/>
        <v>WBNP</v>
      </c>
    </row>
    <row r="720" spans="1:6">
      <c r="A720" t="s">
        <v>4659</v>
      </c>
      <c r="B720" t="s">
        <v>4660</v>
      </c>
      <c r="C720">
        <v>1.0847</v>
      </c>
      <c r="D720" s="1">
        <v>41821</v>
      </c>
      <c r="E720" s="9">
        <f t="shared" si="24"/>
        <v>2015</v>
      </c>
      <c r="F720" t="str">
        <f t="shared" si="23"/>
        <v>WBNY</v>
      </c>
    </row>
    <row r="721" spans="1:6">
      <c r="A721" t="s">
        <v>4661</v>
      </c>
      <c r="B721" t="s">
        <v>4662</v>
      </c>
      <c r="C721">
        <v>1.0087999999999999</v>
      </c>
      <c r="D721" s="1">
        <v>41821</v>
      </c>
      <c r="E721" s="9">
        <f t="shared" si="24"/>
        <v>2015</v>
      </c>
      <c r="F721" t="str">
        <f t="shared" si="23"/>
        <v>WBOD</v>
      </c>
    </row>
    <row r="722" spans="1:6">
      <c r="A722" t="s">
        <v>4663</v>
      </c>
      <c r="B722" t="s">
        <v>4664</v>
      </c>
      <c r="C722">
        <v>1.0263</v>
      </c>
      <c r="D722" s="1">
        <v>41821</v>
      </c>
      <c r="E722" s="9">
        <f t="shared" si="24"/>
        <v>2015</v>
      </c>
      <c r="F722" t="str">
        <f t="shared" si="23"/>
        <v>WBPM</v>
      </c>
    </row>
    <row r="723" spans="1:6">
      <c r="A723" t="s">
        <v>4665</v>
      </c>
      <c r="B723" t="s">
        <v>4666</v>
      </c>
      <c r="C723">
        <v>1.0145</v>
      </c>
      <c r="D723" s="1">
        <v>41821</v>
      </c>
      <c r="E723" s="9">
        <f t="shared" si="24"/>
        <v>2015</v>
      </c>
      <c r="F723" t="str">
        <f t="shared" si="23"/>
        <v>WBSI</v>
      </c>
    </row>
    <row r="724" spans="1:6">
      <c r="A724" t="s">
        <v>4667</v>
      </c>
      <c r="B724" t="s">
        <v>4668</v>
      </c>
      <c r="C724">
        <v>1.0535000000000001</v>
      </c>
      <c r="D724" s="1">
        <v>41821</v>
      </c>
      <c r="E724" s="9">
        <f t="shared" si="24"/>
        <v>2015</v>
      </c>
      <c r="F724" t="str">
        <f t="shared" si="23"/>
        <v>WBSN</v>
      </c>
    </row>
    <row r="725" spans="1:6">
      <c r="A725" t="s">
        <v>4669</v>
      </c>
      <c r="B725" t="s">
        <v>4670</v>
      </c>
      <c r="C725">
        <v>1.0117</v>
      </c>
      <c r="D725" s="1">
        <v>41821</v>
      </c>
      <c r="E725" s="9">
        <f t="shared" si="24"/>
        <v>2015</v>
      </c>
      <c r="F725" t="str">
        <f t="shared" si="23"/>
        <v>WBTN</v>
      </c>
    </row>
    <row r="726" spans="1:6">
      <c r="A726" t="s">
        <v>4671</v>
      </c>
      <c r="B726" t="s">
        <v>4672</v>
      </c>
      <c r="C726">
        <v>1.0375000000000001</v>
      </c>
      <c r="D726" s="1">
        <v>41821</v>
      </c>
      <c r="E726" s="9">
        <f t="shared" si="24"/>
        <v>2015</v>
      </c>
      <c r="F726" t="str">
        <f t="shared" si="23"/>
        <v>WBTY</v>
      </c>
    </row>
    <row r="727" spans="1:6">
      <c r="A727" t="s">
        <v>4673</v>
      </c>
      <c r="B727" t="s">
        <v>4674</v>
      </c>
      <c r="C727">
        <v>1.0169999999999999</v>
      </c>
      <c r="D727" s="1">
        <v>41821</v>
      </c>
      <c r="E727" s="9">
        <f t="shared" si="24"/>
        <v>2015</v>
      </c>
      <c r="F727" t="str">
        <f t="shared" si="23"/>
        <v>WBUH</v>
      </c>
    </row>
    <row r="728" spans="1:6">
      <c r="A728" t="s">
        <v>4675</v>
      </c>
      <c r="B728" t="s">
        <v>4676</v>
      </c>
      <c r="C728">
        <v>1.0347</v>
      </c>
      <c r="D728" s="1">
        <v>41821</v>
      </c>
      <c r="E728" s="9">
        <f t="shared" si="24"/>
        <v>2015</v>
      </c>
      <c r="F728" t="str">
        <f t="shared" si="23"/>
        <v>WBYF</v>
      </c>
    </row>
    <row r="729" spans="1:6">
      <c r="A729" t="s">
        <v>4677</v>
      </c>
      <c r="B729" t="s">
        <v>4678</v>
      </c>
      <c r="C729">
        <v>1.0368999999999999</v>
      </c>
      <c r="D729" s="1">
        <v>41821</v>
      </c>
      <c r="E729" s="9">
        <f t="shared" si="24"/>
        <v>2015</v>
      </c>
      <c r="F729" t="str">
        <f t="shared" si="23"/>
        <v>WCAP</v>
      </c>
    </row>
    <row r="730" spans="1:6">
      <c r="A730" t="s">
        <v>4681</v>
      </c>
      <c r="B730" t="s">
        <v>4682</v>
      </c>
      <c r="C730">
        <v>1.0235000000000001</v>
      </c>
      <c r="D730" s="1">
        <v>41821</v>
      </c>
      <c r="E730" s="9">
        <f t="shared" si="24"/>
        <v>2015</v>
      </c>
      <c r="F730" t="str">
        <f t="shared" si="23"/>
        <v>WCBP</v>
      </c>
    </row>
    <row r="731" spans="1:6">
      <c r="A731" t="s">
        <v>4683</v>
      </c>
      <c r="B731" t="s">
        <v>4684</v>
      </c>
      <c r="C731">
        <v>1.028</v>
      </c>
      <c r="D731" s="1">
        <v>41821</v>
      </c>
      <c r="E731" s="9">
        <f t="shared" si="24"/>
        <v>2015</v>
      </c>
      <c r="F731" t="str">
        <f t="shared" si="23"/>
        <v>WCCL</v>
      </c>
    </row>
    <row r="732" spans="1:6">
      <c r="A732" t="s">
        <v>4685</v>
      </c>
      <c r="B732" t="s">
        <v>4574</v>
      </c>
      <c r="C732">
        <v>1.0299</v>
      </c>
      <c r="D732" s="1">
        <v>41821</v>
      </c>
      <c r="E732" s="9">
        <f t="shared" si="24"/>
        <v>2015</v>
      </c>
      <c r="F732" t="str">
        <f t="shared" si="23"/>
        <v>WCCT</v>
      </c>
    </row>
    <row r="733" spans="1:6">
      <c r="A733" t="s">
        <v>4686</v>
      </c>
      <c r="B733" t="s">
        <v>4687</v>
      </c>
      <c r="C733">
        <v>0.99839999999999995</v>
      </c>
      <c r="D733" s="1">
        <v>41821</v>
      </c>
      <c r="E733" s="9">
        <f t="shared" si="24"/>
        <v>2015</v>
      </c>
      <c r="F733" t="str">
        <f t="shared" si="23"/>
        <v>WCGW</v>
      </c>
    </row>
    <row r="734" spans="1:6">
      <c r="A734" t="s">
        <v>4688</v>
      </c>
      <c r="B734" t="s">
        <v>4689</v>
      </c>
      <c r="C734">
        <v>1.0474000000000001</v>
      </c>
      <c r="D734" s="1">
        <v>41821</v>
      </c>
      <c r="E734" s="9">
        <f t="shared" si="24"/>
        <v>2015</v>
      </c>
      <c r="F734" t="str">
        <f t="shared" si="23"/>
        <v>WCKN</v>
      </c>
    </row>
    <row r="735" spans="1:6">
      <c r="A735" t="s">
        <v>4690</v>
      </c>
      <c r="B735" t="s">
        <v>4691</v>
      </c>
      <c r="C735">
        <v>1.0488</v>
      </c>
      <c r="D735" s="1">
        <v>41821</v>
      </c>
      <c r="E735" s="9">
        <f t="shared" si="24"/>
        <v>2015</v>
      </c>
      <c r="F735" t="str">
        <f t="shared" si="23"/>
        <v>WCKT</v>
      </c>
    </row>
    <row r="736" spans="1:6">
      <c r="A736" t="s">
        <v>4692</v>
      </c>
      <c r="B736" t="s">
        <v>4693</v>
      </c>
      <c r="C736">
        <v>1.0436000000000001</v>
      </c>
      <c r="D736" s="1">
        <v>41821</v>
      </c>
      <c r="E736" s="9">
        <f t="shared" si="24"/>
        <v>2015</v>
      </c>
      <c r="F736" t="str">
        <f t="shared" si="23"/>
        <v>WCLN</v>
      </c>
    </row>
    <row r="737" spans="1:6">
      <c r="A737" t="s">
        <v>4694</v>
      </c>
      <c r="B737" t="s">
        <v>4695</v>
      </c>
      <c r="C737">
        <v>1.0474000000000001</v>
      </c>
      <c r="D737" s="1">
        <v>41821</v>
      </c>
      <c r="E737" s="9">
        <f t="shared" si="24"/>
        <v>2015</v>
      </c>
      <c r="F737" t="str">
        <f t="shared" si="23"/>
        <v>WCLP</v>
      </c>
    </row>
    <row r="738" spans="1:6">
      <c r="A738" t="s">
        <v>4696</v>
      </c>
      <c r="B738" t="s">
        <v>4697</v>
      </c>
      <c r="C738">
        <v>1.0187999999999999</v>
      </c>
      <c r="D738" s="1">
        <v>41821</v>
      </c>
      <c r="E738" s="9">
        <f t="shared" si="24"/>
        <v>2015</v>
      </c>
      <c r="F738" t="str">
        <f t="shared" si="23"/>
        <v>WCOE</v>
      </c>
    </row>
    <row r="739" spans="1:6">
      <c r="A739" t="s">
        <v>4698</v>
      </c>
      <c r="B739" t="s">
        <v>4699</v>
      </c>
      <c r="C739">
        <v>1.0432999999999999</v>
      </c>
      <c r="D739" s="1">
        <v>41821</v>
      </c>
      <c r="E739" s="9">
        <f t="shared" si="24"/>
        <v>2015</v>
      </c>
      <c r="F739" t="str">
        <f t="shared" si="23"/>
        <v>WCOL</v>
      </c>
    </row>
    <row r="740" spans="1:6">
      <c r="A740" t="s">
        <v>4700</v>
      </c>
      <c r="B740" t="s">
        <v>4701</v>
      </c>
      <c r="C740">
        <v>1.0354000000000001</v>
      </c>
      <c r="D740" s="1">
        <v>41821</v>
      </c>
      <c r="E740" s="9">
        <f t="shared" si="24"/>
        <v>2015</v>
      </c>
      <c r="F740" t="str">
        <f t="shared" si="23"/>
        <v>WCPN</v>
      </c>
    </row>
    <row r="741" spans="1:6">
      <c r="A741" t="s">
        <v>4702</v>
      </c>
      <c r="B741" t="s">
        <v>4703</v>
      </c>
      <c r="C741">
        <v>0.99690000000000001</v>
      </c>
      <c r="D741" s="1">
        <v>41821</v>
      </c>
      <c r="E741" s="9">
        <f t="shared" si="24"/>
        <v>2015</v>
      </c>
      <c r="F741" t="str">
        <f t="shared" si="23"/>
        <v>WCPS</v>
      </c>
    </row>
    <row r="742" spans="1:6">
      <c r="A742" t="s">
        <v>4704</v>
      </c>
      <c r="B742" t="s">
        <v>4705</v>
      </c>
      <c r="C742">
        <v>1.0444</v>
      </c>
      <c r="D742" s="1">
        <v>41821</v>
      </c>
      <c r="E742" s="9">
        <f t="shared" si="24"/>
        <v>2015</v>
      </c>
      <c r="F742" t="str">
        <f t="shared" si="23"/>
        <v>WCTE</v>
      </c>
    </row>
    <row r="743" spans="1:6">
      <c r="A743" t="s">
        <v>4706</v>
      </c>
      <c r="B743" t="s">
        <v>4707</v>
      </c>
      <c r="C743">
        <v>1.0932999999999999</v>
      </c>
      <c r="D743" s="1">
        <v>41821</v>
      </c>
      <c r="E743" s="9">
        <f t="shared" si="24"/>
        <v>2015</v>
      </c>
      <c r="F743" t="str">
        <f t="shared" si="23"/>
        <v>WCUN</v>
      </c>
    </row>
    <row r="744" spans="1:6">
      <c r="A744" t="s">
        <v>4708</v>
      </c>
      <c r="B744" t="s">
        <v>4709</v>
      </c>
      <c r="C744">
        <v>1.0323</v>
      </c>
      <c r="D744" s="1">
        <v>41821</v>
      </c>
      <c r="E744" s="9">
        <f t="shared" si="24"/>
        <v>2015</v>
      </c>
      <c r="F744" t="str">
        <f t="shared" si="23"/>
        <v>WCVE</v>
      </c>
    </row>
    <row r="745" spans="1:6">
      <c r="A745" t="s">
        <v>4710</v>
      </c>
      <c r="B745" t="s">
        <v>4711</v>
      </c>
      <c r="C745">
        <v>1.0442</v>
      </c>
      <c r="D745" s="1">
        <v>41821</v>
      </c>
      <c r="E745" s="9">
        <f t="shared" si="24"/>
        <v>2015</v>
      </c>
      <c r="F745" t="str">
        <f t="shared" si="23"/>
        <v>WDTN</v>
      </c>
    </row>
    <row r="746" spans="1:6">
      <c r="A746" t="s">
        <v>4714</v>
      </c>
      <c r="B746" t="s">
        <v>4715</v>
      </c>
      <c r="C746">
        <v>1.0418000000000001</v>
      </c>
      <c r="D746" s="1">
        <v>41821</v>
      </c>
      <c r="E746" s="9">
        <f t="shared" si="24"/>
        <v>2015</v>
      </c>
      <c r="F746" t="str">
        <f t="shared" si="23"/>
        <v>WEDD</v>
      </c>
    </row>
    <row r="747" spans="1:6">
      <c r="A747" t="s">
        <v>4716</v>
      </c>
      <c r="B747" t="s">
        <v>4717</v>
      </c>
      <c r="C747">
        <v>1.0507</v>
      </c>
      <c r="D747" s="1">
        <v>41821</v>
      </c>
      <c r="E747" s="9">
        <f t="shared" si="24"/>
        <v>2015</v>
      </c>
      <c r="F747" t="str">
        <f t="shared" si="23"/>
        <v>WEDG</v>
      </c>
    </row>
    <row r="748" spans="1:6">
      <c r="A748" t="s">
        <v>4718</v>
      </c>
      <c r="B748" t="s">
        <v>4940</v>
      </c>
      <c r="C748">
        <v>1.0021</v>
      </c>
      <c r="D748" s="1">
        <v>41821</v>
      </c>
      <c r="E748" s="9">
        <f t="shared" si="24"/>
        <v>2015</v>
      </c>
      <c r="F748" t="str">
        <f t="shared" si="23"/>
        <v>WEMD</v>
      </c>
    </row>
    <row r="749" spans="1:6">
      <c r="A749" t="s">
        <v>4720</v>
      </c>
      <c r="B749" t="s">
        <v>4721</v>
      </c>
      <c r="C749">
        <v>1.0596000000000001</v>
      </c>
      <c r="D749" s="1">
        <v>41821</v>
      </c>
      <c r="E749" s="9">
        <f t="shared" si="24"/>
        <v>2015</v>
      </c>
      <c r="F749" t="str">
        <f t="shared" si="23"/>
        <v>WENB</v>
      </c>
    </row>
    <row r="750" spans="1:6">
      <c r="A750" t="s">
        <v>4712</v>
      </c>
      <c r="B750" t="s">
        <v>4713</v>
      </c>
      <c r="C750">
        <v>1.0336000000000001</v>
      </c>
      <c r="D750" s="1">
        <v>41821</v>
      </c>
      <c r="E750" s="9">
        <f t="shared" si="24"/>
        <v>2015</v>
      </c>
      <c r="F750" t="str">
        <f t="shared" si="23"/>
        <v>WDUR</v>
      </c>
    </row>
    <row r="751" spans="1:6">
      <c r="A751" t="s">
        <v>4722</v>
      </c>
      <c r="B751" t="s">
        <v>4723</v>
      </c>
      <c r="C751">
        <v>1.0430999999999999</v>
      </c>
      <c r="D751" s="1">
        <v>41821</v>
      </c>
      <c r="E751" s="9">
        <f t="shared" si="24"/>
        <v>2015</v>
      </c>
      <c r="F751" t="str">
        <f t="shared" si="23"/>
        <v>WFFD</v>
      </c>
    </row>
    <row r="752" spans="1:6">
      <c r="A752" t="s">
        <v>4724</v>
      </c>
      <c r="B752" t="s">
        <v>4725</v>
      </c>
      <c r="C752">
        <v>1.0506</v>
      </c>
      <c r="D752" s="1">
        <v>41821</v>
      </c>
      <c r="E752" s="9">
        <f t="shared" si="24"/>
        <v>2015</v>
      </c>
      <c r="F752" t="str">
        <f t="shared" ref="F752:F815" si="25">A752</f>
        <v>WFRT</v>
      </c>
    </row>
    <row r="753" spans="1:6">
      <c r="A753" t="s">
        <v>4726</v>
      </c>
      <c r="B753" t="s">
        <v>4727</v>
      </c>
      <c r="C753">
        <v>1.0724</v>
      </c>
      <c r="D753" s="1">
        <v>41821</v>
      </c>
      <c r="E753" s="9">
        <f t="shared" si="24"/>
        <v>2015</v>
      </c>
      <c r="F753" t="str">
        <f t="shared" si="25"/>
        <v>WGGV</v>
      </c>
    </row>
    <row r="754" spans="1:6">
      <c r="A754" t="s">
        <v>4728</v>
      </c>
      <c r="B754" t="s">
        <v>4729</v>
      </c>
      <c r="C754">
        <v>1.0287999999999999</v>
      </c>
      <c r="D754" s="1">
        <v>41821</v>
      </c>
      <c r="E754" s="9">
        <f t="shared" si="24"/>
        <v>2015</v>
      </c>
      <c r="F754" t="str">
        <f t="shared" si="25"/>
        <v>WGNI</v>
      </c>
    </row>
    <row r="755" spans="1:6">
      <c r="A755" t="s">
        <v>4730</v>
      </c>
      <c r="B755" t="s">
        <v>4731</v>
      </c>
      <c r="C755">
        <v>1.0336000000000001</v>
      </c>
      <c r="D755" s="1">
        <v>41821</v>
      </c>
      <c r="E755" s="9">
        <f t="shared" si="24"/>
        <v>2015</v>
      </c>
      <c r="F755" t="str">
        <f t="shared" si="25"/>
        <v>WGNL</v>
      </c>
    </row>
    <row r="756" spans="1:6">
      <c r="A756" t="s">
        <v>4732</v>
      </c>
      <c r="B756" t="s">
        <v>4733</v>
      </c>
      <c r="C756">
        <v>1.0392999999999999</v>
      </c>
      <c r="D756" s="1">
        <v>41821</v>
      </c>
      <c r="E756" s="9">
        <f t="shared" si="24"/>
        <v>2015</v>
      </c>
      <c r="F756" t="str">
        <f t="shared" si="25"/>
        <v>WGNN</v>
      </c>
    </row>
    <row r="757" spans="1:6">
      <c r="A757" t="s">
        <v>4734</v>
      </c>
      <c r="B757" t="s">
        <v>4735</v>
      </c>
      <c r="C757">
        <v>1.0336000000000001</v>
      </c>
      <c r="D757" s="1">
        <v>41821</v>
      </c>
      <c r="E757" s="9">
        <f t="shared" si="24"/>
        <v>2015</v>
      </c>
      <c r="F757" t="str">
        <f t="shared" si="25"/>
        <v>WGTN</v>
      </c>
    </row>
    <row r="758" spans="1:6">
      <c r="A758" t="s">
        <v>4736</v>
      </c>
      <c r="B758" t="s">
        <v>4737</v>
      </c>
      <c r="C758">
        <v>1.0488</v>
      </c>
      <c r="D758" s="1">
        <v>41821</v>
      </c>
      <c r="E758" s="9">
        <f t="shared" si="24"/>
        <v>2015</v>
      </c>
      <c r="F758" t="str">
        <f t="shared" si="25"/>
        <v>WHAY</v>
      </c>
    </row>
    <row r="759" spans="1:6">
      <c r="A759" t="s">
        <v>4738</v>
      </c>
      <c r="B759" t="s">
        <v>4739</v>
      </c>
      <c r="C759">
        <v>1.0451999999999999</v>
      </c>
      <c r="D759" s="1">
        <v>41821</v>
      </c>
      <c r="E759" s="9">
        <f t="shared" si="24"/>
        <v>2015</v>
      </c>
      <c r="F759" t="str">
        <f t="shared" si="25"/>
        <v>WHBK</v>
      </c>
    </row>
    <row r="760" spans="1:6">
      <c r="A760" t="s">
        <v>4740</v>
      </c>
      <c r="B760" t="s">
        <v>4741</v>
      </c>
      <c r="C760">
        <v>1.0521</v>
      </c>
      <c r="D760" s="1">
        <v>41821</v>
      </c>
      <c r="E760" s="9">
        <f t="shared" si="24"/>
        <v>2015</v>
      </c>
      <c r="F760" t="str">
        <f t="shared" si="25"/>
        <v>WHEP</v>
      </c>
    </row>
    <row r="761" spans="1:6">
      <c r="A761" t="s">
        <v>4742</v>
      </c>
      <c r="B761" t="s">
        <v>4743</v>
      </c>
      <c r="C761">
        <v>1.0472999999999999</v>
      </c>
      <c r="D761" s="1">
        <v>41821</v>
      </c>
      <c r="E761" s="9">
        <f t="shared" si="24"/>
        <v>2015</v>
      </c>
      <c r="F761" t="str">
        <f t="shared" si="25"/>
        <v>WHFS</v>
      </c>
    </row>
    <row r="762" spans="1:6">
      <c r="A762" t="s">
        <v>4744</v>
      </c>
      <c r="B762" t="s">
        <v>4941</v>
      </c>
      <c r="C762">
        <v>1.0229999999999999</v>
      </c>
      <c r="D762" s="1">
        <v>41821</v>
      </c>
      <c r="E762" s="9">
        <f t="shared" si="24"/>
        <v>2015</v>
      </c>
      <c r="F762" t="str">
        <f t="shared" si="25"/>
        <v>WHIS</v>
      </c>
    </row>
    <row r="763" spans="1:6">
      <c r="A763" t="s">
        <v>4746</v>
      </c>
      <c r="B763" t="s">
        <v>4747</v>
      </c>
      <c r="C763">
        <v>1.0394000000000001</v>
      </c>
      <c r="D763" s="1">
        <v>41821</v>
      </c>
      <c r="E763" s="9">
        <f t="shared" si="24"/>
        <v>2015</v>
      </c>
      <c r="F763" t="str">
        <f t="shared" si="25"/>
        <v>WHZM</v>
      </c>
    </row>
    <row r="764" spans="1:6">
      <c r="A764" t="s">
        <v>4748</v>
      </c>
      <c r="B764" t="s">
        <v>4749</v>
      </c>
      <c r="C764">
        <v>1.0470999999999999</v>
      </c>
      <c r="D764" s="1">
        <v>41821</v>
      </c>
      <c r="E764" s="9">
        <f t="shared" si="24"/>
        <v>2015</v>
      </c>
      <c r="F764" t="str">
        <f t="shared" si="25"/>
        <v>WJDP</v>
      </c>
    </row>
    <row r="765" spans="1:6">
      <c r="A765" t="s">
        <v>4750</v>
      </c>
      <c r="B765" t="s">
        <v>4751</v>
      </c>
      <c r="C765">
        <v>1.0486</v>
      </c>
      <c r="D765" s="1">
        <v>41821</v>
      </c>
      <c r="E765" s="9">
        <f t="shared" si="24"/>
        <v>2015</v>
      </c>
      <c r="F765" t="str">
        <f t="shared" si="25"/>
        <v>WJTE</v>
      </c>
    </row>
    <row r="766" spans="1:6">
      <c r="A766" t="s">
        <v>4752</v>
      </c>
      <c r="B766" t="s">
        <v>4753</v>
      </c>
      <c r="C766">
        <v>1.0552999999999999</v>
      </c>
      <c r="D766" s="1">
        <v>41821</v>
      </c>
      <c r="E766" s="9">
        <f t="shared" si="24"/>
        <v>2015</v>
      </c>
      <c r="F766" t="str">
        <f t="shared" si="25"/>
        <v>WKAT</v>
      </c>
    </row>
    <row r="767" spans="1:6">
      <c r="A767" t="s">
        <v>4754</v>
      </c>
      <c r="B767" t="s">
        <v>4450</v>
      </c>
      <c r="C767">
        <v>1.0449999999999999</v>
      </c>
      <c r="D767" s="1">
        <v>41821</v>
      </c>
      <c r="E767" s="9">
        <f t="shared" si="24"/>
        <v>2015</v>
      </c>
      <c r="F767" t="str">
        <f t="shared" si="25"/>
        <v>WKDA</v>
      </c>
    </row>
    <row r="768" spans="1:6">
      <c r="A768" t="s">
        <v>4755</v>
      </c>
      <c r="B768" t="s">
        <v>4756</v>
      </c>
      <c r="C768">
        <v>1.0345</v>
      </c>
      <c r="D768" s="1">
        <v>41821</v>
      </c>
      <c r="E768" s="9">
        <f t="shared" si="24"/>
        <v>2015</v>
      </c>
      <c r="F768" t="str">
        <f t="shared" si="25"/>
        <v>WKDL</v>
      </c>
    </row>
    <row r="769" spans="1:6">
      <c r="A769" t="s">
        <v>4757</v>
      </c>
      <c r="B769" t="s">
        <v>4758</v>
      </c>
      <c r="C769">
        <v>1.0478000000000001</v>
      </c>
      <c r="D769" s="1">
        <v>41821</v>
      </c>
      <c r="E769" s="9">
        <f t="shared" si="24"/>
        <v>2015</v>
      </c>
      <c r="F769" t="str">
        <f t="shared" si="25"/>
        <v>WKDN</v>
      </c>
    </row>
    <row r="770" spans="1:6">
      <c r="A770" t="s">
        <v>4759</v>
      </c>
      <c r="B770" t="s">
        <v>4760</v>
      </c>
      <c r="C770">
        <v>1.0236000000000001</v>
      </c>
      <c r="D770" s="1">
        <v>41821</v>
      </c>
      <c r="E770" s="9">
        <f t="shared" si="24"/>
        <v>2015</v>
      </c>
      <c r="F770" t="str">
        <f t="shared" si="25"/>
        <v>WKDP</v>
      </c>
    </row>
    <row r="771" spans="1:6">
      <c r="A771" t="s">
        <v>4763</v>
      </c>
      <c r="B771" t="s">
        <v>4764</v>
      </c>
      <c r="C771">
        <v>1.0105999999999999</v>
      </c>
      <c r="D771" s="1">
        <v>41821</v>
      </c>
      <c r="E771" s="9">
        <f t="shared" ref="E771:E834" si="26">YEAR(D771)+1</f>
        <v>2015</v>
      </c>
      <c r="F771" t="str">
        <f t="shared" si="25"/>
        <v>WKEM</v>
      </c>
    </row>
    <row r="772" spans="1:6">
      <c r="A772" t="s">
        <v>4765</v>
      </c>
      <c r="B772" t="s">
        <v>4766</v>
      </c>
      <c r="C772">
        <v>1.0533999999999999</v>
      </c>
      <c r="D772" s="1">
        <v>41821</v>
      </c>
      <c r="E772" s="9">
        <f t="shared" si="26"/>
        <v>2015</v>
      </c>
      <c r="F772" t="str">
        <f t="shared" si="25"/>
        <v>WKMC</v>
      </c>
    </row>
    <row r="773" spans="1:6">
      <c r="A773" t="s">
        <v>4767</v>
      </c>
      <c r="B773" t="s">
        <v>4942</v>
      </c>
      <c r="C773">
        <v>1.0209999999999999</v>
      </c>
      <c r="D773" s="1">
        <v>41821</v>
      </c>
      <c r="E773" s="9">
        <f t="shared" si="26"/>
        <v>2015</v>
      </c>
      <c r="F773" t="str">
        <f t="shared" si="25"/>
        <v>WKMK</v>
      </c>
    </row>
    <row r="774" spans="1:6">
      <c r="A774" t="s">
        <v>4769</v>
      </c>
      <c r="B774" t="s">
        <v>4770</v>
      </c>
      <c r="C774">
        <v>1.0427999999999999</v>
      </c>
      <c r="D774" s="1">
        <v>41821</v>
      </c>
      <c r="E774" s="9">
        <f t="shared" si="26"/>
        <v>2015</v>
      </c>
      <c r="F774" t="str">
        <f t="shared" si="25"/>
        <v>WKMM</v>
      </c>
    </row>
    <row r="775" spans="1:6">
      <c r="A775" t="s">
        <v>4771</v>
      </c>
      <c r="B775" t="s">
        <v>4772</v>
      </c>
      <c r="C775">
        <v>1.0286</v>
      </c>
      <c r="D775" s="1">
        <v>41821</v>
      </c>
      <c r="E775" s="9">
        <f t="shared" si="26"/>
        <v>2015</v>
      </c>
      <c r="F775" t="str">
        <f t="shared" si="25"/>
        <v>WKND</v>
      </c>
    </row>
    <row r="776" spans="1:6">
      <c r="A776" t="s">
        <v>4773</v>
      </c>
      <c r="B776" t="s">
        <v>4774</v>
      </c>
      <c r="C776">
        <v>1.0334000000000001</v>
      </c>
      <c r="D776" s="1">
        <v>41821</v>
      </c>
      <c r="E776" s="9">
        <f t="shared" si="26"/>
        <v>2015</v>
      </c>
      <c r="F776" t="str">
        <f t="shared" si="25"/>
        <v>WKOJ</v>
      </c>
    </row>
    <row r="777" spans="1:6">
      <c r="A777" t="s">
        <v>4775</v>
      </c>
      <c r="B777" t="s">
        <v>4776</v>
      </c>
      <c r="C777">
        <v>1.0212000000000001</v>
      </c>
      <c r="D777" s="1">
        <v>41821</v>
      </c>
      <c r="E777" s="9">
        <f t="shared" si="26"/>
        <v>2015</v>
      </c>
      <c r="F777" t="str">
        <f t="shared" si="25"/>
        <v>WKPS</v>
      </c>
    </row>
    <row r="778" spans="1:6">
      <c r="A778" t="s">
        <v>4777</v>
      </c>
      <c r="B778" t="s">
        <v>4778</v>
      </c>
      <c r="C778">
        <v>1.0488</v>
      </c>
      <c r="D778" s="1">
        <v>41821</v>
      </c>
      <c r="E778" s="9">
        <f t="shared" si="26"/>
        <v>2015</v>
      </c>
      <c r="F778" t="str">
        <f t="shared" si="25"/>
        <v>WLDE</v>
      </c>
    </row>
    <row r="779" spans="1:6">
      <c r="A779" t="s">
        <v>4779</v>
      </c>
      <c r="B779" t="s">
        <v>4780</v>
      </c>
      <c r="C779">
        <v>1.0490999999999999</v>
      </c>
      <c r="D779" s="1">
        <v>41821</v>
      </c>
      <c r="E779" s="9">
        <f t="shared" si="26"/>
        <v>2015</v>
      </c>
      <c r="F779" t="str">
        <f t="shared" si="25"/>
        <v>WMAG</v>
      </c>
    </row>
    <row r="780" spans="1:6">
      <c r="A780" t="s">
        <v>4781</v>
      </c>
      <c r="B780" t="s">
        <v>4782</v>
      </c>
      <c r="C780">
        <v>1.0744</v>
      </c>
      <c r="D780" s="1">
        <v>41821</v>
      </c>
      <c r="E780" s="9">
        <f t="shared" si="26"/>
        <v>2015</v>
      </c>
      <c r="F780" t="str">
        <f t="shared" si="25"/>
        <v>WMBR</v>
      </c>
    </row>
    <row r="781" spans="1:6">
      <c r="A781" t="s">
        <v>4783</v>
      </c>
      <c r="B781" t="s">
        <v>4784</v>
      </c>
      <c r="C781">
        <v>1.0501</v>
      </c>
      <c r="D781" s="1">
        <v>41821</v>
      </c>
      <c r="E781" s="9">
        <f t="shared" si="26"/>
        <v>2015</v>
      </c>
      <c r="F781" t="str">
        <f t="shared" si="25"/>
        <v>WMCR</v>
      </c>
    </row>
    <row r="782" spans="1:6">
      <c r="A782" t="s">
        <v>4785</v>
      </c>
      <c r="B782" t="s">
        <v>4786</v>
      </c>
      <c r="C782">
        <v>1.0334000000000001</v>
      </c>
      <c r="D782" s="1">
        <v>41821</v>
      </c>
      <c r="E782" s="9">
        <f t="shared" si="26"/>
        <v>2015</v>
      </c>
      <c r="F782" t="str">
        <f t="shared" si="25"/>
        <v>WMDN</v>
      </c>
    </row>
    <row r="783" spans="1:6">
      <c r="A783" t="s">
        <v>4789</v>
      </c>
      <c r="B783" t="s">
        <v>4790</v>
      </c>
      <c r="C783">
        <v>1.0290999999999999</v>
      </c>
      <c r="D783" s="1">
        <v>41821</v>
      </c>
      <c r="E783" s="9">
        <f t="shared" si="26"/>
        <v>2015</v>
      </c>
      <c r="F783" t="str">
        <f t="shared" si="25"/>
        <v>WMED</v>
      </c>
    </row>
    <row r="784" spans="1:6">
      <c r="A784" t="s">
        <v>4793</v>
      </c>
      <c r="B784" t="s">
        <v>4794</v>
      </c>
      <c r="C784">
        <v>1.0145999999999999</v>
      </c>
      <c r="D784" s="1">
        <v>41821</v>
      </c>
      <c r="E784" s="9">
        <f t="shared" si="26"/>
        <v>2015</v>
      </c>
      <c r="F784" t="str">
        <f t="shared" si="25"/>
        <v>WMGA</v>
      </c>
    </row>
    <row r="785" spans="1:6">
      <c r="A785" t="s">
        <v>4795</v>
      </c>
      <c r="B785" t="s">
        <v>4796</v>
      </c>
      <c r="C785">
        <v>1.0319</v>
      </c>
      <c r="D785" s="1">
        <v>41821</v>
      </c>
      <c r="E785" s="9">
        <f t="shared" si="26"/>
        <v>2015</v>
      </c>
      <c r="F785" t="str">
        <f t="shared" si="25"/>
        <v>WMHA</v>
      </c>
    </row>
    <row r="786" spans="1:6">
      <c r="A786" t="s">
        <v>4797</v>
      </c>
      <c r="B786" t="s">
        <v>4798</v>
      </c>
      <c r="C786">
        <v>1.0485</v>
      </c>
      <c r="D786" s="1">
        <v>41821</v>
      </c>
      <c r="E786" s="9">
        <f t="shared" si="26"/>
        <v>2015</v>
      </c>
      <c r="F786" t="str">
        <f t="shared" si="25"/>
        <v>WMIL</v>
      </c>
    </row>
    <row r="787" spans="1:6">
      <c r="A787" t="s">
        <v>4799</v>
      </c>
      <c r="B787" t="s">
        <v>4800</v>
      </c>
      <c r="C787">
        <v>1.018</v>
      </c>
      <c r="D787" s="1">
        <v>41821</v>
      </c>
      <c r="E787" s="9">
        <f t="shared" si="26"/>
        <v>2015</v>
      </c>
      <c r="F787" t="str">
        <f t="shared" si="25"/>
        <v>WMJP</v>
      </c>
    </row>
    <row r="788" spans="1:6">
      <c r="A788" t="s">
        <v>4801</v>
      </c>
      <c r="B788" t="s">
        <v>4802</v>
      </c>
      <c r="C788">
        <v>1.0406</v>
      </c>
      <c r="D788" s="1">
        <v>41821</v>
      </c>
      <c r="E788" s="9">
        <f t="shared" si="26"/>
        <v>2015</v>
      </c>
      <c r="F788" t="str">
        <f t="shared" si="25"/>
        <v>WMJX</v>
      </c>
    </row>
    <row r="789" spans="1:6">
      <c r="A789" t="s">
        <v>4803</v>
      </c>
      <c r="B789" t="s">
        <v>4804</v>
      </c>
      <c r="C789">
        <v>1.0436000000000001</v>
      </c>
      <c r="D789" s="1">
        <v>41821</v>
      </c>
      <c r="E789" s="9">
        <f t="shared" si="26"/>
        <v>2015</v>
      </c>
      <c r="F789" t="str">
        <f t="shared" si="25"/>
        <v>WMLG</v>
      </c>
    </row>
    <row r="790" spans="1:6">
      <c r="A790" t="s">
        <v>4805</v>
      </c>
      <c r="B790" t="s">
        <v>4806</v>
      </c>
      <c r="C790">
        <v>1.0575000000000001</v>
      </c>
      <c r="D790" s="1">
        <v>41821</v>
      </c>
      <c r="E790" s="9">
        <f t="shared" si="26"/>
        <v>2015</v>
      </c>
      <c r="F790" t="str">
        <f t="shared" si="25"/>
        <v>WMOR</v>
      </c>
    </row>
    <row r="791" spans="1:6">
      <c r="A791" t="s">
        <v>4807</v>
      </c>
      <c r="B791" t="s">
        <v>4808</v>
      </c>
      <c r="C791">
        <v>1.048</v>
      </c>
      <c r="D791" s="1">
        <v>41821</v>
      </c>
      <c r="E791" s="9">
        <f t="shared" si="26"/>
        <v>2015</v>
      </c>
      <c r="F791" t="str">
        <f t="shared" si="25"/>
        <v>WMOY</v>
      </c>
    </row>
    <row r="792" spans="1:6">
      <c r="A792" t="s">
        <v>4809</v>
      </c>
      <c r="B792" t="s">
        <v>4810</v>
      </c>
      <c r="C792">
        <v>1</v>
      </c>
      <c r="D792" s="1">
        <v>41821</v>
      </c>
      <c r="E792" s="9">
        <f t="shared" si="26"/>
        <v>2015</v>
      </c>
      <c r="F792" t="str">
        <f t="shared" si="25"/>
        <v>WMPS</v>
      </c>
    </row>
    <row r="793" spans="1:6">
      <c r="A793" t="s">
        <v>4811</v>
      </c>
      <c r="B793" t="s">
        <v>4812</v>
      </c>
      <c r="C793">
        <v>1.0126999999999999</v>
      </c>
      <c r="D793" s="1">
        <v>41821</v>
      </c>
      <c r="E793" s="9">
        <f t="shared" si="26"/>
        <v>2015</v>
      </c>
      <c r="F793" t="str">
        <f t="shared" si="25"/>
        <v>WMRR</v>
      </c>
    </row>
    <row r="794" spans="1:6">
      <c r="A794" t="s">
        <v>4813</v>
      </c>
      <c r="B794" t="s">
        <v>4814</v>
      </c>
      <c r="C794">
        <v>1.0986</v>
      </c>
      <c r="D794" s="1">
        <v>41821</v>
      </c>
      <c r="E794" s="9">
        <f t="shared" si="26"/>
        <v>2015</v>
      </c>
      <c r="F794" t="str">
        <f t="shared" si="25"/>
        <v>WMRV</v>
      </c>
    </row>
    <row r="795" spans="1:6">
      <c r="A795" t="s">
        <v>4815</v>
      </c>
      <c r="B795" t="s">
        <v>4816</v>
      </c>
      <c r="C795">
        <v>1.0226999999999999</v>
      </c>
      <c r="D795" s="1">
        <v>41821</v>
      </c>
      <c r="E795" s="9">
        <f t="shared" si="26"/>
        <v>2015</v>
      </c>
      <c r="F795" t="str">
        <f t="shared" si="25"/>
        <v>WMSR</v>
      </c>
    </row>
    <row r="796" spans="1:6">
      <c r="A796" t="s">
        <v>4817</v>
      </c>
      <c r="B796" t="s">
        <v>4818</v>
      </c>
      <c r="C796">
        <v>1.0307999999999999</v>
      </c>
      <c r="D796" s="1">
        <v>41821</v>
      </c>
      <c r="E796" s="9">
        <f t="shared" si="26"/>
        <v>2015</v>
      </c>
      <c r="F796" t="str">
        <f t="shared" si="25"/>
        <v>WMSS</v>
      </c>
    </row>
    <row r="797" spans="1:6">
      <c r="A797" t="s">
        <v>4819</v>
      </c>
      <c r="B797" t="s">
        <v>4820</v>
      </c>
      <c r="C797">
        <v>1.0448999999999999</v>
      </c>
      <c r="D797" s="1">
        <v>41821</v>
      </c>
      <c r="E797" s="9">
        <f t="shared" si="26"/>
        <v>2015</v>
      </c>
      <c r="F797" t="str">
        <f t="shared" si="25"/>
        <v>WMUC</v>
      </c>
    </row>
    <row r="798" spans="1:6">
      <c r="A798" t="s">
        <v>4821</v>
      </c>
      <c r="B798" t="s">
        <v>4822</v>
      </c>
      <c r="C798">
        <v>1.0488</v>
      </c>
      <c r="D798" s="1">
        <v>41821</v>
      </c>
      <c r="E798" s="9">
        <f t="shared" si="26"/>
        <v>2015</v>
      </c>
      <c r="F798" t="str">
        <f t="shared" si="25"/>
        <v>WMUL</v>
      </c>
    </row>
    <row r="799" spans="1:6">
      <c r="A799" t="s">
        <v>4823</v>
      </c>
      <c r="B799" t="s">
        <v>4824</v>
      </c>
      <c r="C799">
        <v>1.0305</v>
      </c>
      <c r="D799" s="1">
        <v>41821</v>
      </c>
      <c r="E799" s="9">
        <f t="shared" si="26"/>
        <v>2015</v>
      </c>
      <c r="F799" t="str">
        <f t="shared" si="25"/>
        <v>WMUR</v>
      </c>
    </row>
    <row r="800" spans="1:6">
      <c r="A800" t="s">
        <v>4825</v>
      </c>
      <c r="B800" t="s">
        <v>4826</v>
      </c>
      <c r="C800">
        <v>1.0506</v>
      </c>
      <c r="D800" s="1">
        <v>41821</v>
      </c>
      <c r="E800" s="9">
        <f t="shared" si="26"/>
        <v>2015</v>
      </c>
      <c r="F800" t="str">
        <f t="shared" si="25"/>
        <v>WMWR</v>
      </c>
    </row>
    <row r="801" spans="1:6">
      <c r="A801" t="s">
        <v>4827</v>
      </c>
      <c r="B801" t="s">
        <v>4828</v>
      </c>
      <c r="C801">
        <v>1.0477000000000001</v>
      </c>
      <c r="D801" s="1">
        <v>41821</v>
      </c>
      <c r="E801" s="9">
        <f t="shared" si="26"/>
        <v>2015</v>
      </c>
      <c r="F801" t="str">
        <f t="shared" si="25"/>
        <v>WMYR</v>
      </c>
    </row>
    <row r="802" spans="1:6">
      <c r="A802" t="s">
        <v>4829</v>
      </c>
      <c r="B802" t="s">
        <v>4830</v>
      </c>
      <c r="C802">
        <v>1.0490999999999999</v>
      </c>
      <c r="D802" s="1">
        <v>41821</v>
      </c>
      <c r="E802" s="9">
        <f t="shared" si="26"/>
        <v>2015</v>
      </c>
      <c r="F802" t="str">
        <f t="shared" si="25"/>
        <v>WNBH</v>
      </c>
    </row>
    <row r="803" spans="1:6">
      <c r="A803" t="s">
        <v>4831</v>
      </c>
      <c r="B803" t="s">
        <v>4832</v>
      </c>
      <c r="C803">
        <v>1.0505</v>
      </c>
      <c r="D803" s="1">
        <v>41821</v>
      </c>
      <c r="E803" s="9">
        <f t="shared" si="26"/>
        <v>2015</v>
      </c>
      <c r="F803" t="str">
        <f t="shared" si="25"/>
        <v>WNED</v>
      </c>
    </row>
    <row r="804" spans="1:6">
      <c r="A804" t="s">
        <v>4833</v>
      </c>
      <c r="B804" t="s">
        <v>4834</v>
      </c>
      <c r="C804">
        <v>1.0427999999999999</v>
      </c>
      <c r="D804" s="1">
        <v>41821</v>
      </c>
      <c r="E804" s="9">
        <f t="shared" si="26"/>
        <v>2015</v>
      </c>
      <c r="F804" t="str">
        <f t="shared" si="25"/>
        <v>WNFL</v>
      </c>
    </row>
    <row r="805" spans="1:6">
      <c r="A805" t="s">
        <v>4835</v>
      </c>
      <c r="B805" t="s">
        <v>4581</v>
      </c>
      <c r="C805">
        <v>1.0243</v>
      </c>
      <c r="D805" s="1">
        <v>41821</v>
      </c>
      <c r="E805" s="9">
        <f t="shared" si="26"/>
        <v>2015</v>
      </c>
      <c r="F805" t="str">
        <f t="shared" si="25"/>
        <v>WNGK</v>
      </c>
    </row>
    <row r="806" spans="1:6">
      <c r="A806" t="s">
        <v>4836</v>
      </c>
      <c r="B806" t="s">
        <v>4837</v>
      </c>
      <c r="C806">
        <v>1.0485</v>
      </c>
      <c r="D806" s="1">
        <v>41821</v>
      </c>
      <c r="E806" s="9">
        <f t="shared" si="26"/>
        <v>2015</v>
      </c>
      <c r="F806" t="str">
        <f t="shared" si="25"/>
        <v>WNGN</v>
      </c>
    </row>
    <row r="807" spans="1:6">
      <c r="A807" t="s">
        <v>4838</v>
      </c>
      <c r="B807" t="s">
        <v>4839</v>
      </c>
      <c r="C807">
        <v>1.0643</v>
      </c>
      <c r="D807" s="1">
        <v>41821</v>
      </c>
      <c r="E807" s="9">
        <f t="shared" si="26"/>
        <v>2015</v>
      </c>
      <c r="F807" t="str">
        <f t="shared" si="25"/>
        <v>WNOR</v>
      </c>
    </row>
    <row r="808" spans="1:6">
      <c r="A808" t="s">
        <v>4842</v>
      </c>
      <c r="B808" t="s">
        <v>4843</v>
      </c>
      <c r="C808">
        <v>1.0488</v>
      </c>
      <c r="D808" s="1">
        <v>41821</v>
      </c>
      <c r="E808" s="9">
        <f t="shared" si="26"/>
        <v>2015</v>
      </c>
      <c r="F808" t="str">
        <f t="shared" si="25"/>
        <v>WNPH</v>
      </c>
    </row>
    <row r="809" spans="1:6">
      <c r="A809" t="s">
        <v>4844</v>
      </c>
      <c r="B809" t="s">
        <v>4845</v>
      </c>
      <c r="C809">
        <v>1.0457000000000001</v>
      </c>
      <c r="D809" s="1">
        <v>41821</v>
      </c>
      <c r="E809" s="9">
        <f t="shared" si="26"/>
        <v>2015</v>
      </c>
      <c r="F809" t="str">
        <f t="shared" si="25"/>
        <v>WOCN</v>
      </c>
    </row>
    <row r="810" spans="1:6">
      <c r="A810" t="s">
        <v>4846</v>
      </c>
      <c r="B810" t="s">
        <v>4847</v>
      </c>
      <c r="C810">
        <v>1.0488</v>
      </c>
      <c r="D810" s="1">
        <v>41821</v>
      </c>
      <c r="E810" s="9">
        <f t="shared" si="26"/>
        <v>2015</v>
      </c>
      <c r="F810" t="str">
        <f t="shared" si="25"/>
        <v>WOPK</v>
      </c>
    </row>
    <row r="811" spans="1:6">
      <c r="A811" t="s">
        <v>4848</v>
      </c>
      <c r="B811" t="s">
        <v>4849</v>
      </c>
      <c r="C811">
        <v>1.05</v>
      </c>
      <c r="D811" s="1">
        <v>41821</v>
      </c>
      <c r="E811" s="9">
        <f t="shared" si="26"/>
        <v>2015</v>
      </c>
      <c r="F811" t="str">
        <f t="shared" si="25"/>
        <v>WPBY</v>
      </c>
    </row>
    <row r="812" spans="1:6">
      <c r="A812" t="s">
        <v>4852</v>
      </c>
      <c r="B812" t="s">
        <v>4853</v>
      </c>
      <c r="C812">
        <v>1.0163</v>
      </c>
      <c r="D812" s="1">
        <v>41821</v>
      </c>
      <c r="E812" s="9">
        <f t="shared" si="26"/>
        <v>2015</v>
      </c>
      <c r="F812" t="str">
        <f t="shared" si="25"/>
        <v>WPIC</v>
      </c>
    </row>
    <row r="813" spans="1:6">
      <c r="A813" t="s">
        <v>4854</v>
      </c>
      <c r="B813" t="s">
        <v>4855</v>
      </c>
      <c r="C813">
        <v>1.0396000000000001</v>
      </c>
      <c r="D813" s="1">
        <v>41821</v>
      </c>
      <c r="E813" s="9">
        <f t="shared" si="26"/>
        <v>2015</v>
      </c>
      <c r="F813" t="str">
        <f t="shared" si="25"/>
        <v>WPJR</v>
      </c>
    </row>
    <row r="814" spans="1:6">
      <c r="A814" t="s">
        <v>4858</v>
      </c>
      <c r="B814" t="s">
        <v>4859</v>
      </c>
      <c r="C814">
        <v>1.0303</v>
      </c>
      <c r="D814" s="1">
        <v>41821</v>
      </c>
      <c r="E814" s="9">
        <f t="shared" si="26"/>
        <v>2015</v>
      </c>
      <c r="F814" t="str">
        <f t="shared" si="25"/>
        <v>WPLD</v>
      </c>
    </row>
    <row r="815" spans="1:6">
      <c r="A815" t="s">
        <v>4860</v>
      </c>
      <c r="B815" t="s">
        <v>4861</v>
      </c>
      <c r="C815">
        <v>1.0226</v>
      </c>
      <c r="D815" s="1">
        <v>41821</v>
      </c>
      <c r="E815" s="9">
        <f t="shared" si="26"/>
        <v>2015</v>
      </c>
      <c r="F815" t="str">
        <f t="shared" si="25"/>
        <v>WPNJ</v>
      </c>
    </row>
    <row r="816" spans="1:6">
      <c r="A816" t="s">
        <v>4862</v>
      </c>
      <c r="B816" t="s">
        <v>4863</v>
      </c>
      <c r="C816">
        <v>1.0339</v>
      </c>
      <c r="D816" s="1">
        <v>41821</v>
      </c>
      <c r="E816" s="9">
        <f t="shared" si="26"/>
        <v>2015</v>
      </c>
      <c r="F816" t="str">
        <f t="shared" ref="F816:F879" si="27">A816</f>
        <v>WRAN</v>
      </c>
    </row>
    <row r="817" spans="1:6">
      <c r="A817" t="s">
        <v>4864</v>
      </c>
      <c r="B817" t="s">
        <v>4865</v>
      </c>
      <c r="C817">
        <v>1.0720000000000001</v>
      </c>
      <c r="D817" s="1">
        <v>41821</v>
      </c>
      <c r="E817" s="9">
        <f t="shared" si="26"/>
        <v>2015</v>
      </c>
      <c r="F817" t="str">
        <f t="shared" si="27"/>
        <v>WRGN</v>
      </c>
    </row>
    <row r="818" spans="1:6">
      <c r="A818" t="s">
        <v>4866</v>
      </c>
      <c r="B818" t="s">
        <v>4513</v>
      </c>
      <c r="C818">
        <v>1.0294000000000001</v>
      </c>
      <c r="D818" s="1">
        <v>41821</v>
      </c>
      <c r="E818" s="9">
        <f t="shared" si="26"/>
        <v>2015</v>
      </c>
      <c r="F818" t="str">
        <f t="shared" si="27"/>
        <v>WROH</v>
      </c>
    </row>
    <row r="819" spans="1:6">
      <c r="A819" t="s">
        <v>4867</v>
      </c>
      <c r="B819" t="s">
        <v>4868</v>
      </c>
      <c r="C819">
        <v>1.0317000000000001</v>
      </c>
      <c r="D819" s="1">
        <v>41821</v>
      </c>
      <c r="E819" s="9">
        <f t="shared" si="26"/>
        <v>2015</v>
      </c>
      <c r="F819" t="str">
        <f t="shared" si="27"/>
        <v>WRTN</v>
      </c>
    </row>
    <row r="820" spans="1:6">
      <c r="A820" t="s">
        <v>4869</v>
      </c>
      <c r="B820" t="s">
        <v>4870</v>
      </c>
      <c r="C820">
        <v>1.0349999999999999</v>
      </c>
      <c r="D820" s="1">
        <v>41821</v>
      </c>
      <c r="E820" s="9">
        <f t="shared" si="26"/>
        <v>2015</v>
      </c>
      <c r="F820" t="str">
        <f t="shared" si="27"/>
        <v>WRVE</v>
      </c>
    </row>
    <row r="821" spans="1:6">
      <c r="A821" t="s">
        <v>4871</v>
      </c>
      <c r="B821" t="s">
        <v>4872</v>
      </c>
      <c r="C821">
        <v>1.0246</v>
      </c>
      <c r="D821" s="1">
        <v>41821</v>
      </c>
      <c r="E821" s="9">
        <f t="shared" si="26"/>
        <v>2015</v>
      </c>
      <c r="F821" t="str">
        <f t="shared" si="27"/>
        <v>WSFT</v>
      </c>
    </row>
    <row r="822" spans="1:6">
      <c r="A822" t="s">
        <v>4873</v>
      </c>
      <c r="B822" t="s">
        <v>4874</v>
      </c>
      <c r="C822">
        <v>1.0326</v>
      </c>
      <c r="D822" s="1">
        <v>41821</v>
      </c>
      <c r="E822" s="9">
        <f t="shared" si="26"/>
        <v>2015</v>
      </c>
      <c r="F822" t="str">
        <f t="shared" si="27"/>
        <v>WSNR</v>
      </c>
    </row>
    <row r="823" spans="1:6">
      <c r="A823" t="s">
        <v>4875</v>
      </c>
      <c r="B823" t="s">
        <v>4876</v>
      </c>
      <c r="C823">
        <v>1.0492999999999999</v>
      </c>
      <c r="D823" s="1">
        <v>41821</v>
      </c>
      <c r="E823" s="9">
        <f t="shared" si="26"/>
        <v>2015</v>
      </c>
      <c r="F823" t="str">
        <f t="shared" si="27"/>
        <v>WSPA</v>
      </c>
    </row>
    <row r="824" spans="1:6">
      <c r="A824" t="s">
        <v>4879</v>
      </c>
      <c r="B824" t="s">
        <v>4880</v>
      </c>
      <c r="C824">
        <v>1.0496000000000001</v>
      </c>
      <c r="D824" s="1">
        <v>41821</v>
      </c>
      <c r="E824" s="9">
        <f t="shared" si="26"/>
        <v>2015</v>
      </c>
      <c r="F824" t="str">
        <f t="shared" si="27"/>
        <v>WSUM</v>
      </c>
    </row>
    <row r="825" spans="1:6">
      <c r="A825" t="s">
        <v>4883</v>
      </c>
      <c r="B825" t="s">
        <v>4884</v>
      </c>
      <c r="C825">
        <v>1.0378000000000001</v>
      </c>
      <c r="D825" s="1">
        <v>41821</v>
      </c>
      <c r="E825" s="9">
        <f t="shared" si="26"/>
        <v>2015</v>
      </c>
      <c r="F825" t="str">
        <f t="shared" si="27"/>
        <v>WTLN</v>
      </c>
    </row>
    <row r="826" spans="1:6">
      <c r="A826" t="s">
        <v>4885</v>
      </c>
      <c r="B826" t="s">
        <v>4886</v>
      </c>
      <c r="C826">
        <v>1.0478000000000001</v>
      </c>
      <c r="D826" s="1">
        <v>41821</v>
      </c>
      <c r="E826" s="9">
        <f t="shared" si="26"/>
        <v>2015</v>
      </c>
      <c r="F826" t="str">
        <f t="shared" si="27"/>
        <v>WTSG</v>
      </c>
    </row>
    <row r="827" spans="1:6">
      <c r="A827" t="s">
        <v>4889</v>
      </c>
      <c r="B827" t="s">
        <v>4890</v>
      </c>
      <c r="C827">
        <v>1.0367999999999999</v>
      </c>
      <c r="D827" s="1">
        <v>41821</v>
      </c>
      <c r="E827" s="9">
        <f t="shared" si="26"/>
        <v>2015</v>
      </c>
      <c r="F827" t="str">
        <f t="shared" si="27"/>
        <v>WTTS</v>
      </c>
    </row>
    <row r="828" spans="1:6">
      <c r="A828" t="s">
        <v>4891</v>
      </c>
      <c r="B828" t="s">
        <v>4892</v>
      </c>
      <c r="C828">
        <v>1.0504</v>
      </c>
      <c r="D828" s="1">
        <v>41821</v>
      </c>
      <c r="E828" s="9">
        <f t="shared" si="26"/>
        <v>2015</v>
      </c>
      <c r="F828" t="str">
        <f t="shared" si="27"/>
        <v>WUNI</v>
      </c>
    </row>
    <row r="829" spans="1:6">
      <c r="A829" t="s">
        <v>4893</v>
      </c>
      <c r="B829" t="s">
        <v>4894</v>
      </c>
      <c r="C829">
        <v>1.0351999999999999</v>
      </c>
      <c r="D829" s="1">
        <v>41821</v>
      </c>
      <c r="E829" s="9">
        <f t="shared" si="26"/>
        <v>2015</v>
      </c>
      <c r="F829" t="str">
        <f t="shared" si="27"/>
        <v>WVPA</v>
      </c>
    </row>
    <row r="830" spans="1:6">
      <c r="A830" t="s">
        <v>4895</v>
      </c>
      <c r="B830" t="s">
        <v>4896</v>
      </c>
      <c r="C830">
        <v>1.0546</v>
      </c>
      <c r="D830" s="1">
        <v>41821</v>
      </c>
      <c r="E830" s="9">
        <f t="shared" si="26"/>
        <v>2015</v>
      </c>
      <c r="F830" t="str">
        <f t="shared" si="27"/>
        <v>WWAG</v>
      </c>
    </row>
    <row r="831" spans="1:6">
      <c r="A831" t="s">
        <v>4897</v>
      </c>
      <c r="B831" t="s">
        <v>4898</v>
      </c>
      <c r="C831">
        <v>1.0308999999999999</v>
      </c>
      <c r="D831" s="1">
        <v>41821</v>
      </c>
      <c r="E831" s="9">
        <f t="shared" si="26"/>
        <v>2015</v>
      </c>
      <c r="F831" t="str">
        <f t="shared" si="27"/>
        <v>WWAI</v>
      </c>
    </row>
    <row r="832" spans="1:6">
      <c r="A832" t="s">
        <v>4899</v>
      </c>
      <c r="B832" t="s">
        <v>4900</v>
      </c>
      <c r="C832">
        <v>0.99509999999999998</v>
      </c>
      <c r="D832" s="1">
        <v>41821</v>
      </c>
      <c r="E832" s="9">
        <f t="shared" si="26"/>
        <v>2015</v>
      </c>
      <c r="F832" t="str">
        <f t="shared" si="27"/>
        <v>WWCL</v>
      </c>
    </row>
    <row r="833" spans="1:6">
      <c r="A833" t="s">
        <v>4901</v>
      </c>
      <c r="B833" t="s">
        <v>4902</v>
      </c>
      <c r="C833">
        <v>1.0515000000000001</v>
      </c>
      <c r="D833" s="1">
        <v>41821</v>
      </c>
      <c r="E833" s="9">
        <f t="shared" si="26"/>
        <v>2015</v>
      </c>
      <c r="F833" t="str">
        <f t="shared" si="27"/>
        <v>WWDN</v>
      </c>
    </row>
    <row r="834" spans="1:6">
      <c r="A834" t="s">
        <v>4943</v>
      </c>
      <c r="B834" t="s">
        <v>4944</v>
      </c>
      <c r="C834">
        <v>1.0373000000000001</v>
      </c>
      <c r="D834" s="1">
        <v>41821</v>
      </c>
      <c r="E834" s="9">
        <f t="shared" si="26"/>
        <v>2015</v>
      </c>
      <c r="F834" t="str">
        <f t="shared" si="27"/>
        <v>WWEB</v>
      </c>
    </row>
    <row r="835" spans="1:6">
      <c r="A835" t="s">
        <v>4903</v>
      </c>
      <c r="B835" t="s">
        <v>4904</v>
      </c>
      <c r="C835">
        <v>1.0345</v>
      </c>
      <c r="D835" s="1">
        <v>41821</v>
      </c>
      <c r="E835" s="9">
        <f t="shared" ref="E835:E898" si="28">YEAR(D835)+1</f>
        <v>2015</v>
      </c>
      <c r="F835" t="str">
        <f t="shared" si="27"/>
        <v>WWEL</v>
      </c>
    </row>
    <row r="836" spans="1:6">
      <c r="A836" t="s">
        <v>4905</v>
      </c>
      <c r="B836" t="s">
        <v>4906</v>
      </c>
      <c r="C836">
        <v>1.048</v>
      </c>
      <c r="D836" s="1">
        <v>41821</v>
      </c>
      <c r="E836" s="9">
        <f t="shared" si="28"/>
        <v>2015</v>
      </c>
      <c r="F836" t="str">
        <f t="shared" si="27"/>
        <v>WWGA</v>
      </c>
    </row>
    <row r="837" spans="1:6">
      <c r="A837" t="s">
        <v>4907</v>
      </c>
      <c r="B837" t="s">
        <v>4908</v>
      </c>
      <c r="C837">
        <v>0.99239999999999995</v>
      </c>
      <c r="D837" s="1">
        <v>41821</v>
      </c>
      <c r="E837" s="9">
        <f t="shared" si="28"/>
        <v>2015</v>
      </c>
      <c r="F837" t="str">
        <f t="shared" si="27"/>
        <v>WWGP</v>
      </c>
    </row>
    <row r="838" spans="1:6">
      <c r="A838" t="s">
        <v>4911</v>
      </c>
      <c r="B838" t="s">
        <v>4945</v>
      </c>
      <c r="C838">
        <v>1.0318000000000001</v>
      </c>
      <c r="D838" s="1">
        <v>41821</v>
      </c>
      <c r="E838" s="9">
        <f t="shared" si="28"/>
        <v>2015</v>
      </c>
      <c r="F838" t="str">
        <f t="shared" si="27"/>
        <v>WWLN</v>
      </c>
    </row>
    <row r="839" spans="1:6">
      <c r="A839" t="s">
        <v>4913</v>
      </c>
      <c r="B839" t="s">
        <v>4914</v>
      </c>
      <c r="C839">
        <v>1.0246999999999999</v>
      </c>
      <c r="D839" s="1">
        <v>41821</v>
      </c>
      <c r="E839" s="9">
        <f t="shared" si="28"/>
        <v>2015</v>
      </c>
      <c r="F839" t="str">
        <f t="shared" si="27"/>
        <v>WWMG</v>
      </c>
    </row>
    <row r="840" spans="1:6">
      <c r="A840" t="s">
        <v>4915</v>
      </c>
      <c r="B840" t="s">
        <v>4916</v>
      </c>
      <c r="C840">
        <v>1.0449999999999999</v>
      </c>
      <c r="D840" s="1">
        <v>41821</v>
      </c>
      <c r="E840" s="9">
        <f t="shared" si="28"/>
        <v>2015</v>
      </c>
      <c r="F840" t="str">
        <f t="shared" si="27"/>
        <v>WWNO</v>
      </c>
    </row>
    <row r="841" spans="1:6">
      <c r="A841" t="s">
        <v>4917</v>
      </c>
      <c r="B841" t="s">
        <v>4918</v>
      </c>
      <c r="C841">
        <v>1.0505</v>
      </c>
      <c r="D841" s="1">
        <v>41821</v>
      </c>
      <c r="E841" s="9">
        <f t="shared" si="28"/>
        <v>2015</v>
      </c>
      <c r="F841" t="str">
        <f t="shared" si="27"/>
        <v>WWNT</v>
      </c>
    </row>
    <row r="842" spans="1:6">
      <c r="A842" t="s">
        <v>4919</v>
      </c>
      <c r="B842" t="s">
        <v>4920</v>
      </c>
      <c r="C842">
        <v>1.0306</v>
      </c>
      <c r="D842" s="1">
        <v>41821</v>
      </c>
      <c r="E842" s="9">
        <f t="shared" si="28"/>
        <v>2015</v>
      </c>
      <c r="F842" t="str">
        <f t="shared" si="27"/>
        <v>WWSD</v>
      </c>
    </row>
    <row r="843" spans="1:6">
      <c r="A843" t="s">
        <v>4921</v>
      </c>
      <c r="B843" t="s">
        <v>4922</v>
      </c>
      <c r="C843">
        <v>1.0653999999999999</v>
      </c>
      <c r="D843" s="1">
        <v>41821</v>
      </c>
      <c r="E843" s="9">
        <f t="shared" si="28"/>
        <v>2015</v>
      </c>
      <c r="F843" t="str">
        <f t="shared" si="27"/>
        <v>WWUN</v>
      </c>
    </row>
    <row r="844" spans="1:6">
      <c r="A844" t="s">
        <v>4923</v>
      </c>
      <c r="B844" t="s">
        <v>4924</v>
      </c>
      <c r="C844">
        <v>0.90269999999999995</v>
      </c>
      <c r="D844" s="1">
        <v>41821</v>
      </c>
      <c r="E844" s="9">
        <f t="shared" si="28"/>
        <v>2015</v>
      </c>
      <c r="F844" t="str">
        <f t="shared" si="27"/>
        <v>WWWF</v>
      </c>
    </row>
    <row r="845" spans="1:6">
      <c r="A845" t="s">
        <v>4925</v>
      </c>
      <c r="B845" t="s">
        <v>4926</v>
      </c>
      <c r="C845">
        <v>1.0442</v>
      </c>
      <c r="D845" s="1">
        <v>41821</v>
      </c>
      <c r="E845" s="9">
        <f t="shared" si="28"/>
        <v>2015</v>
      </c>
      <c r="F845" t="str">
        <f t="shared" si="27"/>
        <v>WYCP</v>
      </c>
    </row>
    <row r="846" spans="1:6">
      <c r="A846" t="s">
        <v>4927</v>
      </c>
      <c r="B846" t="s">
        <v>4928</v>
      </c>
      <c r="C846">
        <v>1.1639999999999999</v>
      </c>
      <c r="D846" s="1">
        <v>41821</v>
      </c>
      <c r="E846" s="9">
        <f t="shared" si="28"/>
        <v>2015</v>
      </c>
      <c r="F846" t="str">
        <f t="shared" si="27"/>
        <v>WYER</v>
      </c>
    </row>
    <row r="847" spans="1:6">
      <c r="A847" t="s">
        <v>4929</v>
      </c>
      <c r="B847" t="s">
        <v>4930</v>
      </c>
      <c r="C847">
        <v>1.0479000000000001</v>
      </c>
      <c r="D847" s="1">
        <v>41821</v>
      </c>
      <c r="E847" s="9">
        <f t="shared" si="28"/>
        <v>2015</v>
      </c>
      <c r="F847" t="str">
        <f t="shared" si="27"/>
        <v>WYKE</v>
      </c>
    </row>
    <row r="848" spans="1:6">
      <c r="A848" t="s">
        <v>4598</v>
      </c>
      <c r="B848" t="s">
        <v>4599</v>
      </c>
      <c r="C848">
        <v>1.1716</v>
      </c>
      <c r="D848" s="1">
        <v>41821</v>
      </c>
      <c r="E848" s="9">
        <f t="shared" si="28"/>
        <v>2015</v>
      </c>
      <c r="F848" t="str">
        <f t="shared" si="27"/>
        <v>TBLS</v>
      </c>
    </row>
    <row r="849" spans="1:6">
      <c r="A849" t="s">
        <v>4617</v>
      </c>
      <c r="B849" t="s">
        <v>4618</v>
      </c>
      <c r="C849">
        <v>1.0821000000000001</v>
      </c>
      <c r="D849" s="1">
        <v>41821</v>
      </c>
      <c r="E849" s="9">
        <f t="shared" si="28"/>
        <v>2015</v>
      </c>
      <c r="F849" t="str">
        <f t="shared" si="27"/>
        <v>TWKG</v>
      </c>
    </row>
    <row r="850" spans="1:6">
      <c r="A850" t="s">
        <v>4653</v>
      </c>
      <c r="B850" t="s">
        <v>4654</v>
      </c>
      <c r="C850">
        <v>1.1662999999999999</v>
      </c>
      <c r="D850" s="1">
        <v>41821</v>
      </c>
      <c r="E850" s="9">
        <f t="shared" si="28"/>
        <v>2015</v>
      </c>
      <c r="F850" t="str">
        <f t="shared" si="27"/>
        <v>WBKF</v>
      </c>
    </row>
    <row r="851" spans="1:6">
      <c r="A851" t="s">
        <v>4655</v>
      </c>
      <c r="B851" t="s">
        <v>4656</v>
      </c>
      <c r="C851">
        <v>1.1607000000000001</v>
      </c>
      <c r="D851" s="1">
        <v>41821</v>
      </c>
      <c r="E851" s="9">
        <f t="shared" si="28"/>
        <v>2015</v>
      </c>
      <c r="F851" t="str">
        <f t="shared" si="27"/>
        <v>WBLD</v>
      </c>
    </row>
    <row r="852" spans="1:6">
      <c r="A852" t="s">
        <v>4679</v>
      </c>
      <c r="B852" t="s">
        <v>4680</v>
      </c>
      <c r="C852">
        <v>1.1586000000000001</v>
      </c>
      <c r="D852" s="1">
        <v>41821</v>
      </c>
      <c r="E852" s="9">
        <f t="shared" si="28"/>
        <v>2015</v>
      </c>
      <c r="F852" t="str">
        <f t="shared" si="27"/>
        <v>WCAR</v>
      </c>
    </row>
    <row r="853" spans="1:6">
      <c r="A853" t="s">
        <v>4761</v>
      </c>
      <c r="B853" t="s">
        <v>4762</v>
      </c>
      <c r="C853">
        <v>1.0894999999999999</v>
      </c>
      <c r="D853" s="1">
        <v>41821</v>
      </c>
      <c r="E853" s="9">
        <f t="shared" si="28"/>
        <v>2015</v>
      </c>
      <c r="F853" t="str">
        <f t="shared" si="27"/>
        <v>WKEL</v>
      </c>
    </row>
    <row r="854" spans="1:6">
      <c r="A854" t="s">
        <v>4791</v>
      </c>
      <c r="B854" t="s">
        <v>4792</v>
      </c>
      <c r="C854">
        <v>1.0758000000000001</v>
      </c>
      <c r="D854" s="1">
        <v>41821</v>
      </c>
      <c r="E854" s="9">
        <f t="shared" si="28"/>
        <v>2015</v>
      </c>
      <c r="F854" t="str">
        <f t="shared" si="27"/>
        <v>WMER</v>
      </c>
    </row>
    <row r="855" spans="1:6">
      <c r="A855" t="s">
        <v>4850</v>
      </c>
      <c r="B855" t="s">
        <v>4851</v>
      </c>
      <c r="C855">
        <v>1.1659999999999999</v>
      </c>
      <c r="D855" s="1">
        <v>41821</v>
      </c>
      <c r="E855" s="9">
        <f t="shared" si="28"/>
        <v>2015</v>
      </c>
      <c r="F855" t="str">
        <f t="shared" si="27"/>
        <v>WPCY</v>
      </c>
    </row>
    <row r="856" spans="1:6">
      <c r="A856" t="s">
        <v>4856</v>
      </c>
      <c r="B856" t="s">
        <v>4857</v>
      </c>
      <c r="C856">
        <v>1.1604000000000001</v>
      </c>
      <c r="D856" s="1">
        <v>41821</v>
      </c>
      <c r="E856" s="9">
        <f t="shared" si="28"/>
        <v>2015</v>
      </c>
      <c r="F856" t="str">
        <f t="shared" si="27"/>
        <v>WPKS</v>
      </c>
    </row>
    <row r="857" spans="1:6">
      <c r="A857" t="s">
        <v>4909</v>
      </c>
      <c r="B857" t="s">
        <v>4910</v>
      </c>
      <c r="C857">
        <v>1.1535</v>
      </c>
      <c r="D857" s="1">
        <v>41821</v>
      </c>
      <c r="E857" s="9">
        <f t="shared" si="28"/>
        <v>2015</v>
      </c>
      <c r="F857" t="str">
        <f t="shared" si="27"/>
        <v>WWKT</v>
      </c>
    </row>
    <row r="858" spans="1:6">
      <c r="A858" t="s">
        <v>4931</v>
      </c>
      <c r="B858" t="s">
        <v>4932</v>
      </c>
      <c r="C858">
        <v>1.089</v>
      </c>
      <c r="D858" s="1">
        <v>41821</v>
      </c>
      <c r="E858" s="9">
        <f t="shared" si="28"/>
        <v>2015</v>
      </c>
      <c r="F858" t="str">
        <f t="shared" si="27"/>
        <v>WYLN</v>
      </c>
    </row>
    <row r="859" spans="1:6">
      <c r="A859" t="s">
        <v>4600</v>
      </c>
      <c r="B859" t="s">
        <v>4601</v>
      </c>
      <c r="C859">
        <v>1.0660000000000001</v>
      </c>
      <c r="D859" s="1">
        <v>41821</v>
      </c>
      <c r="E859" s="9">
        <f t="shared" si="28"/>
        <v>2015</v>
      </c>
      <c r="F859" t="str">
        <f t="shared" si="27"/>
        <v>TKRA</v>
      </c>
    </row>
    <row r="860" spans="1:6">
      <c r="A860" t="s">
        <v>4604</v>
      </c>
      <c r="B860" t="s">
        <v>4478</v>
      </c>
      <c r="C860">
        <v>0.90969999999999995</v>
      </c>
      <c r="D860" s="1">
        <v>41821</v>
      </c>
      <c r="E860" s="9">
        <f t="shared" si="28"/>
        <v>2015</v>
      </c>
      <c r="F860" t="str">
        <f t="shared" si="27"/>
        <v>TMBA</v>
      </c>
    </row>
    <row r="861" spans="1:6">
      <c r="A861" t="s">
        <v>4605</v>
      </c>
      <c r="B861" t="s">
        <v>4606</v>
      </c>
      <c r="C861">
        <v>0.96289999999999998</v>
      </c>
      <c r="D861" s="1">
        <v>41821</v>
      </c>
      <c r="E861" s="9">
        <f t="shared" si="28"/>
        <v>2015</v>
      </c>
      <c r="F861" t="str">
        <f t="shared" si="27"/>
        <v>TMDP</v>
      </c>
    </row>
    <row r="862" spans="1:6">
      <c r="A862" t="s">
        <v>4607</v>
      </c>
      <c r="B862" t="s">
        <v>4608</v>
      </c>
      <c r="C862">
        <v>1.0328999999999999</v>
      </c>
      <c r="D862" s="1">
        <v>41821</v>
      </c>
      <c r="E862" s="9">
        <f t="shared" si="28"/>
        <v>2015</v>
      </c>
      <c r="F862" t="str">
        <f t="shared" si="27"/>
        <v>TMGS</v>
      </c>
    </row>
    <row r="863" spans="1:6">
      <c r="A863" t="s">
        <v>4881</v>
      </c>
      <c r="B863" t="s">
        <v>4882</v>
      </c>
      <c r="C863">
        <v>1.0502</v>
      </c>
      <c r="D863" s="1">
        <v>41821</v>
      </c>
      <c r="E863" s="9">
        <f t="shared" si="28"/>
        <v>2015</v>
      </c>
      <c r="F863" t="str">
        <f t="shared" si="27"/>
        <v>WSVY</v>
      </c>
    </row>
    <row r="864" spans="1:6">
      <c r="A864" t="s">
        <v>4593</v>
      </c>
      <c r="B864" t="s">
        <v>4594</v>
      </c>
      <c r="C864">
        <v>0.99509999999999998</v>
      </c>
      <c r="D864" s="1">
        <v>41456</v>
      </c>
      <c r="E864" s="9">
        <f t="shared" si="28"/>
        <v>2014</v>
      </c>
      <c r="F864" t="str">
        <f t="shared" si="27"/>
        <v>TAPA</v>
      </c>
    </row>
    <row r="865" spans="1:6">
      <c r="A865" t="s">
        <v>4595</v>
      </c>
      <c r="B865" t="s">
        <v>4596</v>
      </c>
      <c r="C865">
        <v>0.99050000000000005</v>
      </c>
      <c r="D865" s="1">
        <v>41456</v>
      </c>
      <c r="E865" s="9">
        <f t="shared" si="28"/>
        <v>2014</v>
      </c>
      <c r="F865" t="str">
        <f t="shared" si="27"/>
        <v>TAPL</v>
      </c>
    </row>
    <row r="866" spans="1:6">
      <c r="A866" t="s">
        <v>4597</v>
      </c>
      <c r="B866" t="s">
        <v>4936</v>
      </c>
      <c r="C866">
        <v>0.99919999999999998</v>
      </c>
      <c r="D866" s="1">
        <v>41456</v>
      </c>
      <c r="E866" s="9">
        <f t="shared" si="28"/>
        <v>2014</v>
      </c>
      <c r="F866" t="str">
        <f t="shared" si="27"/>
        <v>TBLB</v>
      </c>
    </row>
    <row r="867" spans="1:6">
      <c r="A867" t="s">
        <v>4602</v>
      </c>
      <c r="B867" t="s">
        <v>4937</v>
      </c>
      <c r="C867">
        <v>1.0112000000000001</v>
      </c>
      <c r="D867" s="1">
        <v>41456</v>
      </c>
      <c r="E867" s="9">
        <f t="shared" si="28"/>
        <v>2014</v>
      </c>
      <c r="F867" t="str">
        <f t="shared" si="27"/>
        <v>TLWA</v>
      </c>
    </row>
    <row r="868" spans="1:6">
      <c r="A868" t="s">
        <v>4609</v>
      </c>
      <c r="B868" t="s">
        <v>4610</v>
      </c>
      <c r="C868">
        <v>1.0217000000000001</v>
      </c>
      <c r="D868" s="1">
        <v>41456</v>
      </c>
      <c r="E868" s="9">
        <f t="shared" si="28"/>
        <v>2014</v>
      </c>
      <c r="F868" t="str">
        <f t="shared" si="27"/>
        <v>TMSK</v>
      </c>
    </row>
    <row r="869" spans="1:6">
      <c r="A869" t="s">
        <v>4611</v>
      </c>
      <c r="B869" t="s">
        <v>4612</v>
      </c>
      <c r="C869">
        <v>1.0130999999999999</v>
      </c>
      <c r="D869" s="1">
        <v>41456</v>
      </c>
      <c r="E869" s="9">
        <f t="shared" si="28"/>
        <v>2014</v>
      </c>
      <c r="F869" t="str">
        <f t="shared" si="27"/>
        <v>TOLA</v>
      </c>
    </row>
    <row r="870" spans="1:6">
      <c r="A870" t="s">
        <v>4613</v>
      </c>
      <c r="B870" t="s">
        <v>4614</v>
      </c>
      <c r="C870">
        <v>1.0434000000000001</v>
      </c>
      <c r="D870" s="1">
        <v>41456</v>
      </c>
      <c r="E870" s="9">
        <f t="shared" si="28"/>
        <v>2014</v>
      </c>
      <c r="F870" t="str">
        <f t="shared" si="27"/>
        <v>TSAV</v>
      </c>
    </row>
    <row r="871" spans="1:6">
      <c r="A871" t="s">
        <v>4615</v>
      </c>
      <c r="B871" t="s">
        <v>4616</v>
      </c>
      <c r="C871">
        <v>1.0404</v>
      </c>
      <c r="D871" s="1">
        <v>41456</v>
      </c>
      <c r="E871" s="9">
        <f t="shared" si="28"/>
        <v>2014</v>
      </c>
      <c r="F871" t="str">
        <f t="shared" si="27"/>
        <v>TUAV</v>
      </c>
    </row>
    <row r="872" spans="1:6">
      <c r="A872" t="s">
        <v>4619</v>
      </c>
      <c r="B872" t="s">
        <v>4620</v>
      </c>
      <c r="C872">
        <v>0.98460000000000003</v>
      </c>
      <c r="D872" s="1">
        <v>41456</v>
      </c>
      <c r="E872" s="9">
        <f t="shared" si="28"/>
        <v>2014</v>
      </c>
      <c r="F872" t="str">
        <f t="shared" si="27"/>
        <v>TWOJ</v>
      </c>
    </row>
    <row r="873" spans="1:6">
      <c r="A873" t="s">
        <v>4621</v>
      </c>
      <c r="B873" t="s">
        <v>4622</v>
      </c>
      <c r="C873">
        <v>0.98860000000000003</v>
      </c>
      <c r="D873" s="1">
        <v>41456</v>
      </c>
      <c r="E873" s="9">
        <f t="shared" si="28"/>
        <v>2014</v>
      </c>
      <c r="F873" t="str">
        <f t="shared" si="27"/>
        <v>TWOW</v>
      </c>
    </row>
    <row r="874" spans="1:6">
      <c r="A874" t="s">
        <v>4623</v>
      </c>
      <c r="B874" t="s">
        <v>4624</v>
      </c>
      <c r="C874">
        <v>1.0241</v>
      </c>
      <c r="D874" s="1">
        <v>41456</v>
      </c>
      <c r="E874" s="9">
        <f t="shared" si="28"/>
        <v>2014</v>
      </c>
      <c r="F874" t="str">
        <f t="shared" si="27"/>
        <v>WAFM</v>
      </c>
    </row>
    <row r="875" spans="1:6">
      <c r="A875" t="s">
        <v>4625</v>
      </c>
      <c r="B875" t="s">
        <v>4626</v>
      </c>
      <c r="C875">
        <v>1.0214000000000001</v>
      </c>
      <c r="D875" s="1">
        <v>41456</v>
      </c>
      <c r="E875" s="9">
        <f t="shared" si="28"/>
        <v>2014</v>
      </c>
      <c r="F875" t="str">
        <f t="shared" si="27"/>
        <v>WAKW</v>
      </c>
    </row>
    <row r="876" spans="1:6">
      <c r="A876" t="s">
        <v>4627</v>
      </c>
      <c r="B876" t="s">
        <v>4628</v>
      </c>
      <c r="C876">
        <v>1.0699000000000001</v>
      </c>
      <c r="D876" s="1">
        <v>41456</v>
      </c>
      <c r="E876" s="9">
        <f t="shared" si="28"/>
        <v>2014</v>
      </c>
      <c r="F876" t="str">
        <f t="shared" si="27"/>
        <v>WALB</v>
      </c>
    </row>
    <row r="877" spans="1:6">
      <c r="A877" t="s">
        <v>4629</v>
      </c>
      <c r="B877" t="s">
        <v>4630</v>
      </c>
      <c r="C877">
        <v>1.0368999999999999</v>
      </c>
      <c r="D877" s="1">
        <v>41456</v>
      </c>
      <c r="E877" s="9">
        <f t="shared" si="28"/>
        <v>2014</v>
      </c>
      <c r="F877" t="str">
        <f t="shared" si="27"/>
        <v>WAMT</v>
      </c>
    </row>
    <row r="878" spans="1:6">
      <c r="A878" t="s">
        <v>4631</v>
      </c>
      <c r="B878" t="s">
        <v>4632</v>
      </c>
      <c r="C878">
        <v>1.0407</v>
      </c>
      <c r="D878" s="1">
        <v>41456</v>
      </c>
      <c r="E878" s="9">
        <f t="shared" si="28"/>
        <v>2014</v>
      </c>
      <c r="F878" t="str">
        <f t="shared" si="27"/>
        <v>WAPM</v>
      </c>
    </row>
    <row r="879" spans="1:6">
      <c r="A879" t="s">
        <v>4633</v>
      </c>
      <c r="B879" t="s">
        <v>4634</v>
      </c>
      <c r="C879">
        <v>1.0418000000000001</v>
      </c>
      <c r="D879" s="1">
        <v>41456</v>
      </c>
      <c r="E879" s="9">
        <f t="shared" si="28"/>
        <v>2014</v>
      </c>
      <c r="F879" t="str">
        <f t="shared" si="27"/>
        <v>WARK</v>
      </c>
    </row>
    <row r="880" spans="1:6">
      <c r="A880" t="s">
        <v>4635</v>
      </c>
      <c r="B880" t="s">
        <v>4636</v>
      </c>
      <c r="C880">
        <v>1.0419</v>
      </c>
      <c r="D880" s="1">
        <v>41456</v>
      </c>
      <c r="E880" s="9">
        <f t="shared" si="28"/>
        <v>2014</v>
      </c>
      <c r="F880" t="str">
        <f t="shared" ref="F880:F943" si="29">A880</f>
        <v>WBCH</v>
      </c>
    </row>
    <row r="881" spans="1:6">
      <c r="A881" t="s">
        <v>4639</v>
      </c>
      <c r="B881" t="s">
        <v>4640</v>
      </c>
      <c r="C881">
        <v>1.0969</v>
      </c>
      <c r="D881" s="1">
        <v>41456</v>
      </c>
      <c r="E881" s="9">
        <f t="shared" si="28"/>
        <v>2014</v>
      </c>
      <c r="F881" t="str">
        <f t="shared" si="29"/>
        <v>WBDE</v>
      </c>
    </row>
    <row r="882" spans="1:6">
      <c r="A882" t="s">
        <v>4641</v>
      </c>
      <c r="B882" t="s">
        <v>4642</v>
      </c>
      <c r="C882">
        <v>1.0108999999999999</v>
      </c>
      <c r="D882" s="1">
        <v>41456</v>
      </c>
      <c r="E882" s="9">
        <f t="shared" si="28"/>
        <v>2014</v>
      </c>
      <c r="F882" t="str">
        <f t="shared" si="29"/>
        <v>WBDP</v>
      </c>
    </row>
    <row r="883" spans="1:6">
      <c r="A883" t="s">
        <v>4643</v>
      </c>
      <c r="B883" t="s">
        <v>4644</v>
      </c>
      <c r="C883">
        <v>1.0301</v>
      </c>
      <c r="D883" s="1">
        <v>41456</v>
      </c>
      <c r="E883" s="9">
        <f t="shared" si="28"/>
        <v>2014</v>
      </c>
      <c r="F883" t="str">
        <f t="shared" si="29"/>
        <v>WBEC</v>
      </c>
    </row>
    <row r="884" spans="1:6">
      <c r="A884" t="s">
        <v>4645</v>
      </c>
      <c r="B884" t="s">
        <v>4646</v>
      </c>
      <c r="C884">
        <v>1.032</v>
      </c>
      <c r="D884" s="1">
        <v>41456</v>
      </c>
      <c r="E884" s="9">
        <f t="shared" si="28"/>
        <v>2014</v>
      </c>
      <c r="F884" t="str">
        <f t="shared" si="29"/>
        <v>WBEL</v>
      </c>
    </row>
    <row r="885" spans="1:6">
      <c r="A885" t="s">
        <v>4647</v>
      </c>
      <c r="B885" t="s">
        <v>4939</v>
      </c>
      <c r="C885">
        <v>1.0081</v>
      </c>
      <c r="D885" s="1">
        <v>41456</v>
      </c>
      <c r="E885" s="9">
        <f t="shared" si="28"/>
        <v>2014</v>
      </c>
      <c r="F885" t="str">
        <f t="shared" si="29"/>
        <v>WBGM</v>
      </c>
    </row>
    <row r="886" spans="1:6">
      <c r="A886" t="s">
        <v>4649</v>
      </c>
      <c r="B886" t="s">
        <v>4650</v>
      </c>
      <c r="C886">
        <v>1.0236000000000001</v>
      </c>
      <c r="D886" s="1">
        <v>41456</v>
      </c>
      <c r="E886" s="9">
        <f t="shared" si="28"/>
        <v>2014</v>
      </c>
      <c r="F886" t="str">
        <f t="shared" si="29"/>
        <v>WBHK</v>
      </c>
    </row>
    <row r="887" spans="1:6">
      <c r="A887" t="s">
        <v>4651</v>
      </c>
      <c r="B887" t="s">
        <v>4652</v>
      </c>
      <c r="C887">
        <v>1.0311999999999999</v>
      </c>
      <c r="D887" s="1">
        <v>41456</v>
      </c>
      <c r="E887" s="9">
        <f t="shared" si="28"/>
        <v>2014</v>
      </c>
      <c r="F887" t="str">
        <f t="shared" si="29"/>
        <v>WBIB</v>
      </c>
    </row>
    <row r="888" spans="1:6">
      <c r="A888" t="s">
        <v>4657</v>
      </c>
      <c r="B888" t="s">
        <v>4658</v>
      </c>
      <c r="C888">
        <v>1.0269999999999999</v>
      </c>
      <c r="D888" s="1">
        <v>41456</v>
      </c>
      <c r="E888" s="9">
        <f t="shared" si="28"/>
        <v>2014</v>
      </c>
      <c r="F888" t="str">
        <f t="shared" si="29"/>
        <v>WBNP</v>
      </c>
    </row>
    <row r="889" spans="1:6">
      <c r="A889" t="s">
        <v>4659</v>
      </c>
      <c r="B889" t="s">
        <v>4660</v>
      </c>
      <c r="C889">
        <v>1.0912999999999999</v>
      </c>
      <c r="D889" s="1">
        <v>41456</v>
      </c>
      <c r="E889" s="9">
        <f t="shared" si="28"/>
        <v>2014</v>
      </c>
      <c r="F889" t="str">
        <f t="shared" si="29"/>
        <v>WBNY</v>
      </c>
    </row>
    <row r="890" spans="1:6">
      <c r="A890" t="s">
        <v>4661</v>
      </c>
      <c r="B890" t="s">
        <v>4662</v>
      </c>
      <c r="C890">
        <v>1.0067999999999999</v>
      </c>
      <c r="D890" s="1">
        <v>41456</v>
      </c>
      <c r="E890" s="9">
        <f t="shared" si="28"/>
        <v>2014</v>
      </c>
      <c r="F890" t="str">
        <f t="shared" si="29"/>
        <v>WBOD</v>
      </c>
    </row>
    <row r="891" spans="1:6">
      <c r="A891" t="s">
        <v>4663</v>
      </c>
      <c r="B891" t="s">
        <v>4664</v>
      </c>
      <c r="C891">
        <v>1.0246</v>
      </c>
      <c r="D891" s="1">
        <v>41456</v>
      </c>
      <c r="E891" s="9">
        <f t="shared" si="28"/>
        <v>2014</v>
      </c>
      <c r="F891" t="str">
        <f t="shared" si="29"/>
        <v>WBPM</v>
      </c>
    </row>
    <row r="892" spans="1:6">
      <c r="A892" t="s">
        <v>4665</v>
      </c>
      <c r="B892" t="s">
        <v>4666</v>
      </c>
      <c r="C892">
        <v>1.0121</v>
      </c>
      <c r="D892" s="1">
        <v>41456</v>
      </c>
      <c r="E892" s="9">
        <f t="shared" si="28"/>
        <v>2014</v>
      </c>
      <c r="F892" t="str">
        <f t="shared" si="29"/>
        <v>WBSI</v>
      </c>
    </row>
    <row r="893" spans="1:6">
      <c r="A893" t="s">
        <v>4667</v>
      </c>
      <c r="B893" t="s">
        <v>4668</v>
      </c>
      <c r="C893">
        <v>1.0497000000000001</v>
      </c>
      <c r="D893" s="1">
        <v>41456</v>
      </c>
      <c r="E893" s="9">
        <f t="shared" si="28"/>
        <v>2014</v>
      </c>
      <c r="F893" t="str">
        <f t="shared" si="29"/>
        <v>WBSN</v>
      </c>
    </row>
    <row r="894" spans="1:6">
      <c r="A894" t="s">
        <v>4669</v>
      </c>
      <c r="B894" t="s">
        <v>4670</v>
      </c>
      <c r="C894">
        <v>1.0130999999999999</v>
      </c>
      <c r="D894" s="1">
        <v>41456</v>
      </c>
      <c r="E894" s="9">
        <f t="shared" si="28"/>
        <v>2014</v>
      </c>
      <c r="F894" t="str">
        <f t="shared" si="29"/>
        <v>WBTN</v>
      </c>
    </row>
    <row r="895" spans="1:6">
      <c r="A895" t="s">
        <v>4671</v>
      </c>
      <c r="B895" t="s">
        <v>4672</v>
      </c>
      <c r="C895">
        <v>1.0344</v>
      </c>
      <c r="D895" s="1">
        <v>41456</v>
      </c>
      <c r="E895" s="9">
        <f t="shared" si="28"/>
        <v>2014</v>
      </c>
      <c r="F895" t="str">
        <f t="shared" si="29"/>
        <v>WBTY</v>
      </c>
    </row>
    <row r="896" spans="1:6">
      <c r="A896" t="s">
        <v>4673</v>
      </c>
      <c r="B896" t="s">
        <v>4674</v>
      </c>
      <c r="C896">
        <v>1.016</v>
      </c>
      <c r="D896" s="1">
        <v>41456</v>
      </c>
      <c r="E896" s="9">
        <f t="shared" si="28"/>
        <v>2014</v>
      </c>
      <c r="F896" t="str">
        <f t="shared" si="29"/>
        <v>WBUH</v>
      </c>
    </row>
    <row r="897" spans="1:6">
      <c r="A897" t="s">
        <v>4675</v>
      </c>
      <c r="B897" t="s">
        <v>4676</v>
      </c>
      <c r="C897">
        <v>1.0319</v>
      </c>
      <c r="D897" s="1">
        <v>41456</v>
      </c>
      <c r="E897" s="9">
        <f t="shared" si="28"/>
        <v>2014</v>
      </c>
      <c r="F897" t="str">
        <f t="shared" si="29"/>
        <v>WBYF</v>
      </c>
    </row>
    <row r="898" spans="1:6">
      <c r="A898" t="s">
        <v>4677</v>
      </c>
      <c r="B898" t="s">
        <v>4678</v>
      </c>
      <c r="C898">
        <v>1.0353000000000001</v>
      </c>
      <c r="D898" s="1">
        <v>41456</v>
      </c>
      <c r="E898" s="9">
        <f t="shared" si="28"/>
        <v>2014</v>
      </c>
      <c r="F898" t="str">
        <f t="shared" si="29"/>
        <v>WCAP</v>
      </c>
    </row>
    <row r="899" spans="1:6">
      <c r="A899" t="s">
        <v>4681</v>
      </c>
      <c r="B899" t="s">
        <v>4682</v>
      </c>
      <c r="C899">
        <v>1.0226999999999999</v>
      </c>
      <c r="D899" s="1">
        <v>41456</v>
      </c>
      <c r="E899" s="9">
        <f t="shared" ref="E899:E962" si="30">YEAR(D899)+1</f>
        <v>2014</v>
      </c>
      <c r="F899" t="str">
        <f t="shared" si="29"/>
        <v>WCBP</v>
      </c>
    </row>
    <row r="900" spans="1:6">
      <c r="A900" t="s">
        <v>4683</v>
      </c>
      <c r="B900" t="s">
        <v>4684</v>
      </c>
      <c r="C900">
        <v>1.0259</v>
      </c>
      <c r="D900" s="1">
        <v>41456</v>
      </c>
      <c r="E900" s="9">
        <f t="shared" si="30"/>
        <v>2014</v>
      </c>
      <c r="F900" t="str">
        <f t="shared" si="29"/>
        <v>WCCL</v>
      </c>
    </row>
    <row r="901" spans="1:6">
      <c r="A901" t="s">
        <v>4685</v>
      </c>
      <c r="B901" t="s">
        <v>4574</v>
      </c>
      <c r="C901">
        <v>1.0277000000000001</v>
      </c>
      <c r="D901" s="1">
        <v>41456</v>
      </c>
      <c r="E901" s="9">
        <f t="shared" si="30"/>
        <v>2014</v>
      </c>
      <c r="F901" t="str">
        <f t="shared" si="29"/>
        <v>WCCT</v>
      </c>
    </row>
    <row r="902" spans="1:6">
      <c r="A902" t="s">
        <v>4686</v>
      </c>
      <c r="B902" t="s">
        <v>4687</v>
      </c>
      <c r="C902">
        <v>1.0145999999999999</v>
      </c>
      <c r="D902" s="1">
        <v>41456</v>
      </c>
      <c r="E902" s="9">
        <f t="shared" si="30"/>
        <v>2014</v>
      </c>
      <c r="F902" t="str">
        <f t="shared" si="29"/>
        <v>WCGW</v>
      </c>
    </row>
    <row r="903" spans="1:6">
      <c r="A903" t="s">
        <v>4688</v>
      </c>
      <c r="B903" t="s">
        <v>4689</v>
      </c>
      <c r="C903">
        <v>1.0416000000000001</v>
      </c>
      <c r="D903" s="1">
        <v>41456</v>
      </c>
      <c r="E903" s="9">
        <f t="shared" si="30"/>
        <v>2014</v>
      </c>
      <c r="F903" t="str">
        <f t="shared" si="29"/>
        <v>WCKN</v>
      </c>
    </row>
    <row r="904" spans="1:6">
      <c r="A904" t="s">
        <v>4690</v>
      </c>
      <c r="B904" t="s">
        <v>4691</v>
      </c>
      <c r="C904">
        <v>1.0451999999999999</v>
      </c>
      <c r="D904" s="1">
        <v>41456</v>
      </c>
      <c r="E904" s="9">
        <f t="shared" si="30"/>
        <v>2014</v>
      </c>
      <c r="F904" t="str">
        <f t="shared" si="29"/>
        <v>WCKT</v>
      </c>
    </row>
    <row r="905" spans="1:6">
      <c r="A905" t="s">
        <v>4692</v>
      </c>
      <c r="B905" t="s">
        <v>4693</v>
      </c>
      <c r="C905">
        <v>1.0402</v>
      </c>
      <c r="D905" s="1">
        <v>41456</v>
      </c>
      <c r="E905" s="9">
        <f t="shared" si="30"/>
        <v>2014</v>
      </c>
      <c r="F905" t="str">
        <f t="shared" si="29"/>
        <v>WCLN</v>
      </c>
    </row>
    <row r="906" spans="1:6">
      <c r="A906" t="s">
        <v>4694</v>
      </c>
      <c r="B906" t="s">
        <v>4695</v>
      </c>
      <c r="C906">
        <v>1.0464</v>
      </c>
      <c r="D906" s="1">
        <v>41456</v>
      </c>
      <c r="E906" s="9">
        <f t="shared" si="30"/>
        <v>2014</v>
      </c>
      <c r="F906" t="str">
        <f t="shared" si="29"/>
        <v>WCLP</v>
      </c>
    </row>
    <row r="907" spans="1:6">
      <c r="A907" t="s">
        <v>4696</v>
      </c>
      <c r="B907" t="s">
        <v>4697</v>
      </c>
      <c r="C907">
        <v>1.0198</v>
      </c>
      <c r="D907" s="1">
        <v>41456</v>
      </c>
      <c r="E907" s="9">
        <f t="shared" si="30"/>
        <v>2014</v>
      </c>
      <c r="F907" t="str">
        <f t="shared" si="29"/>
        <v>WCOE</v>
      </c>
    </row>
    <row r="908" spans="1:6">
      <c r="A908" t="s">
        <v>4698</v>
      </c>
      <c r="B908" t="s">
        <v>4699</v>
      </c>
      <c r="C908">
        <v>1.0401</v>
      </c>
      <c r="D908" s="1">
        <v>41456</v>
      </c>
      <c r="E908" s="9">
        <f t="shared" si="30"/>
        <v>2014</v>
      </c>
      <c r="F908" t="str">
        <f t="shared" si="29"/>
        <v>WCOL</v>
      </c>
    </row>
    <row r="909" spans="1:6">
      <c r="A909" t="s">
        <v>4700</v>
      </c>
      <c r="B909" t="s">
        <v>4701</v>
      </c>
      <c r="C909">
        <v>1.052</v>
      </c>
      <c r="D909" s="1">
        <v>41456</v>
      </c>
      <c r="E909" s="9">
        <f t="shared" si="30"/>
        <v>2014</v>
      </c>
      <c r="F909" t="str">
        <f t="shared" si="29"/>
        <v>WCPN</v>
      </c>
    </row>
    <row r="910" spans="1:6">
      <c r="A910" t="s">
        <v>4702</v>
      </c>
      <c r="B910" t="s">
        <v>4703</v>
      </c>
      <c r="C910">
        <v>0.99560000000000004</v>
      </c>
      <c r="D910" s="1">
        <v>41456</v>
      </c>
      <c r="E910" s="9">
        <f t="shared" si="30"/>
        <v>2014</v>
      </c>
      <c r="F910" t="str">
        <f t="shared" si="29"/>
        <v>WCPS</v>
      </c>
    </row>
    <row r="911" spans="1:6">
      <c r="A911" t="s">
        <v>4704</v>
      </c>
      <c r="B911" t="s">
        <v>4705</v>
      </c>
      <c r="C911">
        <v>1.0414000000000001</v>
      </c>
      <c r="D911" s="1">
        <v>41456</v>
      </c>
      <c r="E911" s="9">
        <f t="shared" si="30"/>
        <v>2014</v>
      </c>
      <c r="F911" t="str">
        <f t="shared" si="29"/>
        <v>WCTE</v>
      </c>
    </row>
    <row r="912" spans="1:6">
      <c r="A912" t="s">
        <v>4706</v>
      </c>
      <c r="B912" t="s">
        <v>4707</v>
      </c>
      <c r="C912">
        <v>1.1068</v>
      </c>
      <c r="D912" s="1">
        <v>41456</v>
      </c>
      <c r="E912" s="9">
        <f t="shared" si="30"/>
        <v>2014</v>
      </c>
      <c r="F912" t="str">
        <f t="shared" si="29"/>
        <v>WCUN</v>
      </c>
    </row>
    <row r="913" spans="1:6">
      <c r="A913" t="s">
        <v>4708</v>
      </c>
      <c r="B913" t="s">
        <v>4709</v>
      </c>
      <c r="C913">
        <v>1.0296000000000001</v>
      </c>
      <c r="D913" s="1">
        <v>41456</v>
      </c>
      <c r="E913" s="9">
        <f t="shared" si="30"/>
        <v>2014</v>
      </c>
      <c r="F913" t="str">
        <f t="shared" si="29"/>
        <v>WCVE</v>
      </c>
    </row>
    <row r="914" spans="1:6">
      <c r="A914" t="s">
        <v>4710</v>
      </c>
      <c r="B914" t="s">
        <v>4711</v>
      </c>
      <c r="C914">
        <v>1.0404</v>
      </c>
      <c r="D914" s="1">
        <v>41456</v>
      </c>
      <c r="E914" s="9">
        <f t="shared" si="30"/>
        <v>2014</v>
      </c>
      <c r="F914" t="str">
        <f t="shared" si="29"/>
        <v>WDTN</v>
      </c>
    </row>
    <row r="915" spans="1:6">
      <c r="A915" t="s">
        <v>4714</v>
      </c>
      <c r="B915" t="s">
        <v>4715</v>
      </c>
      <c r="C915">
        <v>1.0394000000000001</v>
      </c>
      <c r="D915" s="1">
        <v>41456</v>
      </c>
      <c r="E915" s="9">
        <f t="shared" si="30"/>
        <v>2014</v>
      </c>
      <c r="F915" t="str">
        <f t="shared" si="29"/>
        <v>WEDD</v>
      </c>
    </row>
    <row r="916" spans="1:6">
      <c r="A916" t="s">
        <v>4716</v>
      </c>
      <c r="B916" t="s">
        <v>4717</v>
      </c>
      <c r="C916">
        <v>1.0454000000000001</v>
      </c>
      <c r="D916" s="1">
        <v>41456</v>
      </c>
      <c r="E916" s="9">
        <f t="shared" si="30"/>
        <v>2014</v>
      </c>
      <c r="F916" t="str">
        <f t="shared" si="29"/>
        <v>WEDG</v>
      </c>
    </row>
    <row r="917" spans="1:6">
      <c r="A917" t="s">
        <v>4718</v>
      </c>
      <c r="B917" t="s">
        <v>4940</v>
      </c>
      <c r="C917">
        <v>0.99370000000000003</v>
      </c>
      <c r="D917" s="1">
        <v>41456</v>
      </c>
      <c r="E917" s="9">
        <f t="shared" si="30"/>
        <v>2014</v>
      </c>
      <c r="F917" t="str">
        <f t="shared" si="29"/>
        <v>WEMD</v>
      </c>
    </row>
    <row r="918" spans="1:6">
      <c r="A918" t="s">
        <v>4720</v>
      </c>
      <c r="B918" t="s">
        <v>4721</v>
      </c>
      <c r="C918">
        <v>1.0374000000000001</v>
      </c>
      <c r="D918" s="1">
        <v>41456</v>
      </c>
      <c r="E918" s="9">
        <f t="shared" si="30"/>
        <v>2014</v>
      </c>
      <c r="F918" t="str">
        <f t="shared" si="29"/>
        <v>WENB</v>
      </c>
    </row>
    <row r="919" spans="1:6">
      <c r="A919" t="s">
        <v>4712</v>
      </c>
      <c r="B919" t="s">
        <v>4713</v>
      </c>
      <c r="C919">
        <v>1.0507</v>
      </c>
      <c r="D919" s="1">
        <v>41456</v>
      </c>
      <c r="E919" s="9">
        <f t="shared" si="30"/>
        <v>2014</v>
      </c>
      <c r="F919" t="str">
        <f t="shared" si="29"/>
        <v>WDUR</v>
      </c>
    </row>
    <row r="920" spans="1:6">
      <c r="A920" t="s">
        <v>4722</v>
      </c>
      <c r="B920" t="s">
        <v>4723</v>
      </c>
      <c r="C920">
        <v>1.0389999999999999</v>
      </c>
      <c r="D920" s="1">
        <v>41456</v>
      </c>
      <c r="E920" s="9">
        <f t="shared" si="30"/>
        <v>2014</v>
      </c>
      <c r="F920" t="str">
        <f t="shared" si="29"/>
        <v>WFFD</v>
      </c>
    </row>
    <row r="921" spans="1:6">
      <c r="A921" t="s">
        <v>4724</v>
      </c>
      <c r="B921" t="s">
        <v>4725</v>
      </c>
      <c r="C921">
        <v>1.0469999999999999</v>
      </c>
      <c r="D921" s="1">
        <v>41456</v>
      </c>
      <c r="E921" s="9">
        <f t="shared" si="30"/>
        <v>2014</v>
      </c>
      <c r="F921" t="str">
        <f t="shared" si="29"/>
        <v>WFRT</v>
      </c>
    </row>
    <row r="922" spans="1:6">
      <c r="A922" t="s">
        <v>4726</v>
      </c>
      <c r="B922" t="s">
        <v>4727</v>
      </c>
      <c r="C922">
        <v>1.0731999999999999</v>
      </c>
      <c r="D922" s="1">
        <v>41456</v>
      </c>
      <c r="E922" s="9">
        <f t="shared" si="30"/>
        <v>2014</v>
      </c>
      <c r="F922" t="str">
        <f t="shared" si="29"/>
        <v>WGGV</v>
      </c>
    </row>
    <row r="923" spans="1:6">
      <c r="A923" t="s">
        <v>4728</v>
      </c>
      <c r="B923" t="s">
        <v>4729</v>
      </c>
      <c r="C923">
        <v>1.0261</v>
      </c>
      <c r="D923" s="1">
        <v>41456</v>
      </c>
      <c r="E923" s="9">
        <f t="shared" si="30"/>
        <v>2014</v>
      </c>
      <c r="F923" t="str">
        <f t="shared" si="29"/>
        <v>WGNI</v>
      </c>
    </row>
    <row r="924" spans="1:6">
      <c r="A924" t="s">
        <v>4730</v>
      </c>
      <c r="B924" t="s">
        <v>4731</v>
      </c>
      <c r="C924">
        <v>1.0306</v>
      </c>
      <c r="D924" s="1">
        <v>41456</v>
      </c>
      <c r="E924" s="9">
        <f t="shared" si="30"/>
        <v>2014</v>
      </c>
      <c r="F924" t="str">
        <f t="shared" si="29"/>
        <v>WGNL</v>
      </c>
    </row>
    <row r="925" spans="1:6">
      <c r="A925" t="s">
        <v>4732</v>
      </c>
      <c r="B925" t="s">
        <v>4733</v>
      </c>
      <c r="C925">
        <v>1.0379</v>
      </c>
      <c r="D925" s="1">
        <v>41456</v>
      </c>
      <c r="E925" s="9">
        <f t="shared" si="30"/>
        <v>2014</v>
      </c>
      <c r="F925" t="str">
        <f t="shared" si="29"/>
        <v>WGNN</v>
      </c>
    </row>
    <row r="926" spans="1:6">
      <c r="A926" t="s">
        <v>4734</v>
      </c>
      <c r="B926" t="s">
        <v>4735</v>
      </c>
      <c r="C926">
        <v>1.0507</v>
      </c>
      <c r="D926" s="1">
        <v>41456</v>
      </c>
      <c r="E926" s="9">
        <f t="shared" si="30"/>
        <v>2014</v>
      </c>
      <c r="F926" t="str">
        <f t="shared" si="29"/>
        <v>WGTN</v>
      </c>
    </row>
    <row r="927" spans="1:6">
      <c r="A927" t="s">
        <v>4736</v>
      </c>
      <c r="B927" t="s">
        <v>4737</v>
      </c>
      <c r="C927">
        <v>1.0450999999999999</v>
      </c>
      <c r="D927" s="1">
        <v>41456</v>
      </c>
      <c r="E927" s="9">
        <f t="shared" si="30"/>
        <v>2014</v>
      </c>
      <c r="F927" t="str">
        <f t="shared" si="29"/>
        <v>WHAY</v>
      </c>
    </row>
    <row r="928" spans="1:6">
      <c r="A928" t="s">
        <v>4738</v>
      </c>
      <c r="B928" t="s">
        <v>4739</v>
      </c>
      <c r="C928">
        <v>1.0414000000000001</v>
      </c>
      <c r="D928" s="1">
        <v>41456</v>
      </c>
      <c r="E928" s="9">
        <f t="shared" si="30"/>
        <v>2014</v>
      </c>
      <c r="F928" t="str">
        <f t="shared" si="29"/>
        <v>WHBK</v>
      </c>
    </row>
    <row r="929" spans="1:6">
      <c r="A929" t="s">
        <v>4740</v>
      </c>
      <c r="B929" t="s">
        <v>4741</v>
      </c>
      <c r="C929">
        <v>1.0485</v>
      </c>
      <c r="D929" s="1">
        <v>41456</v>
      </c>
      <c r="E929" s="9">
        <f t="shared" si="30"/>
        <v>2014</v>
      </c>
      <c r="F929" t="str">
        <f t="shared" si="29"/>
        <v>WHEP</v>
      </c>
    </row>
    <row r="930" spans="1:6">
      <c r="A930" t="s">
        <v>4742</v>
      </c>
      <c r="B930" t="s">
        <v>4743</v>
      </c>
      <c r="C930">
        <v>1.0431999999999999</v>
      </c>
      <c r="D930" s="1">
        <v>41456</v>
      </c>
      <c r="E930" s="9">
        <f t="shared" si="30"/>
        <v>2014</v>
      </c>
      <c r="F930" t="str">
        <f t="shared" si="29"/>
        <v>WHFS</v>
      </c>
    </row>
    <row r="931" spans="1:6">
      <c r="A931" t="s">
        <v>4744</v>
      </c>
      <c r="B931" t="s">
        <v>4941</v>
      </c>
      <c r="C931">
        <v>1.0226</v>
      </c>
      <c r="D931" s="1">
        <v>41456</v>
      </c>
      <c r="E931" s="9">
        <f t="shared" si="30"/>
        <v>2014</v>
      </c>
      <c r="F931" t="str">
        <f t="shared" si="29"/>
        <v>WHIS</v>
      </c>
    </row>
    <row r="932" spans="1:6">
      <c r="A932" t="s">
        <v>4746</v>
      </c>
      <c r="B932" t="s">
        <v>4747</v>
      </c>
      <c r="C932">
        <v>1.036</v>
      </c>
      <c r="D932" s="1">
        <v>41456</v>
      </c>
      <c r="E932" s="9">
        <f t="shared" si="30"/>
        <v>2014</v>
      </c>
      <c r="F932" t="str">
        <f t="shared" si="29"/>
        <v>WHZM</v>
      </c>
    </row>
    <row r="933" spans="1:6">
      <c r="A933" t="s">
        <v>4748</v>
      </c>
      <c r="B933" t="s">
        <v>4749</v>
      </c>
      <c r="C933">
        <v>1.0424</v>
      </c>
      <c r="D933" s="1">
        <v>41456</v>
      </c>
      <c r="E933" s="9">
        <f t="shared" si="30"/>
        <v>2014</v>
      </c>
      <c r="F933" t="str">
        <f t="shared" si="29"/>
        <v>WJDP</v>
      </c>
    </row>
    <row r="934" spans="1:6">
      <c r="A934" t="s">
        <v>4750</v>
      </c>
      <c r="B934" t="s">
        <v>4751</v>
      </c>
      <c r="C934">
        <v>1.0450999999999999</v>
      </c>
      <c r="D934" s="1">
        <v>41456</v>
      </c>
      <c r="E934" s="9">
        <f t="shared" si="30"/>
        <v>2014</v>
      </c>
      <c r="F934" t="str">
        <f t="shared" si="29"/>
        <v>WJTE</v>
      </c>
    </row>
    <row r="935" spans="1:6">
      <c r="A935" t="s">
        <v>4752</v>
      </c>
      <c r="B935" t="s">
        <v>4753</v>
      </c>
      <c r="C935">
        <v>1.026</v>
      </c>
      <c r="D935" s="1">
        <v>41456</v>
      </c>
      <c r="E935" s="9">
        <f t="shared" si="30"/>
        <v>2014</v>
      </c>
      <c r="F935" t="str">
        <f t="shared" si="29"/>
        <v>WKAT</v>
      </c>
    </row>
    <row r="936" spans="1:6">
      <c r="A936" t="s">
        <v>4754</v>
      </c>
      <c r="B936" t="s">
        <v>4450</v>
      </c>
      <c r="C936">
        <v>1.0411999999999999</v>
      </c>
      <c r="D936" s="1">
        <v>41456</v>
      </c>
      <c r="E936" s="9">
        <f t="shared" si="30"/>
        <v>2014</v>
      </c>
      <c r="F936" t="str">
        <f t="shared" si="29"/>
        <v>WKDA</v>
      </c>
    </row>
    <row r="937" spans="1:6">
      <c r="A937" t="s">
        <v>4755</v>
      </c>
      <c r="B937" t="s">
        <v>4756</v>
      </c>
      <c r="C937">
        <v>1.0318000000000001</v>
      </c>
      <c r="D937" s="1">
        <v>41456</v>
      </c>
      <c r="E937" s="9">
        <f t="shared" si="30"/>
        <v>2014</v>
      </c>
      <c r="F937" t="str">
        <f t="shared" si="29"/>
        <v>WKDL</v>
      </c>
    </row>
    <row r="938" spans="1:6">
      <c r="A938" t="s">
        <v>4757</v>
      </c>
      <c r="B938" t="s">
        <v>4758</v>
      </c>
      <c r="C938">
        <v>1.0620000000000001</v>
      </c>
      <c r="D938" s="1">
        <v>41456</v>
      </c>
      <c r="E938" s="9">
        <f t="shared" si="30"/>
        <v>2014</v>
      </c>
      <c r="F938" t="str">
        <f t="shared" si="29"/>
        <v>WKDN</v>
      </c>
    </row>
    <row r="939" spans="1:6">
      <c r="A939" t="s">
        <v>4759</v>
      </c>
      <c r="B939" t="s">
        <v>4760</v>
      </c>
      <c r="C939">
        <v>1.0223</v>
      </c>
      <c r="D939" s="1">
        <v>41456</v>
      </c>
      <c r="E939" s="9">
        <f t="shared" si="30"/>
        <v>2014</v>
      </c>
      <c r="F939" t="str">
        <f t="shared" si="29"/>
        <v>WKDP</v>
      </c>
    </row>
    <row r="940" spans="1:6">
      <c r="A940" t="s">
        <v>4763</v>
      </c>
      <c r="B940" t="s">
        <v>4764</v>
      </c>
      <c r="C940">
        <v>1.0079</v>
      </c>
      <c r="D940" s="1">
        <v>41456</v>
      </c>
      <c r="E940" s="9">
        <f t="shared" si="30"/>
        <v>2014</v>
      </c>
      <c r="F940" t="str">
        <f t="shared" si="29"/>
        <v>WKEM</v>
      </c>
    </row>
    <row r="941" spans="1:6">
      <c r="A941" t="s">
        <v>4765</v>
      </c>
      <c r="B941" t="s">
        <v>4766</v>
      </c>
      <c r="C941">
        <v>1.0362</v>
      </c>
      <c r="D941" s="1">
        <v>41456</v>
      </c>
      <c r="E941" s="9">
        <f t="shared" si="30"/>
        <v>2014</v>
      </c>
      <c r="F941" t="str">
        <f t="shared" si="29"/>
        <v>WKMC</v>
      </c>
    </row>
    <row r="942" spans="1:6">
      <c r="A942" t="s">
        <v>4767</v>
      </c>
      <c r="B942" t="s">
        <v>4942</v>
      </c>
      <c r="C942">
        <v>1.0202</v>
      </c>
      <c r="D942" s="1">
        <v>41456</v>
      </c>
      <c r="E942" s="9">
        <f t="shared" si="30"/>
        <v>2014</v>
      </c>
      <c r="F942" t="str">
        <f t="shared" si="29"/>
        <v>WKMK</v>
      </c>
    </row>
    <row r="943" spans="1:6">
      <c r="A943" t="s">
        <v>4769</v>
      </c>
      <c r="B943" t="s">
        <v>4770</v>
      </c>
      <c r="C943">
        <v>1.0367999999999999</v>
      </c>
      <c r="D943" s="1">
        <v>41456</v>
      </c>
      <c r="E943" s="9">
        <f t="shared" si="30"/>
        <v>2014</v>
      </c>
      <c r="F943" t="str">
        <f t="shared" si="29"/>
        <v>WKMM</v>
      </c>
    </row>
    <row r="944" spans="1:6">
      <c r="A944" t="s">
        <v>4771</v>
      </c>
      <c r="B944" t="s">
        <v>4772</v>
      </c>
      <c r="C944">
        <v>1.0204</v>
      </c>
      <c r="D944" s="1">
        <v>41456</v>
      </c>
      <c r="E944" s="9">
        <f t="shared" si="30"/>
        <v>2014</v>
      </c>
      <c r="F944" t="str">
        <f t="shared" ref="F944:F1007" si="31">A944</f>
        <v>WKND</v>
      </c>
    </row>
    <row r="945" spans="1:6">
      <c r="A945" t="s">
        <v>4773</v>
      </c>
      <c r="B945" t="s">
        <v>4774</v>
      </c>
      <c r="C945">
        <v>1.0283</v>
      </c>
      <c r="D945" s="1">
        <v>41456</v>
      </c>
      <c r="E945" s="9">
        <f t="shared" si="30"/>
        <v>2014</v>
      </c>
      <c r="F945" t="str">
        <f t="shared" si="31"/>
        <v>WKOJ</v>
      </c>
    </row>
    <row r="946" spans="1:6">
      <c r="A946" t="s">
        <v>4775</v>
      </c>
      <c r="B946" t="s">
        <v>4776</v>
      </c>
      <c r="C946">
        <v>1.0201</v>
      </c>
      <c r="D946" s="1">
        <v>41456</v>
      </c>
      <c r="E946" s="9">
        <f t="shared" si="30"/>
        <v>2014</v>
      </c>
      <c r="F946" t="str">
        <f t="shared" si="31"/>
        <v>WKPS</v>
      </c>
    </row>
    <row r="947" spans="1:6">
      <c r="A947" t="s">
        <v>4777</v>
      </c>
      <c r="B947" t="s">
        <v>4778</v>
      </c>
      <c r="C947">
        <v>1.0443</v>
      </c>
      <c r="D947" s="1">
        <v>41456</v>
      </c>
      <c r="E947" s="9">
        <f t="shared" si="30"/>
        <v>2014</v>
      </c>
      <c r="F947" t="str">
        <f t="shared" si="31"/>
        <v>WLDE</v>
      </c>
    </row>
    <row r="948" spans="1:6">
      <c r="A948" t="s">
        <v>4779</v>
      </c>
      <c r="B948" t="s">
        <v>4780</v>
      </c>
      <c r="C948">
        <v>1.0447</v>
      </c>
      <c r="D948" s="1">
        <v>41456</v>
      </c>
      <c r="E948" s="9">
        <f t="shared" si="30"/>
        <v>2014</v>
      </c>
      <c r="F948" t="str">
        <f t="shared" si="31"/>
        <v>WMAG</v>
      </c>
    </row>
    <row r="949" spans="1:6">
      <c r="A949" t="s">
        <v>4781</v>
      </c>
      <c r="B949" t="s">
        <v>4782</v>
      </c>
      <c r="C949">
        <v>1.0666</v>
      </c>
      <c r="D949" s="1">
        <v>41456</v>
      </c>
      <c r="E949" s="9">
        <f t="shared" si="30"/>
        <v>2014</v>
      </c>
      <c r="F949" t="str">
        <f t="shared" si="31"/>
        <v>WMBR</v>
      </c>
    </row>
    <row r="950" spans="1:6">
      <c r="A950" t="s">
        <v>4783</v>
      </c>
      <c r="B950" t="s">
        <v>4784</v>
      </c>
      <c r="C950">
        <v>1.0465</v>
      </c>
      <c r="D950" s="1">
        <v>41456</v>
      </c>
      <c r="E950" s="9">
        <f t="shared" si="30"/>
        <v>2014</v>
      </c>
      <c r="F950" t="str">
        <f t="shared" si="31"/>
        <v>WMCR</v>
      </c>
    </row>
    <row r="951" spans="1:6">
      <c r="A951" t="s">
        <v>4785</v>
      </c>
      <c r="B951" t="s">
        <v>4786</v>
      </c>
      <c r="C951">
        <v>1.0305</v>
      </c>
      <c r="D951" s="1">
        <v>41456</v>
      </c>
      <c r="E951" s="9">
        <f t="shared" si="30"/>
        <v>2014</v>
      </c>
      <c r="F951" t="str">
        <f t="shared" si="31"/>
        <v>WMDN</v>
      </c>
    </row>
    <row r="952" spans="1:6">
      <c r="A952" t="s">
        <v>4789</v>
      </c>
      <c r="B952" t="s">
        <v>4790</v>
      </c>
      <c r="C952">
        <v>1.0274000000000001</v>
      </c>
      <c r="D952" s="1">
        <v>41456</v>
      </c>
      <c r="E952" s="9">
        <f t="shared" si="30"/>
        <v>2014</v>
      </c>
      <c r="F952" t="str">
        <f t="shared" si="31"/>
        <v>WMED</v>
      </c>
    </row>
    <row r="953" spans="1:6">
      <c r="A953" t="s">
        <v>4793</v>
      </c>
      <c r="B953" t="s">
        <v>4794</v>
      </c>
      <c r="C953">
        <v>1.0353000000000001</v>
      </c>
      <c r="D953" s="1">
        <v>41456</v>
      </c>
      <c r="E953" s="9">
        <f t="shared" si="30"/>
        <v>2014</v>
      </c>
      <c r="F953" t="str">
        <f t="shared" si="31"/>
        <v>WMGA</v>
      </c>
    </row>
    <row r="954" spans="1:6">
      <c r="A954" t="s">
        <v>4795</v>
      </c>
      <c r="B954" t="s">
        <v>4796</v>
      </c>
      <c r="C954">
        <v>1.0275000000000001</v>
      </c>
      <c r="D954" s="1">
        <v>41456</v>
      </c>
      <c r="E954" s="9">
        <f t="shared" si="30"/>
        <v>2014</v>
      </c>
      <c r="F954" t="str">
        <f t="shared" si="31"/>
        <v>WMHA</v>
      </c>
    </row>
    <row r="955" spans="1:6">
      <c r="A955" t="s">
        <v>4797</v>
      </c>
      <c r="B955" t="s">
        <v>4798</v>
      </c>
      <c r="C955">
        <v>1.0444</v>
      </c>
      <c r="D955" s="1">
        <v>41456</v>
      </c>
      <c r="E955" s="9">
        <f t="shared" si="30"/>
        <v>2014</v>
      </c>
      <c r="F955" t="str">
        <f t="shared" si="31"/>
        <v>WMIL</v>
      </c>
    </row>
    <row r="956" spans="1:6">
      <c r="A956" t="s">
        <v>4799</v>
      </c>
      <c r="B956" t="s">
        <v>4800</v>
      </c>
      <c r="C956">
        <v>1.0192000000000001</v>
      </c>
      <c r="D956" s="1">
        <v>41456</v>
      </c>
      <c r="E956" s="9">
        <f t="shared" si="30"/>
        <v>2014</v>
      </c>
      <c r="F956" t="str">
        <f t="shared" si="31"/>
        <v>WMJP</v>
      </c>
    </row>
    <row r="957" spans="1:6">
      <c r="A957" t="s">
        <v>4801</v>
      </c>
      <c r="B957" t="s">
        <v>4802</v>
      </c>
      <c r="C957">
        <v>1.0367999999999999</v>
      </c>
      <c r="D957" s="1">
        <v>41456</v>
      </c>
      <c r="E957" s="9">
        <f t="shared" si="30"/>
        <v>2014</v>
      </c>
      <c r="F957" t="str">
        <f t="shared" si="31"/>
        <v>WMJX</v>
      </c>
    </row>
    <row r="958" spans="1:6">
      <c r="A958" t="s">
        <v>4803</v>
      </c>
      <c r="B958" t="s">
        <v>4804</v>
      </c>
      <c r="C958">
        <v>1.0395000000000001</v>
      </c>
      <c r="D958" s="1">
        <v>41456</v>
      </c>
      <c r="E958" s="9">
        <f t="shared" si="30"/>
        <v>2014</v>
      </c>
      <c r="F958" t="str">
        <f t="shared" si="31"/>
        <v>WMLG</v>
      </c>
    </row>
    <row r="959" spans="1:6">
      <c r="A959" t="s">
        <v>4805</v>
      </c>
      <c r="B959" t="s">
        <v>4806</v>
      </c>
      <c r="C959">
        <v>1.0539000000000001</v>
      </c>
      <c r="D959" s="1">
        <v>41456</v>
      </c>
      <c r="E959" s="9">
        <f t="shared" si="30"/>
        <v>2014</v>
      </c>
      <c r="F959" t="str">
        <f t="shared" si="31"/>
        <v>WMOR</v>
      </c>
    </row>
    <row r="960" spans="1:6">
      <c r="A960" t="s">
        <v>4807</v>
      </c>
      <c r="B960" t="s">
        <v>4808</v>
      </c>
      <c r="C960">
        <v>1.0441</v>
      </c>
      <c r="D960" s="1">
        <v>41456</v>
      </c>
      <c r="E960" s="9">
        <f t="shared" si="30"/>
        <v>2014</v>
      </c>
      <c r="F960" t="str">
        <f t="shared" si="31"/>
        <v>WMOY</v>
      </c>
    </row>
    <row r="961" spans="1:6">
      <c r="A961" t="s">
        <v>4809</v>
      </c>
      <c r="B961" t="s">
        <v>4810</v>
      </c>
      <c r="C961">
        <v>1</v>
      </c>
      <c r="D961" s="1">
        <v>41456</v>
      </c>
      <c r="E961" s="9">
        <f t="shared" si="30"/>
        <v>2014</v>
      </c>
      <c r="F961" t="str">
        <f t="shared" si="31"/>
        <v>WMPS</v>
      </c>
    </row>
    <row r="962" spans="1:6">
      <c r="A962" t="s">
        <v>4811</v>
      </c>
      <c r="B962" t="s">
        <v>4812</v>
      </c>
      <c r="C962">
        <v>1.0104</v>
      </c>
      <c r="D962" s="1">
        <v>41456</v>
      </c>
      <c r="E962" s="9">
        <f t="shared" si="30"/>
        <v>2014</v>
      </c>
      <c r="F962" t="str">
        <f t="shared" si="31"/>
        <v>WMRR</v>
      </c>
    </row>
    <row r="963" spans="1:6">
      <c r="A963" t="s">
        <v>4813</v>
      </c>
      <c r="B963" t="s">
        <v>4814</v>
      </c>
      <c r="C963">
        <v>1.0851</v>
      </c>
      <c r="D963" s="1">
        <v>41456</v>
      </c>
      <c r="E963" s="9">
        <f t="shared" ref="E963:E1026" si="32">YEAR(D963)+1</f>
        <v>2014</v>
      </c>
      <c r="F963" t="str">
        <f t="shared" si="31"/>
        <v>WMRV</v>
      </c>
    </row>
    <row r="964" spans="1:6">
      <c r="A964" t="s">
        <v>4815</v>
      </c>
      <c r="B964" t="s">
        <v>4816</v>
      </c>
      <c r="C964">
        <v>1.0216000000000001</v>
      </c>
      <c r="D964" s="1">
        <v>41456</v>
      </c>
      <c r="E964" s="9">
        <f t="shared" si="32"/>
        <v>2014</v>
      </c>
      <c r="F964" t="str">
        <f t="shared" si="31"/>
        <v>WMSR</v>
      </c>
    </row>
    <row r="965" spans="1:6">
      <c r="A965" t="s">
        <v>4817</v>
      </c>
      <c r="B965" t="s">
        <v>4818</v>
      </c>
      <c r="C965">
        <v>1.0268999999999999</v>
      </c>
      <c r="D965" s="1">
        <v>41456</v>
      </c>
      <c r="E965" s="9">
        <f t="shared" si="32"/>
        <v>2014</v>
      </c>
      <c r="F965" t="str">
        <f t="shared" si="31"/>
        <v>WMSS</v>
      </c>
    </row>
    <row r="966" spans="1:6">
      <c r="A966" t="s">
        <v>4819</v>
      </c>
      <c r="B966" t="s">
        <v>4820</v>
      </c>
      <c r="C966">
        <v>1.0386</v>
      </c>
      <c r="D966" s="1">
        <v>41456</v>
      </c>
      <c r="E966" s="9">
        <f t="shared" si="32"/>
        <v>2014</v>
      </c>
      <c r="F966" t="str">
        <f t="shared" si="31"/>
        <v>WMUC</v>
      </c>
    </row>
    <row r="967" spans="1:6">
      <c r="A967" t="s">
        <v>4821</v>
      </c>
      <c r="B967" t="s">
        <v>4822</v>
      </c>
      <c r="C967">
        <v>1.0436000000000001</v>
      </c>
      <c r="D967" s="1">
        <v>41456</v>
      </c>
      <c r="E967" s="9">
        <f t="shared" si="32"/>
        <v>2014</v>
      </c>
      <c r="F967" t="str">
        <f t="shared" si="31"/>
        <v>WMUL</v>
      </c>
    </row>
    <row r="968" spans="1:6">
      <c r="A968" t="s">
        <v>4823</v>
      </c>
      <c r="B968" t="s">
        <v>4824</v>
      </c>
      <c r="C968">
        <v>1.0278</v>
      </c>
      <c r="D968" s="1">
        <v>41456</v>
      </c>
      <c r="E968" s="9">
        <f t="shared" si="32"/>
        <v>2014</v>
      </c>
      <c r="F968" t="str">
        <f t="shared" si="31"/>
        <v>WMUR</v>
      </c>
    </row>
    <row r="969" spans="1:6">
      <c r="A969" t="s">
        <v>4825</v>
      </c>
      <c r="B969" t="s">
        <v>4826</v>
      </c>
      <c r="C969">
        <v>1.0491999999999999</v>
      </c>
      <c r="D969" s="1">
        <v>41456</v>
      </c>
      <c r="E969" s="9">
        <f t="shared" si="32"/>
        <v>2014</v>
      </c>
      <c r="F969" t="str">
        <f t="shared" si="31"/>
        <v>WMWR</v>
      </c>
    </row>
    <row r="970" spans="1:6">
      <c r="A970" t="s">
        <v>4827</v>
      </c>
      <c r="B970" t="s">
        <v>4828</v>
      </c>
      <c r="C970">
        <v>1.0450999999999999</v>
      </c>
      <c r="D970" s="1">
        <v>41456</v>
      </c>
      <c r="E970" s="9">
        <f t="shared" si="32"/>
        <v>2014</v>
      </c>
      <c r="F970" t="str">
        <f t="shared" si="31"/>
        <v>WMYR</v>
      </c>
    </row>
    <row r="971" spans="1:6">
      <c r="A971" t="s">
        <v>4829</v>
      </c>
      <c r="B971" t="s">
        <v>4830</v>
      </c>
      <c r="C971">
        <v>1.0448</v>
      </c>
      <c r="D971" s="1">
        <v>41456</v>
      </c>
      <c r="E971" s="9">
        <f t="shared" si="32"/>
        <v>2014</v>
      </c>
      <c r="F971" t="str">
        <f t="shared" si="31"/>
        <v>WNBH</v>
      </c>
    </row>
    <row r="972" spans="1:6">
      <c r="A972" t="s">
        <v>4831</v>
      </c>
      <c r="B972" t="s">
        <v>4832</v>
      </c>
      <c r="C972">
        <v>1.0470999999999999</v>
      </c>
      <c r="D972" s="1">
        <v>41456</v>
      </c>
      <c r="E972" s="9">
        <f t="shared" si="32"/>
        <v>2014</v>
      </c>
      <c r="F972" t="str">
        <f t="shared" si="31"/>
        <v>WNED</v>
      </c>
    </row>
    <row r="973" spans="1:6">
      <c r="A973" t="s">
        <v>4833</v>
      </c>
      <c r="B973" t="s">
        <v>4834</v>
      </c>
      <c r="C973">
        <v>1.0403</v>
      </c>
      <c r="D973" s="1">
        <v>41456</v>
      </c>
      <c r="E973" s="9">
        <f t="shared" si="32"/>
        <v>2014</v>
      </c>
      <c r="F973" t="str">
        <f t="shared" si="31"/>
        <v>WNFL</v>
      </c>
    </row>
    <row r="974" spans="1:6">
      <c r="A974" t="s">
        <v>4835</v>
      </c>
      <c r="B974" t="s">
        <v>4581</v>
      </c>
      <c r="C974">
        <v>1.0224</v>
      </c>
      <c r="D974" s="1">
        <v>41456</v>
      </c>
      <c r="E974" s="9">
        <f t="shared" si="32"/>
        <v>2014</v>
      </c>
      <c r="F974" t="str">
        <f t="shared" si="31"/>
        <v>WNGK</v>
      </c>
    </row>
    <row r="975" spans="1:6">
      <c r="A975" t="s">
        <v>4836</v>
      </c>
      <c r="B975" t="s">
        <v>4837</v>
      </c>
      <c r="C975">
        <v>1.0494000000000001</v>
      </c>
      <c r="D975" s="1">
        <v>41456</v>
      </c>
      <c r="E975" s="9">
        <f t="shared" si="32"/>
        <v>2014</v>
      </c>
      <c r="F975" t="str">
        <f t="shared" si="31"/>
        <v>WNGN</v>
      </c>
    </row>
    <row r="976" spans="1:6">
      <c r="A976" t="s">
        <v>4838</v>
      </c>
      <c r="B976" t="s">
        <v>4839</v>
      </c>
      <c r="C976">
        <v>1.0651999999999999</v>
      </c>
      <c r="D976" s="1">
        <v>41456</v>
      </c>
      <c r="E976" s="9">
        <f t="shared" si="32"/>
        <v>2014</v>
      </c>
      <c r="F976" t="str">
        <f t="shared" si="31"/>
        <v>WNOR</v>
      </c>
    </row>
    <row r="977" spans="1:6">
      <c r="A977" t="s">
        <v>4842</v>
      </c>
      <c r="B977" t="s">
        <v>4843</v>
      </c>
      <c r="C977">
        <v>1.0452999999999999</v>
      </c>
      <c r="D977" s="1">
        <v>41456</v>
      </c>
      <c r="E977" s="9">
        <f t="shared" si="32"/>
        <v>2014</v>
      </c>
      <c r="F977" t="str">
        <f t="shared" si="31"/>
        <v>WNPH</v>
      </c>
    </row>
    <row r="978" spans="1:6">
      <c r="A978" t="s">
        <v>4844</v>
      </c>
      <c r="B978" t="s">
        <v>4845</v>
      </c>
      <c r="C978">
        <v>1.0432999999999999</v>
      </c>
      <c r="D978" s="1">
        <v>41456</v>
      </c>
      <c r="E978" s="9">
        <f t="shared" si="32"/>
        <v>2014</v>
      </c>
      <c r="F978" t="str">
        <f t="shared" si="31"/>
        <v>WOCN</v>
      </c>
    </row>
    <row r="979" spans="1:6">
      <c r="A979" t="s">
        <v>4846</v>
      </c>
      <c r="B979" t="s">
        <v>4847</v>
      </c>
      <c r="C979">
        <v>1.0445</v>
      </c>
      <c r="D979" s="1">
        <v>41456</v>
      </c>
      <c r="E979" s="9">
        <f t="shared" si="32"/>
        <v>2014</v>
      </c>
      <c r="F979" t="str">
        <f t="shared" si="31"/>
        <v>WOPK</v>
      </c>
    </row>
    <row r="980" spans="1:6">
      <c r="A980" t="s">
        <v>4848</v>
      </c>
      <c r="B980" t="s">
        <v>4849</v>
      </c>
      <c r="C980">
        <v>1.0451999999999999</v>
      </c>
      <c r="D980" s="1">
        <v>41456</v>
      </c>
      <c r="E980" s="9">
        <f t="shared" si="32"/>
        <v>2014</v>
      </c>
      <c r="F980" t="str">
        <f t="shared" si="31"/>
        <v>WPBY</v>
      </c>
    </row>
    <row r="981" spans="1:6">
      <c r="A981" t="s">
        <v>4852</v>
      </c>
      <c r="B981" t="s">
        <v>4853</v>
      </c>
      <c r="C981">
        <v>1.0157</v>
      </c>
      <c r="D981" s="1">
        <v>41456</v>
      </c>
      <c r="E981" s="9">
        <f t="shared" si="32"/>
        <v>2014</v>
      </c>
      <c r="F981" t="str">
        <f t="shared" si="31"/>
        <v>WPIC</v>
      </c>
    </row>
    <row r="982" spans="1:6">
      <c r="A982" t="s">
        <v>4854</v>
      </c>
      <c r="B982" t="s">
        <v>4855</v>
      </c>
      <c r="C982">
        <v>1.0311999999999999</v>
      </c>
      <c r="D982" s="1">
        <v>41456</v>
      </c>
      <c r="E982" s="9">
        <f t="shared" si="32"/>
        <v>2014</v>
      </c>
      <c r="F982" t="str">
        <f t="shared" si="31"/>
        <v>WPJR</v>
      </c>
    </row>
    <row r="983" spans="1:6">
      <c r="A983" t="s">
        <v>4858</v>
      </c>
      <c r="B983" t="s">
        <v>4859</v>
      </c>
      <c r="C983">
        <v>1.0263</v>
      </c>
      <c r="D983" s="1">
        <v>41456</v>
      </c>
      <c r="E983" s="9">
        <f t="shared" si="32"/>
        <v>2014</v>
      </c>
      <c r="F983" t="str">
        <f t="shared" si="31"/>
        <v>WPLD</v>
      </c>
    </row>
    <row r="984" spans="1:6">
      <c r="A984" t="s">
        <v>4860</v>
      </c>
      <c r="B984" t="s">
        <v>4861</v>
      </c>
      <c r="C984">
        <v>1.0184</v>
      </c>
      <c r="D984" s="1">
        <v>41456</v>
      </c>
      <c r="E984" s="9">
        <f t="shared" si="32"/>
        <v>2014</v>
      </c>
      <c r="F984" t="str">
        <f t="shared" si="31"/>
        <v>WPNJ</v>
      </c>
    </row>
    <row r="985" spans="1:6">
      <c r="A985" t="s">
        <v>4862</v>
      </c>
      <c r="B985" t="s">
        <v>4863</v>
      </c>
      <c r="C985">
        <v>1.0510999999999999</v>
      </c>
      <c r="D985" s="1">
        <v>41456</v>
      </c>
      <c r="E985" s="9">
        <f t="shared" si="32"/>
        <v>2014</v>
      </c>
      <c r="F985" t="str">
        <f t="shared" si="31"/>
        <v>WRAN</v>
      </c>
    </row>
    <row r="986" spans="1:6">
      <c r="A986" t="s">
        <v>4864</v>
      </c>
      <c r="B986" t="s">
        <v>4865</v>
      </c>
      <c r="C986">
        <v>1.0459000000000001</v>
      </c>
      <c r="D986" s="1">
        <v>41456</v>
      </c>
      <c r="E986" s="9">
        <f t="shared" si="32"/>
        <v>2014</v>
      </c>
      <c r="F986" t="str">
        <f t="shared" si="31"/>
        <v>WRGN</v>
      </c>
    </row>
    <row r="987" spans="1:6">
      <c r="A987" t="s">
        <v>4866</v>
      </c>
      <c r="B987" t="s">
        <v>4513</v>
      </c>
      <c r="C987">
        <v>1.0276000000000001</v>
      </c>
      <c r="D987" s="1">
        <v>41456</v>
      </c>
      <c r="E987" s="9">
        <f t="shared" si="32"/>
        <v>2014</v>
      </c>
      <c r="F987" t="str">
        <f t="shared" si="31"/>
        <v>WROH</v>
      </c>
    </row>
    <row r="988" spans="1:6">
      <c r="A988" t="s">
        <v>4867</v>
      </c>
      <c r="B988" t="s">
        <v>4868</v>
      </c>
      <c r="C988">
        <v>1.0290999999999999</v>
      </c>
      <c r="D988" s="1">
        <v>41456</v>
      </c>
      <c r="E988" s="9">
        <f t="shared" si="32"/>
        <v>2014</v>
      </c>
      <c r="F988" t="str">
        <f t="shared" si="31"/>
        <v>WRTN</v>
      </c>
    </row>
    <row r="989" spans="1:6">
      <c r="A989" t="s">
        <v>4869</v>
      </c>
      <c r="B989" t="s">
        <v>4870</v>
      </c>
      <c r="C989">
        <v>1.0322</v>
      </c>
      <c r="D989" s="1">
        <v>41456</v>
      </c>
      <c r="E989" s="9">
        <f t="shared" si="32"/>
        <v>2014</v>
      </c>
      <c r="F989" t="str">
        <f t="shared" si="31"/>
        <v>WRVE</v>
      </c>
    </row>
    <row r="990" spans="1:6">
      <c r="A990" t="s">
        <v>4871</v>
      </c>
      <c r="B990" t="s">
        <v>4872</v>
      </c>
      <c r="C990">
        <v>1.0246</v>
      </c>
      <c r="D990" s="1">
        <v>41456</v>
      </c>
      <c r="E990" s="9">
        <f t="shared" si="32"/>
        <v>2014</v>
      </c>
      <c r="F990" t="str">
        <f t="shared" si="31"/>
        <v>WSFT</v>
      </c>
    </row>
    <row r="991" spans="1:6">
      <c r="A991" t="s">
        <v>4873</v>
      </c>
      <c r="B991" t="s">
        <v>4874</v>
      </c>
      <c r="C991">
        <v>1.0299</v>
      </c>
      <c r="D991" s="1">
        <v>41456</v>
      </c>
      <c r="E991" s="9">
        <f t="shared" si="32"/>
        <v>2014</v>
      </c>
      <c r="F991" t="str">
        <f t="shared" si="31"/>
        <v>WSNR</v>
      </c>
    </row>
    <row r="992" spans="1:6">
      <c r="A992" t="s">
        <v>4875</v>
      </c>
      <c r="B992" t="s">
        <v>4876</v>
      </c>
      <c r="C992">
        <v>1.0458000000000001</v>
      </c>
      <c r="D992" s="1">
        <v>41456</v>
      </c>
      <c r="E992" s="9">
        <f t="shared" si="32"/>
        <v>2014</v>
      </c>
      <c r="F992" t="str">
        <f t="shared" si="31"/>
        <v>WSPA</v>
      </c>
    </row>
    <row r="993" spans="1:6">
      <c r="A993" t="s">
        <v>4879</v>
      </c>
      <c r="B993" t="s">
        <v>4880</v>
      </c>
      <c r="C993">
        <v>1.0458000000000001</v>
      </c>
      <c r="D993" s="1">
        <v>41456</v>
      </c>
      <c r="E993" s="9">
        <f t="shared" si="32"/>
        <v>2014</v>
      </c>
      <c r="F993" t="str">
        <f t="shared" si="31"/>
        <v>WSUM</v>
      </c>
    </row>
    <row r="994" spans="1:6">
      <c r="A994" t="s">
        <v>4883</v>
      </c>
      <c r="B994" t="s">
        <v>4884</v>
      </c>
      <c r="C994">
        <v>1.0333000000000001</v>
      </c>
      <c r="D994" s="1">
        <v>41456</v>
      </c>
      <c r="E994" s="9">
        <f t="shared" si="32"/>
        <v>2014</v>
      </c>
      <c r="F994" t="str">
        <f t="shared" si="31"/>
        <v>WTLN</v>
      </c>
    </row>
    <row r="995" spans="1:6">
      <c r="A995" t="s">
        <v>4885</v>
      </c>
      <c r="B995" t="s">
        <v>4886</v>
      </c>
      <c r="C995">
        <v>1.0481</v>
      </c>
      <c r="D995" s="1">
        <v>41456</v>
      </c>
      <c r="E995" s="9">
        <f t="shared" si="32"/>
        <v>2014</v>
      </c>
      <c r="F995" t="str">
        <f t="shared" si="31"/>
        <v>WTSG</v>
      </c>
    </row>
    <row r="996" spans="1:6">
      <c r="A996" t="s">
        <v>4889</v>
      </c>
      <c r="B996" t="s">
        <v>4890</v>
      </c>
      <c r="C996">
        <v>1.0341</v>
      </c>
      <c r="D996" s="1">
        <v>41456</v>
      </c>
      <c r="E996" s="9">
        <f t="shared" si="32"/>
        <v>2014</v>
      </c>
      <c r="F996" t="str">
        <f t="shared" si="31"/>
        <v>WTTS</v>
      </c>
    </row>
    <row r="997" spans="1:6">
      <c r="A997" t="s">
        <v>4891</v>
      </c>
      <c r="B997" t="s">
        <v>4892</v>
      </c>
      <c r="C997">
        <v>1.0468999999999999</v>
      </c>
      <c r="D997" s="1">
        <v>41456</v>
      </c>
      <c r="E997" s="9">
        <f t="shared" si="32"/>
        <v>2014</v>
      </c>
      <c r="F997" t="str">
        <f t="shared" si="31"/>
        <v>WUNI</v>
      </c>
    </row>
    <row r="998" spans="1:6">
      <c r="A998" t="s">
        <v>4893</v>
      </c>
      <c r="B998" t="s">
        <v>4894</v>
      </c>
      <c r="C998">
        <v>1.0351999999999999</v>
      </c>
      <c r="D998" s="1">
        <v>41456</v>
      </c>
      <c r="E998" s="9">
        <f t="shared" si="32"/>
        <v>2014</v>
      </c>
      <c r="F998" t="str">
        <f t="shared" si="31"/>
        <v>WVPA</v>
      </c>
    </row>
    <row r="999" spans="1:6">
      <c r="A999" t="s">
        <v>4895</v>
      </c>
      <c r="B999" t="s">
        <v>4896</v>
      </c>
      <c r="C999">
        <v>1.0428999999999999</v>
      </c>
      <c r="D999" s="1">
        <v>41456</v>
      </c>
      <c r="E999" s="9">
        <f t="shared" si="32"/>
        <v>2014</v>
      </c>
      <c r="F999" t="str">
        <f t="shared" si="31"/>
        <v>WWAG</v>
      </c>
    </row>
    <row r="1000" spans="1:6">
      <c r="A1000" t="s">
        <v>4897</v>
      </c>
      <c r="B1000" t="s">
        <v>4898</v>
      </c>
      <c r="C1000">
        <v>1.0286999999999999</v>
      </c>
      <c r="D1000" s="1">
        <v>41456</v>
      </c>
      <c r="E1000" s="9">
        <f t="shared" si="32"/>
        <v>2014</v>
      </c>
      <c r="F1000" t="str">
        <f t="shared" si="31"/>
        <v>WWAI</v>
      </c>
    </row>
    <row r="1001" spans="1:6">
      <c r="A1001" t="s">
        <v>4899</v>
      </c>
      <c r="B1001" t="s">
        <v>4900</v>
      </c>
      <c r="C1001">
        <v>0.99560000000000004</v>
      </c>
      <c r="D1001" s="1">
        <v>41456</v>
      </c>
      <c r="E1001" s="9">
        <f t="shared" si="32"/>
        <v>2014</v>
      </c>
      <c r="F1001" t="str">
        <f t="shared" si="31"/>
        <v>WWCL</v>
      </c>
    </row>
    <row r="1002" spans="1:6">
      <c r="A1002" t="s">
        <v>4901</v>
      </c>
      <c r="B1002" t="s">
        <v>4902</v>
      </c>
      <c r="C1002">
        <v>1.0481</v>
      </c>
      <c r="D1002" s="1">
        <v>41456</v>
      </c>
      <c r="E1002" s="9">
        <f t="shared" si="32"/>
        <v>2014</v>
      </c>
      <c r="F1002" t="str">
        <f t="shared" si="31"/>
        <v>WWDN</v>
      </c>
    </row>
    <row r="1003" spans="1:6">
      <c r="A1003" t="s">
        <v>4943</v>
      </c>
      <c r="B1003" t="s">
        <v>4944</v>
      </c>
      <c r="C1003">
        <v>1.0373000000000001</v>
      </c>
      <c r="D1003" s="1">
        <v>41456</v>
      </c>
      <c r="E1003" s="9">
        <f t="shared" si="32"/>
        <v>2014</v>
      </c>
      <c r="F1003" t="str">
        <f t="shared" si="31"/>
        <v>WWEB</v>
      </c>
    </row>
    <row r="1004" spans="1:6">
      <c r="A1004" t="s">
        <v>4903</v>
      </c>
      <c r="B1004" t="s">
        <v>4904</v>
      </c>
      <c r="C1004">
        <v>1.0317000000000001</v>
      </c>
      <c r="D1004" s="1">
        <v>41456</v>
      </c>
      <c r="E1004" s="9">
        <f t="shared" si="32"/>
        <v>2014</v>
      </c>
      <c r="F1004" t="str">
        <f t="shared" si="31"/>
        <v>WWEL</v>
      </c>
    </row>
    <row r="1005" spans="1:6">
      <c r="A1005" t="s">
        <v>4905</v>
      </c>
      <c r="B1005" t="s">
        <v>4906</v>
      </c>
      <c r="C1005">
        <v>1.0439000000000001</v>
      </c>
      <c r="D1005" s="1">
        <v>41456</v>
      </c>
      <c r="E1005" s="9">
        <f t="shared" si="32"/>
        <v>2014</v>
      </c>
      <c r="F1005" t="str">
        <f t="shared" si="31"/>
        <v>WWGA</v>
      </c>
    </row>
    <row r="1006" spans="1:6">
      <c r="A1006" t="s">
        <v>4907</v>
      </c>
      <c r="B1006" t="s">
        <v>4908</v>
      </c>
      <c r="C1006">
        <v>0.98680000000000001</v>
      </c>
      <c r="D1006" s="1">
        <v>41456</v>
      </c>
      <c r="E1006" s="9">
        <f t="shared" si="32"/>
        <v>2014</v>
      </c>
      <c r="F1006" t="str">
        <f t="shared" si="31"/>
        <v>WWGP</v>
      </c>
    </row>
    <row r="1007" spans="1:6">
      <c r="A1007" t="s">
        <v>4911</v>
      </c>
      <c r="B1007" t="s">
        <v>4945</v>
      </c>
      <c r="C1007">
        <v>1.0288999999999999</v>
      </c>
      <c r="D1007" s="1">
        <v>41456</v>
      </c>
      <c r="E1007" s="9">
        <f t="shared" si="32"/>
        <v>2014</v>
      </c>
      <c r="F1007" t="str">
        <f t="shared" si="31"/>
        <v>WWLN</v>
      </c>
    </row>
    <row r="1008" spans="1:6">
      <c r="A1008" t="s">
        <v>4913</v>
      </c>
      <c r="B1008" t="s">
        <v>4914</v>
      </c>
      <c r="C1008">
        <v>1.0237000000000001</v>
      </c>
      <c r="D1008" s="1">
        <v>41456</v>
      </c>
      <c r="E1008" s="9">
        <f t="shared" si="32"/>
        <v>2014</v>
      </c>
      <c r="F1008" t="str">
        <f t="shared" ref="F1008:F1071" si="33">A1008</f>
        <v>WWMG</v>
      </c>
    </row>
    <row r="1009" spans="1:6">
      <c r="A1009" t="s">
        <v>4915</v>
      </c>
      <c r="B1009" t="s">
        <v>4916</v>
      </c>
      <c r="C1009">
        <v>1.0385</v>
      </c>
      <c r="D1009" s="1">
        <v>41456</v>
      </c>
      <c r="E1009" s="9">
        <f t="shared" si="32"/>
        <v>2014</v>
      </c>
      <c r="F1009" t="str">
        <f t="shared" si="33"/>
        <v>WWNO</v>
      </c>
    </row>
    <row r="1010" spans="1:6">
      <c r="A1010" t="s">
        <v>4917</v>
      </c>
      <c r="B1010" t="s">
        <v>4918</v>
      </c>
      <c r="C1010">
        <v>1.0468</v>
      </c>
      <c r="D1010" s="1">
        <v>41456</v>
      </c>
      <c r="E1010" s="9">
        <f t="shared" si="32"/>
        <v>2014</v>
      </c>
      <c r="F1010" t="str">
        <f t="shared" si="33"/>
        <v>WWNT</v>
      </c>
    </row>
    <row r="1011" spans="1:6">
      <c r="A1011" t="s">
        <v>4919</v>
      </c>
      <c r="B1011" t="s">
        <v>4920</v>
      </c>
      <c r="C1011">
        <v>1.0298</v>
      </c>
      <c r="D1011" s="1">
        <v>41456</v>
      </c>
      <c r="E1011" s="9">
        <f t="shared" si="32"/>
        <v>2014</v>
      </c>
      <c r="F1011" t="str">
        <f t="shared" si="33"/>
        <v>WWSD</v>
      </c>
    </row>
    <row r="1012" spans="1:6">
      <c r="A1012" t="s">
        <v>4921</v>
      </c>
      <c r="B1012" t="s">
        <v>4922</v>
      </c>
      <c r="C1012">
        <v>1.0670999999999999</v>
      </c>
      <c r="D1012" s="1">
        <v>41456</v>
      </c>
      <c r="E1012" s="9">
        <f t="shared" si="32"/>
        <v>2014</v>
      </c>
      <c r="F1012" t="str">
        <f t="shared" si="33"/>
        <v>WWUN</v>
      </c>
    </row>
    <row r="1013" spans="1:6">
      <c r="A1013" t="s">
        <v>4923</v>
      </c>
      <c r="B1013" t="s">
        <v>4924</v>
      </c>
      <c r="C1013">
        <v>0.95599999999999996</v>
      </c>
      <c r="D1013" s="1">
        <v>41456</v>
      </c>
      <c r="E1013" s="9">
        <f t="shared" si="32"/>
        <v>2014</v>
      </c>
      <c r="F1013" t="str">
        <f t="shared" si="33"/>
        <v>WWWF</v>
      </c>
    </row>
    <row r="1014" spans="1:6">
      <c r="A1014" t="s">
        <v>4925</v>
      </c>
      <c r="B1014" t="s">
        <v>4926</v>
      </c>
      <c r="C1014">
        <v>1.0379</v>
      </c>
      <c r="D1014" s="1">
        <v>41456</v>
      </c>
      <c r="E1014" s="9">
        <f t="shared" si="32"/>
        <v>2014</v>
      </c>
      <c r="F1014" t="str">
        <f t="shared" si="33"/>
        <v>WYCP</v>
      </c>
    </row>
    <row r="1015" spans="1:6">
      <c r="A1015" t="s">
        <v>4927</v>
      </c>
      <c r="B1015" t="s">
        <v>4928</v>
      </c>
      <c r="C1015">
        <v>1.1929000000000001</v>
      </c>
      <c r="D1015" s="1">
        <v>41456</v>
      </c>
      <c r="E1015" s="9">
        <f t="shared" si="32"/>
        <v>2014</v>
      </c>
      <c r="F1015" t="str">
        <f t="shared" si="33"/>
        <v>WYER</v>
      </c>
    </row>
    <row r="1016" spans="1:6">
      <c r="A1016" t="s">
        <v>4929</v>
      </c>
      <c r="B1016" t="s">
        <v>4930</v>
      </c>
      <c r="C1016">
        <v>1.0439000000000001</v>
      </c>
      <c r="D1016" s="1">
        <v>41456</v>
      </c>
      <c r="E1016" s="9">
        <f t="shared" si="32"/>
        <v>2014</v>
      </c>
      <c r="F1016" t="str">
        <f t="shared" si="33"/>
        <v>WYKE</v>
      </c>
    </row>
    <row r="1017" spans="1:6">
      <c r="A1017" t="s">
        <v>4598</v>
      </c>
      <c r="B1017" t="s">
        <v>4599</v>
      </c>
      <c r="C1017">
        <v>1.2001999999999999</v>
      </c>
      <c r="D1017" s="1">
        <v>41456</v>
      </c>
      <c r="E1017" s="9">
        <f t="shared" si="32"/>
        <v>2014</v>
      </c>
      <c r="F1017" t="str">
        <f t="shared" si="33"/>
        <v>TBLS</v>
      </c>
    </row>
    <row r="1018" spans="1:6">
      <c r="A1018" t="s">
        <v>4617</v>
      </c>
      <c r="B1018" t="s">
        <v>4618</v>
      </c>
      <c r="C1018">
        <v>1.1535</v>
      </c>
      <c r="D1018" s="1">
        <v>41456</v>
      </c>
      <c r="E1018" s="9">
        <f t="shared" si="32"/>
        <v>2014</v>
      </c>
      <c r="F1018" t="str">
        <f t="shared" si="33"/>
        <v>TWKG</v>
      </c>
    </row>
    <row r="1019" spans="1:6">
      <c r="A1019" t="s">
        <v>4653</v>
      </c>
      <c r="B1019" t="s">
        <v>4654</v>
      </c>
      <c r="C1019">
        <v>1.2030000000000001</v>
      </c>
      <c r="D1019" s="1">
        <v>41456</v>
      </c>
      <c r="E1019" s="9">
        <f t="shared" si="32"/>
        <v>2014</v>
      </c>
      <c r="F1019" t="str">
        <f t="shared" si="33"/>
        <v>WBKF</v>
      </c>
    </row>
    <row r="1020" spans="1:6">
      <c r="A1020" t="s">
        <v>4655</v>
      </c>
      <c r="B1020" t="s">
        <v>4656</v>
      </c>
      <c r="C1020">
        <v>1.1997</v>
      </c>
      <c r="D1020" s="1">
        <v>41456</v>
      </c>
      <c r="E1020" s="9">
        <f t="shared" si="32"/>
        <v>2014</v>
      </c>
      <c r="F1020" t="str">
        <f t="shared" si="33"/>
        <v>WBLD</v>
      </c>
    </row>
    <row r="1021" spans="1:6">
      <c r="A1021" t="s">
        <v>4679</v>
      </c>
      <c r="B1021" t="s">
        <v>4680</v>
      </c>
      <c r="C1021">
        <v>1.1873</v>
      </c>
      <c r="D1021" s="1">
        <v>41456</v>
      </c>
      <c r="E1021" s="9">
        <f t="shared" si="32"/>
        <v>2014</v>
      </c>
      <c r="F1021" t="str">
        <f t="shared" si="33"/>
        <v>WCAR</v>
      </c>
    </row>
    <row r="1022" spans="1:6">
      <c r="A1022" t="s">
        <v>4761</v>
      </c>
      <c r="B1022" t="s">
        <v>4762</v>
      </c>
      <c r="C1022">
        <v>1.1067</v>
      </c>
      <c r="D1022" s="1">
        <v>41456</v>
      </c>
      <c r="E1022" s="9">
        <f t="shared" si="32"/>
        <v>2014</v>
      </c>
      <c r="F1022" t="str">
        <f t="shared" si="33"/>
        <v>WKEL</v>
      </c>
    </row>
    <row r="1023" spans="1:6">
      <c r="A1023" t="s">
        <v>4791</v>
      </c>
      <c r="B1023" t="s">
        <v>4792</v>
      </c>
      <c r="C1023">
        <v>1.0974999999999999</v>
      </c>
      <c r="D1023" s="1">
        <v>41456</v>
      </c>
      <c r="E1023" s="9">
        <f t="shared" si="32"/>
        <v>2014</v>
      </c>
      <c r="F1023" t="str">
        <f t="shared" si="33"/>
        <v>WMER</v>
      </c>
    </row>
    <row r="1024" spans="1:6">
      <c r="A1024" t="s">
        <v>4850</v>
      </c>
      <c r="B1024" t="s">
        <v>4851</v>
      </c>
      <c r="C1024">
        <v>1.2039</v>
      </c>
      <c r="D1024" s="1">
        <v>41456</v>
      </c>
      <c r="E1024" s="9">
        <f t="shared" si="32"/>
        <v>2014</v>
      </c>
      <c r="F1024" t="str">
        <f t="shared" si="33"/>
        <v>WPCY</v>
      </c>
    </row>
    <row r="1025" spans="1:6">
      <c r="A1025" t="s">
        <v>4856</v>
      </c>
      <c r="B1025" t="s">
        <v>4857</v>
      </c>
      <c r="C1025">
        <v>1.2012</v>
      </c>
      <c r="D1025" s="1">
        <v>41456</v>
      </c>
      <c r="E1025" s="9">
        <f t="shared" si="32"/>
        <v>2014</v>
      </c>
      <c r="F1025" t="str">
        <f t="shared" si="33"/>
        <v>WPKS</v>
      </c>
    </row>
    <row r="1026" spans="1:6">
      <c r="A1026" t="s">
        <v>4909</v>
      </c>
      <c r="B1026" t="s">
        <v>4910</v>
      </c>
      <c r="C1026">
        <v>1.1819</v>
      </c>
      <c r="D1026" s="1">
        <v>41456</v>
      </c>
      <c r="E1026" s="9">
        <f t="shared" si="32"/>
        <v>2014</v>
      </c>
      <c r="F1026" t="str">
        <f t="shared" si="33"/>
        <v>WWKT</v>
      </c>
    </row>
    <row r="1027" spans="1:6">
      <c r="A1027" t="s">
        <v>4931</v>
      </c>
      <c r="B1027" t="s">
        <v>4932</v>
      </c>
      <c r="C1027">
        <v>1.1184000000000001</v>
      </c>
      <c r="D1027" s="1">
        <v>41456</v>
      </c>
      <c r="E1027" s="9">
        <f t="shared" ref="E1027:E1090" si="34">YEAR(D1027)+1</f>
        <v>2014</v>
      </c>
      <c r="F1027" t="str">
        <f t="shared" si="33"/>
        <v>WYLN</v>
      </c>
    </row>
    <row r="1028" spans="1:6">
      <c r="A1028" t="s">
        <v>4600</v>
      </c>
      <c r="B1028" t="s">
        <v>4601</v>
      </c>
      <c r="C1028">
        <v>1.0408999999999999</v>
      </c>
      <c r="D1028" s="1">
        <v>41456</v>
      </c>
      <c r="E1028" s="9">
        <f t="shared" si="34"/>
        <v>2014</v>
      </c>
      <c r="F1028" t="str">
        <f t="shared" si="33"/>
        <v>TKRA</v>
      </c>
    </row>
    <row r="1029" spans="1:6">
      <c r="A1029" t="s">
        <v>4604</v>
      </c>
      <c r="B1029" t="s">
        <v>4478</v>
      </c>
      <c r="C1029">
        <v>1.0353000000000001</v>
      </c>
      <c r="D1029" s="1">
        <v>41456</v>
      </c>
      <c r="E1029" s="9">
        <f t="shared" si="34"/>
        <v>2014</v>
      </c>
      <c r="F1029" t="str">
        <f t="shared" si="33"/>
        <v>TMBA</v>
      </c>
    </row>
    <row r="1030" spans="1:6">
      <c r="A1030" t="s">
        <v>4605</v>
      </c>
      <c r="B1030" t="s">
        <v>4606</v>
      </c>
      <c r="C1030">
        <v>1.0405</v>
      </c>
      <c r="D1030" s="1">
        <v>41456</v>
      </c>
      <c r="E1030" s="9">
        <f t="shared" si="34"/>
        <v>2014</v>
      </c>
      <c r="F1030" t="str">
        <f t="shared" si="33"/>
        <v>TMDP</v>
      </c>
    </row>
    <row r="1031" spans="1:6">
      <c r="A1031" t="s">
        <v>4607</v>
      </c>
      <c r="B1031" t="s">
        <v>4608</v>
      </c>
      <c r="C1031">
        <v>1.0226999999999999</v>
      </c>
      <c r="D1031" s="1">
        <v>41456</v>
      </c>
      <c r="E1031" s="9">
        <f t="shared" si="34"/>
        <v>2014</v>
      </c>
      <c r="F1031" t="str">
        <f t="shared" si="33"/>
        <v>TMGS</v>
      </c>
    </row>
    <row r="1032" spans="1:6">
      <c r="A1032" t="s">
        <v>4881</v>
      </c>
      <c r="B1032" t="s">
        <v>4882</v>
      </c>
      <c r="C1032">
        <v>1.046</v>
      </c>
      <c r="D1032" s="1">
        <v>41456</v>
      </c>
      <c r="E1032" s="9">
        <f t="shared" si="34"/>
        <v>2014</v>
      </c>
      <c r="F1032" t="str">
        <f t="shared" si="33"/>
        <v>WSVY</v>
      </c>
    </row>
    <row r="1033" spans="1:6">
      <c r="A1033" t="s">
        <v>4593</v>
      </c>
      <c r="B1033" t="s">
        <v>4594</v>
      </c>
      <c r="C1033">
        <v>0.99639999999999995</v>
      </c>
      <c r="D1033" s="1">
        <v>41091</v>
      </c>
      <c r="E1033" s="9">
        <f t="shared" si="34"/>
        <v>2013</v>
      </c>
      <c r="F1033" t="str">
        <f t="shared" si="33"/>
        <v>TAPA</v>
      </c>
    </row>
    <row r="1034" spans="1:6">
      <c r="A1034" t="s">
        <v>4595</v>
      </c>
      <c r="B1034" t="s">
        <v>4596</v>
      </c>
      <c r="C1034">
        <v>0.98980000000000001</v>
      </c>
      <c r="D1034" s="1">
        <v>41091</v>
      </c>
      <c r="E1034" s="9">
        <f t="shared" si="34"/>
        <v>2013</v>
      </c>
      <c r="F1034" t="str">
        <f t="shared" si="33"/>
        <v>TAPL</v>
      </c>
    </row>
    <row r="1035" spans="1:6">
      <c r="A1035" t="s">
        <v>4597</v>
      </c>
      <c r="B1035" t="s">
        <v>4936</v>
      </c>
      <c r="C1035">
        <v>0.99870000000000003</v>
      </c>
      <c r="D1035" s="1">
        <v>41091</v>
      </c>
      <c r="E1035" s="9">
        <f t="shared" si="34"/>
        <v>2013</v>
      </c>
      <c r="F1035" t="str">
        <f t="shared" si="33"/>
        <v>TBLB</v>
      </c>
    </row>
    <row r="1036" spans="1:6">
      <c r="A1036" t="s">
        <v>4602</v>
      </c>
      <c r="B1036" t="s">
        <v>4937</v>
      </c>
      <c r="C1036">
        <v>1.0065</v>
      </c>
      <c r="D1036" s="1">
        <v>41091</v>
      </c>
      <c r="E1036" s="9">
        <f t="shared" si="34"/>
        <v>2013</v>
      </c>
      <c r="F1036" t="str">
        <f t="shared" si="33"/>
        <v>TLWA</v>
      </c>
    </row>
    <row r="1037" spans="1:6">
      <c r="A1037" t="s">
        <v>4609</v>
      </c>
      <c r="B1037" t="s">
        <v>4610</v>
      </c>
      <c r="C1037">
        <v>1.0199</v>
      </c>
      <c r="D1037" s="1">
        <v>41091</v>
      </c>
      <c r="E1037" s="9">
        <f t="shared" si="34"/>
        <v>2013</v>
      </c>
      <c r="F1037" t="str">
        <f t="shared" si="33"/>
        <v>TMSK</v>
      </c>
    </row>
    <row r="1038" spans="1:6">
      <c r="A1038" t="s">
        <v>4611</v>
      </c>
      <c r="B1038" t="s">
        <v>4612</v>
      </c>
      <c r="C1038">
        <v>1.012</v>
      </c>
      <c r="D1038" s="1">
        <v>41091</v>
      </c>
      <c r="E1038" s="9">
        <f t="shared" si="34"/>
        <v>2013</v>
      </c>
      <c r="F1038" t="str">
        <f t="shared" si="33"/>
        <v>TOLA</v>
      </c>
    </row>
    <row r="1039" spans="1:6">
      <c r="A1039" t="s">
        <v>4613</v>
      </c>
      <c r="B1039" t="s">
        <v>4614</v>
      </c>
      <c r="C1039">
        <v>1.0443</v>
      </c>
      <c r="D1039" s="1">
        <v>41091</v>
      </c>
      <c r="E1039" s="9">
        <f t="shared" si="34"/>
        <v>2013</v>
      </c>
      <c r="F1039" t="str">
        <f t="shared" si="33"/>
        <v>TSAV</v>
      </c>
    </row>
    <row r="1040" spans="1:6">
      <c r="A1040" t="s">
        <v>4615</v>
      </c>
      <c r="B1040" t="s">
        <v>4616</v>
      </c>
      <c r="C1040">
        <v>1.0383</v>
      </c>
      <c r="D1040" s="1">
        <v>41091</v>
      </c>
      <c r="E1040" s="9">
        <f t="shared" si="34"/>
        <v>2013</v>
      </c>
      <c r="F1040" t="str">
        <f t="shared" si="33"/>
        <v>TUAV</v>
      </c>
    </row>
    <row r="1041" spans="1:6">
      <c r="A1041" t="s">
        <v>4619</v>
      </c>
      <c r="B1041" t="s">
        <v>4620</v>
      </c>
      <c r="C1041">
        <v>0.98360000000000003</v>
      </c>
      <c r="D1041" s="1">
        <v>41091</v>
      </c>
      <c r="E1041" s="9">
        <f t="shared" si="34"/>
        <v>2013</v>
      </c>
      <c r="F1041" t="str">
        <f t="shared" si="33"/>
        <v>TWOJ</v>
      </c>
    </row>
    <row r="1042" spans="1:6">
      <c r="A1042" t="s">
        <v>4621</v>
      </c>
      <c r="B1042" t="s">
        <v>4622</v>
      </c>
      <c r="C1042">
        <v>0.99829999999999997</v>
      </c>
      <c r="D1042" s="1">
        <v>41091</v>
      </c>
      <c r="E1042" s="9">
        <f t="shared" si="34"/>
        <v>2013</v>
      </c>
      <c r="F1042" t="str">
        <f t="shared" si="33"/>
        <v>TWOW</v>
      </c>
    </row>
    <row r="1043" spans="1:6">
      <c r="A1043" t="s">
        <v>4623</v>
      </c>
      <c r="B1043" t="s">
        <v>4624</v>
      </c>
      <c r="C1043">
        <v>1.0217000000000001</v>
      </c>
      <c r="D1043" s="1">
        <v>41091</v>
      </c>
      <c r="E1043" s="9">
        <f t="shared" si="34"/>
        <v>2013</v>
      </c>
      <c r="F1043" t="str">
        <f t="shared" si="33"/>
        <v>WAFM</v>
      </c>
    </row>
    <row r="1044" spans="1:6">
      <c r="A1044" t="s">
        <v>4625</v>
      </c>
      <c r="B1044" t="s">
        <v>4626</v>
      </c>
      <c r="C1044">
        <v>1.0199</v>
      </c>
      <c r="D1044" s="1">
        <v>41091</v>
      </c>
      <c r="E1044" s="9">
        <f t="shared" si="34"/>
        <v>2013</v>
      </c>
      <c r="F1044" t="str">
        <f t="shared" si="33"/>
        <v>WAKW</v>
      </c>
    </row>
    <row r="1045" spans="1:6">
      <c r="A1045" t="s">
        <v>4629</v>
      </c>
      <c r="B1045" t="s">
        <v>4630</v>
      </c>
      <c r="C1045">
        <v>1.034</v>
      </c>
      <c r="D1045" s="1">
        <v>41091</v>
      </c>
      <c r="E1045" s="9">
        <f t="shared" si="34"/>
        <v>2013</v>
      </c>
      <c r="F1045" t="str">
        <f t="shared" si="33"/>
        <v>WAMT</v>
      </c>
    </row>
    <row r="1046" spans="1:6">
      <c r="A1046" t="s">
        <v>4631</v>
      </c>
      <c r="B1046" t="s">
        <v>4632</v>
      </c>
      <c r="C1046">
        <v>1.0387999999999999</v>
      </c>
      <c r="D1046" s="1">
        <v>41091</v>
      </c>
      <c r="E1046" s="9">
        <f t="shared" si="34"/>
        <v>2013</v>
      </c>
      <c r="F1046" t="str">
        <f t="shared" si="33"/>
        <v>WAPM</v>
      </c>
    </row>
    <row r="1047" spans="1:6">
      <c r="A1047" t="s">
        <v>4633</v>
      </c>
      <c r="B1047" t="s">
        <v>4634</v>
      </c>
      <c r="C1047">
        <v>1.0383</v>
      </c>
      <c r="D1047" s="1">
        <v>41091</v>
      </c>
      <c r="E1047" s="9">
        <f t="shared" si="34"/>
        <v>2013</v>
      </c>
      <c r="F1047" t="str">
        <f t="shared" si="33"/>
        <v>WARK</v>
      </c>
    </row>
    <row r="1048" spans="1:6">
      <c r="A1048" t="s">
        <v>4635</v>
      </c>
      <c r="B1048" t="s">
        <v>4636</v>
      </c>
      <c r="C1048">
        <v>1.0385</v>
      </c>
      <c r="D1048" s="1">
        <v>41091</v>
      </c>
      <c r="E1048" s="9">
        <f t="shared" si="34"/>
        <v>2013</v>
      </c>
      <c r="F1048" t="str">
        <f t="shared" si="33"/>
        <v>WBCH</v>
      </c>
    </row>
    <row r="1049" spans="1:6">
      <c r="A1049" t="s">
        <v>4641</v>
      </c>
      <c r="B1049" t="s">
        <v>4946</v>
      </c>
      <c r="C1049">
        <v>1.0097</v>
      </c>
      <c r="D1049" s="1">
        <v>41091</v>
      </c>
      <c r="E1049" s="9">
        <f t="shared" si="34"/>
        <v>2013</v>
      </c>
      <c r="F1049" t="str">
        <f t="shared" si="33"/>
        <v>WBDP</v>
      </c>
    </row>
    <row r="1050" spans="1:6">
      <c r="A1050" t="s">
        <v>4643</v>
      </c>
      <c r="B1050" t="s">
        <v>4644</v>
      </c>
      <c r="C1050">
        <v>1.0301</v>
      </c>
      <c r="D1050" s="1">
        <v>41091</v>
      </c>
      <c r="E1050" s="9">
        <f t="shared" si="34"/>
        <v>2013</v>
      </c>
      <c r="F1050" t="str">
        <f t="shared" si="33"/>
        <v>WBEC</v>
      </c>
    </row>
    <row r="1051" spans="1:6">
      <c r="A1051" t="s">
        <v>4645</v>
      </c>
      <c r="B1051" t="s">
        <v>4646</v>
      </c>
      <c r="C1051">
        <v>1.0343</v>
      </c>
      <c r="D1051" s="1">
        <v>41091</v>
      </c>
      <c r="E1051" s="9">
        <f t="shared" si="34"/>
        <v>2013</v>
      </c>
      <c r="F1051" t="str">
        <f t="shared" si="33"/>
        <v>WBEL</v>
      </c>
    </row>
    <row r="1052" spans="1:6">
      <c r="A1052" t="s">
        <v>4647</v>
      </c>
      <c r="B1052" t="s">
        <v>4939</v>
      </c>
      <c r="C1052">
        <v>1.0076000000000001</v>
      </c>
      <c r="D1052" s="1">
        <v>41091</v>
      </c>
      <c r="E1052" s="9">
        <f t="shared" si="34"/>
        <v>2013</v>
      </c>
      <c r="F1052" t="str">
        <f t="shared" si="33"/>
        <v>WBGM</v>
      </c>
    </row>
    <row r="1053" spans="1:6">
      <c r="A1053" t="s">
        <v>4649</v>
      </c>
      <c r="B1053" t="s">
        <v>4650</v>
      </c>
      <c r="C1053">
        <v>1.0296000000000001</v>
      </c>
      <c r="D1053" s="1">
        <v>41091</v>
      </c>
      <c r="E1053" s="9">
        <f t="shared" si="34"/>
        <v>2013</v>
      </c>
      <c r="F1053" t="str">
        <f t="shared" si="33"/>
        <v>WBHK</v>
      </c>
    </row>
    <row r="1054" spans="1:6">
      <c r="A1054" t="s">
        <v>4651</v>
      </c>
      <c r="B1054" t="s">
        <v>4652</v>
      </c>
      <c r="C1054">
        <v>1.0288999999999999</v>
      </c>
      <c r="D1054" s="1">
        <v>41091</v>
      </c>
      <c r="E1054" s="9">
        <f t="shared" si="34"/>
        <v>2013</v>
      </c>
      <c r="F1054" t="str">
        <f t="shared" si="33"/>
        <v>WBIB</v>
      </c>
    </row>
    <row r="1055" spans="1:6">
      <c r="A1055" t="s">
        <v>4657</v>
      </c>
      <c r="B1055" t="s">
        <v>4658</v>
      </c>
      <c r="C1055">
        <v>1.0302</v>
      </c>
      <c r="D1055" s="1">
        <v>41091</v>
      </c>
      <c r="E1055" s="9">
        <f t="shared" si="34"/>
        <v>2013</v>
      </c>
      <c r="F1055" t="str">
        <f t="shared" si="33"/>
        <v>WBNP</v>
      </c>
    </row>
    <row r="1056" spans="1:6">
      <c r="A1056" t="s">
        <v>4661</v>
      </c>
      <c r="B1056" t="s">
        <v>4662</v>
      </c>
      <c r="C1056">
        <v>1.0062</v>
      </c>
      <c r="D1056" s="1">
        <v>41091</v>
      </c>
      <c r="E1056" s="9">
        <f t="shared" si="34"/>
        <v>2013</v>
      </c>
      <c r="F1056" t="str">
        <f t="shared" si="33"/>
        <v>WBOD</v>
      </c>
    </row>
    <row r="1057" spans="1:6">
      <c r="A1057" t="s">
        <v>4663</v>
      </c>
      <c r="B1057" t="s">
        <v>4664</v>
      </c>
      <c r="C1057">
        <v>1.0227999999999999</v>
      </c>
      <c r="D1057" s="1">
        <v>41091</v>
      </c>
      <c r="E1057" s="9">
        <f t="shared" si="34"/>
        <v>2013</v>
      </c>
      <c r="F1057" t="str">
        <f t="shared" si="33"/>
        <v>WBPM</v>
      </c>
    </row>
    <row r="1058" spans="1:6">
      <c r="A1058" t="s">
        <v>4665</v>
      </c>
      <c r="B1058" t="s">
        <v>4666</v>
      </c>
      <c r="C1058">
        <v>1.0096000000000001</v>
      </c>
      <c r="D1058" s="1">
        <v>41091</v>
      </c>
      <c r="E1058" s="9">
        <f t="shared" si="34"/>
        <v>2013</v>
      </c>
      <c r="F1058" t="str">
        <f t="shared" si="33"/>
        <v>WBSI</v>
      </c>
    </row>
    <row r="1059" spans="1:6">
      <c r="A1059" t="s">
        <v>4667</v>
      </c>
      <c r="B1059" t="s">
        <v>4668</v>
      </c>
      <c r="C1059">
        <v>1.0497000000000001</v>
      </c>
      <c r="D1059" s="1">
        <v>41091</v>
      </c>
      <c r="E1059" s="9">
        <f t="shared" si="34"/>
        <v>2013</v>
      </c>
      <c r="F1059" t="str">
        <f t="shared" si="33"/>
        <v>WBSN</v>
      </c>
    </row>
    <row r="1060" spans="1:6">
      <c r="A1060" t="s">
        <v>4669</v>
      </c>
      <c r="B1060" t="s">
        <v>4670</v>
      </c>
      <c r="C1060">
        <v>1.0135000000000001</v>
      </c>
      <c r="D1060" s="1">
        <v>41091</v>
      </c>
      <c r="E1060" s="9">
        <f t="shared" si="34"/>
        <v>2013</v>
      </c>
      <c r="F1060" t="str">
        <f t="shared" si="33"/>
        <v>WBTN</v>
      </c>
    </row>
    <row r="1061" spans="1:6">
      <c r="A1061" t="s">
        <v>4671</v>
      </c>
      <c r="B1061" t="s">
        <v>4672</v>
      </c>
      <c r="C1061">
        <v>1.0314000000000001</v>
      </c>
      <c r="D1061" s="1">
        <v>41091</v>
      </c>
      <c r="E1061" s="9">
        <f t="shared" si="34"/>
        <v>2013</v>
      </c>
      <c r="F1061" t="str">
        <f t="shared" si="33"/>
        <v>WBTY</v>
      </c>
    </row>
    <row r="1062" spans="1:6">
      <c r="A1062" t="s">
        <v>4673</v>
      </c>
      <c r="B1062" t="s">
        <v>4674</v>
      </c>
      <c r="C1062">
        <v>1.0168999999999999</v>
      </c>
      <c r="D1062" s="1">
        <v>41091</v>
      </c>
      <c r="E1062" s="9">
        <f t="shared" si="34"/>
        <v>2013</v>
      </c>
      <c r="F1062" t="str">
        <f t="shared" si="33"/>
        <v>WBUH</v>
      </c>
    </row>
    <row r="1063" spans="1:6">
      <c r="A1063" t="s">
        <v>4675</v>
      </c>
      <c r="B1063" t="s">
        <v>4676</v>
      </c>
      <c r="C1063">
        <v>1.0299</v>
      </c>
      <c r="D1063" s="1">
        <v>41091</v>
      </c>
      <c r="E1063" s="9">
        <f t="shared" si="34"/>
        <v>2013</v>
      </c>
      <c r="F1063" t="str">
        <f t="shared" si="33"/>
        <v>WBYF</v>
      </c>
    </row>
    <row r="1064" spans="1:6">
      <c r="A1064" t="s">
        <v>4677</v>
      </c>
      <c r="B1064" t="s">
        <v>4678</v>
      </c>
      <c r="C1064">
        <v>1.0381</v>
      </c>
      <c r="D1064" s="1">
        <v>41091</v>
      </c>
      <c r="E1064" s="9">
        <f t="shared" si="34"/>
        <v>2013</v>
      </c>
      <c r="F1064" t="str">
        <f t="shared" si="33"/>
        <v>WCAP</v>
      </c>
    </row>
    <row r="1065" spans="1:6">
      <c r="A1065" t="s">
        <v>4681</v>
      </c>
      <c r="B1065" t="s">
        <v>4682</v>
      </c>
      <c r="C1065">
        <v>1.0238</v>
      </c>
      <c r="D1065" s="1">
        <v>41091</v>
      </c>
      <c r="E1065" s="9">
        <f t="shared" si="34"/>
        <v>2013</v>
      </c>
      <c r="F1065" t="str">
        <f t="shared" si="33"/>
        <v>WCBP</v>
      </c>
    </row>
    <row r="1066" spans="1:6">
      <c r="A1066" t="s">
        <v>4683</v>
      </c>
      <c r="B1066" t="s">
        <v>4684</v>
      </c>
      <c r="C1066">
        <v>1.0239</v>
      </c>
      <c r="D1066" s="1">
        <v>41091</v>
      </c>
      <c r="E1066" s="9">
        <f t="shared" si="34"/>
        <v>2013</v>
      </c>
      <c r="F1066" t="str">
        <f t="shared" si="33"/>
        <v>WCCL</v>
      </c>
    </row>
    <row r="1067" spans="1:6">
      <c r="A1067" t="s">
        <v>4685</v>
      </c>
      <c r="B1067" t="s">
        <v>4574</v>
      </c>
      <c r="C1067">
        <v>1.0255000000000001</v>
      </c>
      <c r="D1067" s="1">
        <v>41091</v>
      </c>
      <c r="E1067" s="9">
        <f t="shared" si="34"/>
        <v>2013</v>
      </c>
      <c r="F1067" t="str">
        <f t="shared" si="33"/>
        <v>WCCT</v>
      </c>
    </row>
    <row r="1068" spans="1:6">
      <c r="A1068" t="s">
        <v>4688</v>
      </c>
      <c r="B1068" t="s">
        <v>4947</v>
      </c>
      <c r="C1068">
        <v>1.0367</v>
      </c>
      <c r="D1068" s="1">
        <v>41091</v>
      </c>
      <c r="E1068" s="9">
        <f t="shared" si="34"/>
        <v>2013</v>
      </c>
      <c r="F1068" t="str">
        <f t="shared" si="33"/>
        <v>WCKN</v>
      </c>
    </row>
    <row r="1069" spans="1:6">
      <c r="A1069" t="s">
        <v>4690</v>
      </c>
      <c r="B1069" t="s">
        <v>4691</v>
      </c>
      <c r="C1069">
        <v>1.0407999999999999</v>
      </c>
      <c r="D1069" s="1">
        <v>41091</v>
      </c>
      <c r="E1069" s="9">
        <f t="shared" si="34"/>
        <v>2013</v>
      </c>
      <c r="F1069" t="str">
        <f t="shared" si="33"/>
        <v>WCKT</v>
      </c>
    </row>
    <row r="1070" spans="1:6">
      <c r="A1070" t="s">
        <v>4692</v>
      </c>
      <c r="B1070" t="s">
        <v>4693</v>
      </c>
      <c r="C1070">
        <v>1.0392999999999999</v>
      </c>
      <c r="D1070" s="1">
        <v>41091</v>
      </c>
      <c r="E1070" s="9">
        <f t="shared" si="34"/>
        <v>2013</v>
      </c>
      <c r="F1070" t="str">
        <f t="shared" si="33"/>
        <v>WCLN</v>
      </c>
    </row>
    <row r="1071" spans="1:6">
      <c r="A1071" t="s">
        <v>4694</v>
      </c>
      <c r="B1071" t="s">
        <v>4695</v>
      </c>
      <c r="C1071">
        <v>1.0488999999999999</v>
      </c>
      <c r="D1071" s="1">
        <v>41091</v>
      </c>
      <c r="E1071" s="9">
        <f t="shared" si="34"/>
        <v>2013</v>
      </c>
      <c r="F1071" t="str">
        <f t="shared" si="33"/>
        <v>WCLP</v>
      </c>
    </row>
    <row r="1072" spans="1:6">
      <c r="A1072" t="s">
        <v>4696</v>
      </c>
      <c r="B1072" t="s">
        <v>4697</v>
      </c>
      <c r="C1072">
        <v>1.0246999999999999</v>
      </c>
      <c r="D1072" s="1">
        <v>41091</v>
      </c>
      <c r="E1072" s="9">
        <f t="shared" si="34"/>
        <v>2013</v>
      </c>
      <c r="F1072" t="str">
        <f t="shared" ref="F1072:F1135" si="35">A1072</f>
        <v>WCOE</v>
      </c>
    </row>
    <row r="1073" spans="1:6">
      <c r="A1073" t="s">
        <v>4698</v>
      </c>
      <c r="B1073" t="s">
        <v>4699</v>
      </c>
      <c r="C1073">
        <v>1.0396000000000001</v>
      </c>
      <c r="D1073" s="1">
        <v>41091</v>
      </c>
      <c r="E1073" s="9">
        <f t="shared" si="34"/>
        <v>2013</v>
      </c>
      <c r="F1073" t="str">
        <f t="shared" si="35"/>
        <v>WCOL</v>
      </c>
    </row>
    <row r="1074" spans="1:6">
      <c r="A1074" t="s">
        <v>4700</v>
      </c>
      <c r="B1074" t="s">
        <v>4701</v>
      </c>
      <c r="C1074">
        <v>1.0398000000000001</v>
      </c>
      <c r="D1074" s="1">
        <v>41091</v>
      </c>
      <c r="E1074" s="9">
        <f t="shared" si="34"/>
        <v>2013</v>
      </c>
      <c r="F1074" t="str">
        <f t="shared" si="35"/>
        <v>WCPN</v>
      </c>
    </row>
    <row r="1075" spans="1:6">
      <c r="A1075" t="s">
        <v>4702</v>
      </c>
      <c r="B1075" t="s">
        <v>4703</v>
      </c>
      <c r="C1075">
        <v>0.99490000000000001</v>
      </c>
      <c r="D1075" s="1">
        <v>41091</v>
      </c>
      <c r="E1075" s="9">
        <f t="shared" si="34"/>
        <v>2013</v>
      </c>
      <c r="F1075" t="str">
        <f t="shared" si="35"/>
        <v>WCPS</v>
      </c>
    </row>
    <row r="1076" spans="1:6">
      <c r="A1076" t="s">
        <v>4706</v>
      </c>
      <c r="B1076" t="s">
        <v>4707</v>
      </c>
      <c r="C1076">
        <v>1.1075999999999999</v>
      </c>
      <c r="D1076" s="1">
        <v>41091</v>
      </c>
      <c r="E1076" s="9">
        <f t="shared" si="34"/>
        <v>2013</v>
      </c>
      <c r="F1076" t="str">
        <f t="shared" si="35"/>
        <v>WCUN</v>
      </c>
    </row>
    <row r="1077" spans="1:6">
      <c r="A1077" t="s">
        <v>4708</v>
      </c>
      <c r="B1077" t="s">
        <v>4709</v>
      </c>
      <c r="C1077">
        <v>1.0284</v>
      </c>
      <c r="D1077" s="1">
        <v>41091</v>
      </c>
      <c r="E1077" s="9">
        <f t="shared" si="34"/>
        <v>2013</v>
      </c>
      <c r="F1077" t="str">
        <f t="shared" si="35"/>
        <v>WCVE</v>
      </c>
    </row>
    <row r="1078" spans="1:6">
      <c r="A1078" t="s">
        <v>4710</v>
      </c>
      <c r="B1078" t="s">
        <v>4711</v>
      </c>
      <c r="C1078">
        <v>1.0367</v>
      </c>
      <c r="D1078" s="1">
        <v>41091</v>
      </c>
      <c r="E1078" s="9">
        <f t="shared" si="34"/>
        <v>2013</v>
      </c>
      <c r="F1078" t="str">
        <f t="shared" si="35"/>
        <v>WDTN</v>
      </c>
    </row>
    <row r="1079" spans="1:6">
      <c r="A1079" t="s">
        <v>4712</v>
      </c>
      <c r="B1079" t="s">
        <v>4713</v>
      </c>
      <c r="C1079">
        <v>1.0369999999999999</v>
      </c>
      <c r="D1079" s="1">
        <v>41091</v>
      </c>
      <c r="E1079" s="9">
        <f t="shared" si="34"/>
        <v>2013</v>
      </c>
      <c r="F1079" t="str">
        <f t="shared" si="35"/>
        <v>WDUR</v>
      </c>
    </row>
    <row r="1080" spans="1:6">
      <c r="A1080" t="s">
        <v>4714</v>
      </c>
      <c r="B1080" t="s">
        <v>4715</v>
      </c>
      <c r="C1080">
        <v>1.0375000000000001</v>
      </c>
      <c r="D1080" s="1">
        <v>41091</v>
      </c>
      <c r="E1080" s="9">
        <f t="shared" si="34"/>
        <v>2013</v>
      </c>
      <c r="F1080" t="str">
        <f t="shared" si="35"/>
        <v>WEDD</v>
      </c>
    </row>
    <row r="1081" spans="1:6">
      <c r="A1081" t="s">
        <v>4716</v>
      </c>
      <c r="B1081" t="s">
        <v>4717</v>
      </c>
      <c r="C1081">
        <v>1.0424</v>
      </c>
      <c r="D1081" s="1">
        <v>41091</v>
      </c>
      <c r="E1081" s="9">
        <f t="shared" si="34"/>
        <v>2013</v>
      </c>
      <c r="F1081" t="str">
        <f t="shared" si="35"/>
        <v>WEDG</v>
      </c>
    </row>
    <row r="1082" spans="1:6">
      <c r="A1082" t="s">
        <v>4718</v>
      </c>
      <c r="B1082" t="s">
        <v>4940</v>
      </c>
      <c r="C1082">
        <v>0.99450000000000005</v>
      </c>
      <c r="D1082" s="1">
        <v>41091</v>
      </c>
      <c r="E1082" s="9">
        <f t="shared" si="34"/>
        <v>2013</v>
      </c>
      <c r="F1082" t="str">
        <f t="shared" si="35"/>
        <v>WEMD</v>
      </c>
    </row>
    <row r="1083" spans="1:6">
      <c r="A1083" t="s">
        <v>4720</v>
      </c>
      <c r="B1083" t="s">
        <v>4721</v>
      </c>
      <c r="C1083">
        <v>1.0269999999999999</v>
      </c>
      <c r="D1083" s="1">
        <v>41091</v>
      </c>
      <c r="E1083" s="9">
        <f t="shared" si="34"/>
        <v>2013</v>
      </c>
      <c r="F1083" t="str">
        <f t="shared" si="35"/>
        <v>WENB</v>
      </c>
    </row>
    <row r="1084" spans="1:6">
      <c r="A1084" t="s">
        <v>4722</v>
      </c>
      <c r="B1084" t="s">
        <v>4723</v>
      </c>
      <c r="C1084">
        <v>1.0359</v>
      </c>
      <c r="D1084" s="1">
        <v>41091</v>
      </c>
      <c r="E1084" s="9">
        <f t="shared" si="34"/>
        <v>2013</v>
      </c>
      <c r="F1084" t="str">
        <f t="shared" si="35"/>
        <v>WFFD</v>
      </c>
    </row>
    <row r="1085" spans="1:6">
      <c r="A1085" t="s">
        <v>4724</v>
      </c>
      <c r="B1085" t="s">
        <v>4725</v>
      </c>
      <c r="C1085">
        <v>1.0422</v>
      </c>
      <c r="D1085" s="1">
        <v>41091</v>
      </c>
      <c r="E1085" s="9">
        <f t="shared" si="34"/>
        <v>2013</v>
      </c>
      <c r="F1085" t="str">
        <f t="shared" si="35"/>
        <v>WFRT</v>
      </c>
    </row>
    <row r="1086" spans="1:6">
      <c r="A1086" t="s">
        <v>4726</v>
      </c>
      <c r="B1086" t="s">
        <v>4727</v>
      </c>
      <c r="C1086">
        <v>1.0811999999999999</v>
      </c>
      <c r="D1086" s="1">
        <v>41091</v>
      </c>
      <c r="E1086" s="9">
        <f t="shared" si="34"/>
        <v>2013</v>
      </c>
      <c r="F1086" t="str">
        <f t="shared" si="35"/>
        <v>WGGV</v>
      </c>
    </row>
    <row r="1087" spans="1:6">
      <c r="A1087" t="s">
        <v>4728</v>
      </c>
      <c r="B1087" t="s">
        <v>4729</v>
      </c>
      <c r="C1087">
        <v>1.0248999999999999</v>
      </c>
      <c r="D1087" s="1">
        <v>41091</v>
      </c>
      <c r="E1087" s="9">
        <f t="shared" si="34"/>
        <v>2013</v>
      </c>
      <c r="F1087" t="str">
        <f t="shared" si="35"/>
        <v>WGNI</v>
      </c>
    </row>
    <row r="1088" spans="1:6">
      <c r="A1088" t="s">
        <v>4730</v>
      </c>
      <c r="B1088" t="s">
        <v>4731</v>
      </c>
      <c r="C1088">
        <v>1.0290999999999999</v>
      </c>
      <c r="D1088" s="1">
        <v>41091</v>
      </c>
      <c r="E1088" s="9">
        <f t="shared" si="34"/>
        <v>2013</v>
      </c>
      <c r="F1088" t="str">
        <f t="shared" si="35"/>
        <v>WGNL</v>
      </c>
    </row>
    <row r="1089" spans="1:6">
      <c r="A1089" t="s">
        <v>4732</v>
      </c>
      <c r="B1089" t="s">
        <v>4733</v>
      </c>
      <c r="C1089">
        <v>1.0265</v>
      </c>
      <c r="D1089" s="1">
        <v>41091</v>
      </c>
      <c r="E1089" s="9">
        <f t="shared" si="34"/>
        <v>2013</v>
      </c>
      <c r="F1089" t="str">
        <f t="shared" si="35"/>
        <v>WGNN</v>
      </c>
    </row>
    <row r="1090" spans="1:6">
      <c r="A1090" t="s">
        <v>4734</v>
      </c>
      <c r="B1090" t="s">
        <v>4735</v>
      </c>
      <c r="C1090">
        <v>1.0369999999999999</v>
      </c>
      <c r="D1090" s="1">
        <v>41091</v>
      </c>
      <c r="E1090" s="9">
        <f t="shared" si="34"/>
        <v>2013</v>
      </c>
      <c r="F1090" t="str">
        <f t="shared" si="35"/>
        <v>WGTN</v>
      </c>
    </row>
    <row r="1091" spans="1:6">
      <c r="A1091" t="s">
        <v>4736</v>
      </c>
      <c r="B1091" t="s">
        <v>4737</v>
      </c>
      <c r="C1091">
        <v>1.0406</v>
      </c>
      <c r="D1091" s="1">
        <v>41091</v>
      </c>
      <c r="E1091" s="9">
        <f t="shared" ref="E1091:E1154" si="36">YEAR(D1091)+1</f>
        <v>2013</v>
      </c>
      <c r="F1091" t="str">
        <f t="shared" si="35"/>
        <v>WHAY</v>
      </c>
    </row>
    <row r="1092" spans="1:6">
      <c r="A1092" t="s">
        <v>4738</v>
      </c>
      <c r="B1092" t="s">
        <v>4739</v>
      </c>
      <c r="C1092">
        <v>1.0382</v>
      </c>
      <c r="D1092" s="1">
        <v>41091</v>
      </c>
      <c r="E1092" s="9">
        <f t="shared" si="36"/>
        <v>2013</v>
      </c>
      <c r="F1092" t="str">
        <f t="shared" si="35"/>
        <v>WHBK</v>
      </c>
    </row>
    <row r="1093" spans="1:6">
      <c r="A1093" t="s">
        <v>4740</v>
      </c>
      <c r="B1093" t="s">
        <v>4741</v>
      </c>
      <c r="C1093">
        <v>1.0438000000000001</v>
      </c>
      <c r="D1093" s="1">
        <v>41091</v>
      </c>
      <c r="E1093" s="9">
        <f t="shared" si="36"/>
        <v>2013</v>
      </c>
      <c r="F1093" t="str">
        <f t="shared" si="35"/>
        <v>WHEP</v>
      </c>
    </row>
    <row r="1094" spans="1:6">
      <c r="A1094" t="s">
        <v>4742</v>
      </c>
      <c r="B1094" t="s">
        <v>4743</v>
      </c>
      <c r="C1094">
        <v>1.0399</v>
      </c>
      <c r="D1094" s="1">
        <v>41091</v>
      </c>
      <c r="E1094" s="9">
        <f t="shared" si="36"/>
        <v>2013</v>
      </c>
      <c r="F1094" t="str">
        <f t="shared" si="35"/>
        <v>WHFS</v>
      </c>
    </row>
    <row r="1095" spans="1:6">
      <c r="A1095" t="s">
        <v>4744</v>
      </c>
      <c r="B1095" t="s">
        <v>4941</v>
      </c>
      <c r="C1095">
        <v>1.0196000000000001</v>
      </c>
      <c r="D1095" s="1">
        <v>41091</v>
      </c>
      <c r="E1095" s="9">
        <f t="shared" si="36"/>
        <v>2013</v>
      </c>
      <c r="F1095" t="str">
        <f t="shared" si="35"/>
        <v>WHIS</v>
      </c>
    </row>
    <row r="1096" spans="1:6">
      <c r="A1096" t="s">
        <v>4746</v>
      </c>
      <c r="B1096" t="s">
        <v>4747</v>
      </c>
      <c r="C1096">
        <v>1.0326</v>
      </c>
      <c r="D1096" s="1">
        <v>41091</v>
      </c>
      <c r="E1096" s="9">
        <f t="shared" si="36"/>
        <v>2013</v>
      </c>
      <c r="F1096" t="str">
        <f t="shared" si="35"/>
        <v>WHZM</v>
      </c>
    </row>
    <row r="1097" spans="1:6">
      <c r="A1097" t="s">
        <v>4748</v>
      </c>
      <c r="B1097" t="s">
        <v>4749</v>
      </c>
      <c r="C1097">
        <v>1.0396000000000001</v>
      </c>
      <c r="D1097" s="1">
        <v>41091</v>
      </c>
      <c r="E1097" s="9">
        <f t="shared" si="36"/>
        <v>2013</v>
      </c>
      <c r="F1097" t="str">
        <f t="shared" si="35"/>
        <v>WJDP</v>
      </c>
    </row>
    <row r="1098" spans="1:6">
      <c r="A1098" t="s">
        <v>4750</v>
      </c>
      <c r="B1098" t="s">
        <v>4751</v>
      </c>
      <c r="C1098">
        <v>1.0403</v>
      </c>
      <c r="D1098" s="1">
        <v>41091</v>
      </c>
      <c r="E1098" s="9">
        <f t="shared" si="36"/>
        <v>2013</v>
      </c>
      <c r="F1098" t="str">
        <f t="shared" si="35"/>
        <v>WJTE</v>
      </c>
    </row>
    <row r="1099" spans="1:6">
      <c r="A1099" t="s">
        <v>4752</v>
      </c>
      <c r="B1099" t="s">
        <v>4753</v>
      </c>
      <c r="C1099">
        <v>1.03</v>
      </c>
      <c r="D1099" s="1">
        <v>41091</v>
      </c>
      <c r="E1099" s="9">
        <f t="shared" si="36"/>
        <v>2013</v>
      </c>
      <c r="F1099" t="str">
        <f t="shared" si="35"/>
        <v>WKAT</v>
      </c>
    </row>
    <row r="1100" spans="1:6">
      <c r="A1100" t="s">
        <v>4754</v>
      </c>
      <c r="B1100" t="s">
        <v>4450</v>
      </c>
      <c r="C1100">
        <v>1.0376000000000001</v>
      </c>
      <c r="D1100" s="1">
        <v>41091</v>
      </c>
      <c r="E1100" s="9">
        <f t="shared" si="36"/>
        <v>2013</v>
      </c>
      <c r="F1100" t="str">
        <f t="shared" si="35"/>
        <v>WKDA</v>
      </c>
    </row>
    <row r="1101" spans="1:6">
      <c r="A1101" t="s">
        <v>4755</v>
      </c>
      <c r="B1101" t="s">
        <v>4756</v>
      </c>
      <c r="C1101">
        <v>1.0335000000000001</v>
      </c>
      <c r="D1101" s="1">
        <v>41091</v>
      </c>
      <c r="E1101" s="9">
        <f t="shared" si="36"/>
        <v>2013</v>
      </c>
      <c r="F1101" t="str">
        <f t="shared" si="35"/>
        <v>WKDL</v>
      </c>
    </row>
    <row r="1102" spans="1:6">
      <c r="A1102" t="s">
        <v>4757</v>
      </c>
      <c r="B1102" t="s">
        <v>4758</v>
      </c>
      <c r="C1102">
        <v>1.079</v>
      </c>
      <c r="D1102" s="1">
        <v>41091</v>
      </c>
      <c r="E1102" s="9">
        <f t="shared" si="36"/>
        <v>2013</v>
      </c>
      <c r="F1102" t="str">
        <f t="shared" si="35"/>
        <v>WKDN</v>
      </c>
    </row>
    <row r="1103" spans="1:6">
      <c r="A1103" t="s">
        <v>4759</v>
      </c>
      <c r="B1103" t="s">
        <v>4760</v>
      </c>
      <c r="C1103">
        <v>1.02</v>
      </c>
      <c r="D1103" s="1">
        <v>41091</v>
      </c>
      <c r="E1103" s="9">
        <f t="shared" si="36"/>
        <v>2013</v>
      </c>
      <c r="F1103" t="str">
        <f t="shared" si="35"/>
        <v>WKDP</v>
      </c>
    </row>
    <row r="1104" spans="1:6">
      <c r="A1104" t="s">
        <v>4761</v>
      </c>
      <c r="B1104" t="s">
        <v>4762</v>
      </c>
      <c r="C1104">
        <v>1.1637999999999999</v>
      </c>
      <c r="D1104" s="1">
        <v>41091</v>
      </c>
      <c r="E1104" s="9">
        <f t="shared" si="36"/>
        <v>2013</v>
      </c>
      <c r="F1104" t="str">
        <f t="shared" si="35"/>
        <v>WKEL</v>
      </c>
    </row>
    <row r="1105" spans="1:6">
      <c r="A1105" t="s">
        <v>4763</v>
      </c>
      <c r="B1105" t="s">
        <v>4764</v>
      </c>
      <c r="C1105">
        <v>1.0057</v>
      </c>
      <c r="D1105" s="1">
        <v>41091</v>
      </c>
      <c r="E1105" s="9">
        <f t="shared" si="36"/>
        <v>2013</v>
      </c>
      <c r="F1105" t="str">
        <f t="shared" si="35"/>
        <v>WKEM</v>
      </c>
    </row>
    <row r="1106" spans="1:6">
      <c r="A1106" t="s">
        <v>4765</v>
      </c>
      <c r="B1106" t="s">
        <v>4766</v>
      </c>
      <c r="C1106">
        <v>1.0244</v>
      </c>
      <c r="D1106" s="1">
        <v>41091</v>
      </c>
      <c r="E1106" s="9">
        <f t="shared" si="36"/>
        <v>2013</v>
      </c>
      <c r="F1106" t="str">
        <f t="shared" si="35"/>
        <v>WKMC</v>
      </c>
    </row>
    <row r="1107" spans="1:6">
      <c r="A1107" t="s">
        <v>4767</v>
      </c>
      <c r="B1107" t="s">
        <v>4942</v>
      </c>
      <c r="C1107">
        <v>1.0177</v>
      </c>
      <c r="D1107" s="1">
        <v>41091</v>
      </c>
      <c r="E1107" s="9">
        <f t="shared" si="36"/>
        <v>2013</v>
      </c>
      <c r="F1107" t="str">
        <f t="shared" si="35"/>
        <v>WKMK</v>
      </c>
    </row>
    <row r="1108" spans="1:6">
      <c r="A1108" t="s">
        <v>4769</v>
      </c>
      <c r="B1108" t="s">
        <v>4770</v>
      </c>
      <c r="C1108">
        <v>1.0335000000000001</v>
      </c>
      <c r="D1108" s="1">
        <v>41091</v>
      </c>
      <c r="E1108" s="9">
        <f t="shared" si="36"/>
        <v>2013</v>
      </c>
      <c r="F1108" t="str">
        <f t="shared" si="35"/>
        <v>WKMM</v>
      </c>
    </row>
    <row r="1109" spans="1:6">
      <c r="A1109" t="s">
        <v>4771</v>
      </c>
      <c r="B1109" t="s">
        <v>4772</v>
      </c>
      <c r="C1109">
        <v>1.0152000000000001</v>
      </c>
      <c r="D1109" s="1">
        <v>41091</v>
      </c>
      <c r="E1109" s="9">
        <f t="shared" si="36"/>
        <v>2013</v>
      </c>
      <c r="F1109" t="str">
        <f t="shared" si="35"/>
        <v>WKND</v>
      </c>
    </row>
    <row r="1110" spans="1:6">
      <c r="A1110" t="s">
        <v>4773</v>
      </c>
      <c r="B1110" t="s">
        <v>4774</v>
      </c>
      <c r="C1110">
        <v>1.0309999999999999</v>
      </c>
      <c r="D1110" s="1">
        <v>41091</v>
      </c>
      <c r="E1110" s="9">
        <f t="shared" si="36"/>
        <v>2013</v>
      </c>
      <c r="F1110" t="str">
        <f t="shared" si="35"/>
        <v>WKOJ</v>
      </c>
    </row>
    <row r="1111" spans="1:6">
      <c r="A1111" t="s">
        <v>4775</v>
      </c>
      <c r="B1111" t="s">
        <v>4776</v>
      </c>
      <c r="C1111">
        <v>1.0164</v>
      </c>
      <c r="D1111" s="1">
        <v>41091</v>
      </c>
      <c r="E1111" s="9">
        <f t="shared" si="36"/>
        <v>2013</v>
      </c>
      <c r="F1111" t="str">
        <f t="shared" si="35"/>
        <v>WKPS</v>
      </c>
    </row>
    <row r="1112" spans="1:6">
      <c r="A1112" t="s">
        <v>4777</v>
      </c>
      <c r="B1112" t="s">
        <v>4778</v>
      </c>
      <c r="C1112">
        <v>1.0405</v>
      </c>
      <c r="D1112" s="1">
        <v>41091</v>
      </c>
      <c r="E1112" s="9">
        <f t="shared" si="36"/>
        <v>2013</v>
      </c>
      <c r="F1112" t="str">
        <f t="shared" si="35"/>
        <v>WLDE</v>
      </c>
    </row>
    <row r="1113" spans="1:6">
      <c r="A1113" t="s">
        <v>4779</v>
      </c>
      <c r="B1113" t="s">
        <v>4780</v>
      </c>
      <c r="C1113">
        <v>1.0409999999999999</v>
      </c>
      <c r="D1113" s="1">
        <v>41091</v>
      </c>
      <c r="E1113" s="9">
        <f t="shared" si="36"/>
        <v>2013</v>
      </c>
      <c r="F1113" t="str">
        <f t="shared" si="35"/>
        <v>WMAG</v>
      </c>
    </row>
    <row r="1114" spans="1:6">
      <c r="A1114" t="s">
        <v>4783</v>
      </c>
      <c r="B1114" t="s">
        <v>4784</v>
      </c>
      <c r="C1114">
        <v>1.0423</v>
      </c>
      <c r="D1114" s="1">
        <v>41091</v>
      </c>
      <c r="E1114" s="9">
        <f t="shared" si="36"/>
        <v>2013</v>
      </c>
      <c r="F1114" t="str">
        <f t="shared" si="35"/>
        <v>WMCR</v>
      </c>
    </row>
    <row r="1115" spans="1:6">
      <c r="A1115" t="s">
        <v>4789</v>
      </c>
      <c r="B1115" t="s">
        <v>4790</v>
      </c>
      <c r="C1115">
        <v>1.0246</v>
      </c>
      <c r="D1115" s="1">
        <v>41091</v>
      </c>
      <c r="E1115" s="9">
        <f t="shared" si="36"/>
        <v>2013</v>
      </c>
      <c r="F1115" t="str">
        <f t="shared" si="35"/>
        <v>WMED</v>
      </c>
    </row>
    <row r="1116" spans="1:6">
      <c r="A1116" t="s">
        <v>4793</v>
      </c>
      <c r="B1116" t="s">
        <v>4794</v>
      </c>
      <c r="C1116">
        <v>1.0181</v>
      </c>
      <c r="D1116" s="1">
        <v>41091</v>
      </c>
      <c r="E1116" s="9">
        <f t="shared" si="36"/>
        <v>2013</v>
      </c>
      <c r="F1116" t="str">
        <f t="shared" si="35"/>
        <v>WMGA</v>
      </c>
    </row>
    <row r="1117" spans="1:6">
      <c r="A1117" t="s">
        <v>4795</v>
      </c>
      <c r="B1117" t="s">
        <v>4796</v>
      </c>
      <c r="C1117">
        <v>1.0269999999999999</v>
      </c>
      <c r="D1117" s="1">
        <v>41091</v>
      </c>
      <c r="E1117" s="9">
        <f t="shared" si="36"/>
        <v>2013</v>
      </c>
      <c r="F1117" t="str">
        <f t="shared" si="35"/>
        <v>WMHA</v>
      </c>
    </row>
    <row r="1118" spans="1:6">
      <c r="A1118" t="s">
        <v>4797</v>
      </c>
      <c r="B1118" t="s">
        <v>4798</v>
      </c>
      <c r="C1118">
        <v>1.0411999999999999</v>
      </c>
      <c r="D1118" s="1">
        <v>41091</v>
      </c>
      <c r="E1118" s="9">
        <f t="shared" si="36"/>
        <v>2013</v>
      </c>
      <c r="F1118" t="str">
        <f t="shared" si="35"/>
        <v>WMIL</v>
      </c>
    </row>
    <row r="1119" spans="1:6">
      <c r="A1119" t="s">
        <v>4799</v>
      </c>
      <c r="B1119" t="s">
        <v>4800</v>
      </c>
      <c r="C1119">
        <v>1.02</v>
      </c>
      <c r="D1119" s="1">
        <v>41091</v>
      </c>
      <c r="E1119" s="9">
        <f t="shared" si="36"/>
        <v>2013</v>
      </c>
      <c r="F1119" t="str">
        <f t="shared" si="35"/>
        <v>WMJP</v>
      </c>
    </row>
    <row r="1120" spans="1:6">
      <c r="A1120" t="s">
        <v>4801</v>
      </c>
      <c r="B1120" t="s">
        <v>4802</v>
      </c>
      <c r="C1120">
        <v>1.0335000000000001</v>
      </c>
      <c r="D1120" s="1">
        <v>41091</v>
      </c>
      <c r="E1120" s="9">
        <f t="shared" si="36"/>
        <v>2013</v>
      </c>
      <c r="F1120" t="str">
        <f t="shared" si="35"/>
        <v>WMJX</v>
      </c>
    </row>
    <row r="1121" spans="1:6">
      <c r="A1121" t="s">
        <v>4803</v>
      </c>
      <c r="B1121" t="s">
        <v>4804</v>
      </c>
      <c r="C1121">
        <v>1.0363</v>
      </c>
      <c r="D1121" s="1">
        <v>41091</v>
      </c>
      <c r="E1121" s="9">
        <f t="shared" si="36"/>
        <v>2013</v>
      </c>
      <c r="F1121" t="str">
        <f t="shared" si="35"/>
        <v>WMLG</v>
      </c>
    </row>
    <row r="1122" spans="1:6">
      <c r="A1122" t="s">
        <v>4805</v>
      </c>
      <c r="B1122" t="s">
        <v>4806</v>
      </c>
      <c r="C1122">
        <v>1.0477000000000001</v>
      </c>
      <c r="D1122" s="1">
        <v>41091</v>
      </c>
      <c r="E1122" s="9">
        <f t="shared" si="36"/>
        <v>2013</v>
      </c>
      <c r="F1122" t="str">
        <f t="shared" si="35"/>
        <v>WMOR</v>
      </c>
    </row>
    <row r="1123" spans="1:6">
      <c r="A1123" t="s">
        <v>4807</v>
      </c>
      <c r="B1123" t="s">
        <v>4808</v>
      </c>
      <c r="C1123">
        <v>1.0406</v>
      </c>
      <c r="D1123" s="1">
        <v>41091</v>
      </c>
      <c r="E1123" s="9">
        <f t="shared" si="36"/>
        <v>2013</v>
      </c>
      <c r="F1123" t="str">
        <f t="shared" si="35"/>
        <v>WMOY</v>
      </c>
    </row>
    <row r="1124" spans="1:6">
      <c r="A1124" t="s">
        <v>4809</v>
      </c>
      <c r="B1124" t="s">
        <v>4810</v>
      </c>
      <c r="C1124">
        <v>1</v>
      </c>
      <c r="D1124" s="1">
        <v>41091</v>
      </c>
      <c r="E1124" s="9">
        <f t="shared" si="36"/>
        <v>2013</v>
      </c>
      <c r="F1124" t="str">
        <f t="shared" si="35"/>
        <v>WMPS</v>
      </c>
    </row>
    <row r="1125" spans="1:6">
      <c r="A1125" t="s">
        <v>4811</v>
      </c>
      <c r="B1125" t="s">
        <v>4812</v>
      </c>
      <c r="C1125">
        <v>1.0084</v>
      </c>
      <c r="D1125" s="1">
        <v>41091</v>
      </c>
      <c r="E1125" s="9">
        <f t="shared" si="36"/>
        <v>2013</v>
      </c>
      <c r="F1125" t="str">
        <f t="shared" si="35"/>
        <v>WMRR</v>
      </c>
    </row>
    <row r="1126" spans="1:6">
      <c r="A1126" t="s">
        <v>4813</v>
      </c>
      <c r="B1126" t="s">
        <v>4814</v>
      </c>
      <c r="C1126">
        <v>1.0915999999999999</v>
      </c>
      <c r="D1126" s="1">
        <v>41091</v>
      </c>
      <c r="E1126" s="9">
        <f t="shared" si="36"/>
        <v>2013</v>
      </c>
      <c r="F1126" t="str">
        <f t="shared" si="35"/>
        <v>WMRV</v>
      </c>
    </row>
    <row r="1127" spans="1:6">
      <c r="A1127" t="s">
        <v>4815</v>
      </c>
      <c r="B1127" t="s">
        <v>4816</v>
      </c>
      <c r="C1127">
        <v>1.0193000000000001</v>
      </c>
      <c r="D1127" s="1">
        <v>41091</v>
      </c>
      <c r="E1127" s="9">
        <f t="shared" si="36"/>
        <v>2013</v>
      </c>
      <c r="F1127" t="str">
        <f t="shared" si="35"/>
        <v>WMSR</v>
      </c>
    </row>
    <row r="1128" spans="1:6">
      <c r="A1128" t="s">
        <v>4817</v>
      </c>
      <c r="B1128" t="s">
        <v>4818</v>
      </c>
      <c r="C1128">
        <v>1.0256000000000001</v>
      </c>
      <c r="D1128" s="1">
        <v>41091</v>
      </c>
      <c r="E1128" s="9">
        <f t="shared" si="36"/>
        <v>2013</v>
      </c>
      <c r="F1128" t="str">
        <f t="shared" si="35"/>
        <v>WMSS</v>
      </c>
    </row>
    <row r="1129" spans="1:6">
      <c r="A1129" t="s">
        <v>4819</v>
      </c>
      <c r="B1129" t="s">
        <v>4820</v>
      </c>
      <c r="C1129">
        <v>1.0351999999999999</v>
      </c>
      <c r="D1129" s="1">
        <v>41091</v>
      </c>
      <c r="E1129" s="9">
        <f t="shared" si="36"/>
        <v>2013</v>
      </c>
      <c r="F1129" t="str">
        <f t="shared" si="35"/>
        <v>WMUC</v>
      </c>
    </row>
    <row r="1130" spans="1:6">
      <c r="A1130" t="s">
        <v>4821</v>
      </c>
      <c r="B1130" t="s">
        <v>4822</v>
      </c>
      <c r="C1130">
        <v>1.0405</v>
      </c>
      <c r="D1130" s="1">
        <v>41091</v>
      </c>
      <c r="E1130" s="9">
        <f t="shared" si="36"/>
        <v>2013</v>
      </c>
      <c r="F1130" t="str">
        <f t="shared" si="35"/>
        <v>WMUL</v>
      </c>
    </row>
    <row r="1131" spans="1:6">
      <c r="A1131" t="s">
        <v>4823</v>
      </c>
      <c r="B1131" t="s">
        <v>4824</v>
      </c>
      <c r="C1131">
        <v>1.0264</v>
      </c>
      <c r="D1131" s="1">
        <v>41091</v>
      </c>
      <c r="E1131" s="9">
        <f t="shared" si="36"/>
        <v>2013</v>
      </c>
      <c r="F1131" t="str">
        <f t="shared" si="35"/>
        <v>WMUR</v>
      </c>
    </row>
    <row r="1132" spans="1:6">
      <c r="A1132" t="s">
        <v>4825</v>
      </c>
      <c r="B1132" t="s">
        <v>4826</v>
      </c>
      <c r="C1132">
        <v>1.0531999999999999</v>
      </c>
      <c r="D1132" s="1">
        <v>41091</v>
      </c>
      <c r="E1132" s="9">
        <f t="shared" si="36"/>
        <v>2013</v>
      </c>
      <c r="F1132" t="str">
        <f t="shared" si="35"/>
        <v>WMWR</v>
      </c>
    </row>
    <row r="1133" spans="1:6">
      <c r="A1133" t="s">
        <v>4827</v>
      </c>
      <c r="B1133" t="s">
        <v>4828</v>
      </c>
      <c r="C1133">
        <v>1.0429999999999999</v>
      </c>
      <c r="D1133" s="1">
        <v>41091</v>
      </c>
      <c r="E1133" s="9">
        <f t="shared" si="36"/>
        <v>2013</v>
      </c>
      <c r="F1133" t="str">
        <f t="shared" si="35"/>
        <v>WMYR</v>
      </c>
    </row>
    <row r="1134" spans="1:6">
      <c r="A1134" t="s">
        <v>4829</v>
      </c>
      <c r="B1134" t="s">
        <v>4830</v>
      </c>
      <c r="C1134">
        <v>1.0414000000000001</v>
      </c>
      <c r="D1134" s="1">
        <v>41091</v>
      </c>
      <c r="E1134" s="9">
        <f t="shared" si="36"/>
        <v>2013</v>
      </c>
      <c r="F1134" t="str">
        <f t="shared" si="35"/>
        <v>WNBH</v>
      </c>
    </row>
    <row r="1135" spans="1:6">
      <c r="A1135" t="s">
        <v>4831</v>
      </c>
      <c r="B1135" t="s">
        <v>4832</v>
      </c>
      <c r="C1135">
        <v>1.0427</v>
      </c>
      <c r="D1135" s="1">
        <v>41091</v>
      </c>
      <c r="E1135" s="9">
        <f t="shared" si="36"/>
        <v>2013</v>
      </c>
      <c r="F1135" t="str">
        <f t="shared" si="35"/>
        <v>WNED</v>
      </c>
    </row>
    <row r="1136" spans="1:6">
      <c r="A1136" t="s">
        <v>4833</v>
      </c>
      <c r="B1136" t="s">
        <v>4834</v>
      </c>
      <c r="C1136">
        <v>1.0370999999999999</v>
      </c>
      <c r="D1136" s="1">
        <v>41091</v>
      </c>
      <c r="E1136" s="9">
        <f t="shared" si="36"/>
        <v>2013</v>
      </c>
      <c r="F1136" t="str">
        <f t="shared" ref="F1136:F1199" si="37">A1136</f>
        <v>WNFL</v>
      </c>
    </row>
    <row r="1137" spans="1:6">
      <c r="A1137" t="s">
        <v>4835</v>
      </c>
      <c r="B1137" t="s">
        <v>4581</v>
      </c>
      <c r="C1137">
        <v>1.0208999999999999</v>
      </c>
      <c r="D1137" s="1">
        <v>41091</v>
      </c>
      <c r="E1137" s="9">
        <f t="shared" si="36"/>
        <v>2013</v>
      </c>
      <c r="F1137" t="str">
        <f t="shared" si="37"/>
        <v>WNGK</v>
      </c>
    </row>
    <row r="1138" spans="1:6">
      <c r="A1138" t="s">
        <v>4836</v>
      </c>
      <c r="B1138" t="s">
        <v>4837</v>
      </c>
      <c r="C1138">
        <v>1.0575000000000001</v>
      </c>
      <c r="D1138" s="1">
        <v>41091</v>
      </c>
      <c r="E1138" s="9">
        <f t="shared" si="36"/>
        <v>2013</v>
      </c>
      <c r="F1138" t="str">
        <f t="shared" si="37"/>
        <v>WNGN</v>
      </c>
    </row>
    <row r="1139" spans="1:6">
      <c r="A1139" t="s">
        <v>4838</v>
      </c>
      <c r="B1139" t="s">
        <v>4839</v>
      </c>
      <c r="C1139">
        <v>1.0662</v>
      </c>
      <c r="D1139" s="1">
        <v>41091</v>
      </c>
      <c r="E1139" s="9">
        <f t="shared" si="36"/>
        <v>2013</v>
      </c>
      <c r="F1139" t="str">
        <f t="shared" si="37"/>
        <v>WNOR</v>
      </c>
    </row>
    <row r="1140" spans="1:6">
      <c r="A1140" t="s">
        <v>4842</v>
      </c>
      <c r="B1140" t="s">
        <v>4843</v>
      </c>
      <c r="C1140">
        <v>1.0403</v>
      </c>
      <c r="D1140" s="1">
        <v>41091</v>
      </c>
      <c r="E1140" s="9">
        <f t="shared" si="36"/>
        <v>2013</v>
      </c>
      <c r="F1140" t="str">
        <f t="shared" si="37"/>
        <v>WNPH</v>
      </c>
    </row>
    <row r="1141" spans="1:6">
      <c r="A1141" t="s">
        <v>4844</v>
      </c>
      <c r="B1141" t="s">
        <v>4845</v>
      </c>
      <c r="C1141">
        <v>1.0411999999999999</v>
      </c>
      <c r="D1141" s="1">
        <v>41091</v>
      </c>
      <c r="E1141" s="9">
        <f t="shared" si="36"/>
        <v>2013</v>
      </c>
      <c r="F1141" t="str">
        <f t="shared" si="37"/>
        <v>WOCN</v>
      </c>
    </row>
    <row r="1142" spans="1:6">
      <c r="A1142" t="s">
        <v>4846</v>
      </c>
      <c r="B1142" t="s">
        <v>4847</v>
      </c>
      <c r="C1142">
        <v>1.0415000000000001</v>
      </c>
      <c r="D1142" s="1">
        <v>41091</v>
      </c>
      <c r="E1142" s="9">
        <f t="shared" si="36"/>
        <v>2013</v>
      </c>
      <c r="F1142" t="str">
        <f t="shared" si="37"/>
        <v>WOPK</v>
      </c>
    </row>
    <row r="1143" spans="1:6">
      <c r="A1143" t="s">
        <v>4848</v>
      </c>
      <c r="B1143" t="s">
        <v>4849</v>
      </c>
      <c r="C1143">
        <v>1.0418000000000001</v>
      </c>
      <c r="D1143" s="1">
        <v>41091</v>
      </c>
      <c r="E1143" s="9">
        <f t="shared" si="36"/>
        <v>2013</v>
      </c>
      <c r="F1143" t="str">
        <f t="shared" si="37"/>
        <v>WPBY</v>
      </c>
    </row>
    <row r="1144" spans="1:6">
      <c r="A1144" t="s">
        <v>4850</v>
      </c>
      <c r="B1144" t="s">
        <v>4851</v>
      </c>
      <c r="C1144">
        <v>1.2362</v>
      </c>
      <c r="D1144" s="1">
        <v>41091</v>
      </c>
      <c r="E1144" s="9">
        <f t="shared" si="36"/>
        <v>2013</v>
      </c>
      <c r="F1144" t="str">
        <f t="shared" si="37"/>
        <v>WPCY</v>
      </c>
    </row>
    <row r="1145" spans="1:6">
      <c r="A1145" t="s">
        <v>4852</v>
      </c>
      <c r="B1145" t="s">
        <v>4853</v>
      </c>
      <c r="C1145">
        <v>1.0166999999999999</v>
      </c>
      <c r="D1145" s="1">
        <v>41091</v>
      </c>
      <c r="E1145" s="9">
        <f t="shared" si="36"/>
        <v>2013</v>
      </c>
      <c r="F1145" t="str">
        <f t="shared" si="37"/>
        <v>WPIC</v>
      </c>
    </row>
    <row r="1146" spans="1:6">
      <c r="A1146" t="s">
        <v>4854</v>
      </c>
      <c r="B1146" t="s">
        <v>4855</v>
      </c>
      <c r="C1146">
        <v>1.0295000000000001</v>
      </c>
      <c r="D1146" s="1">
        <v>41091</v>
      </c>
      <c r="E1146" s="9">
        <f t="shared" si="36"/>
        <v>2013</v>
      </c>
      <c r="F1146" t="str">
        <f t="shared" si="37"/>
        <v>WPJR</v>
      </c>
    </row>
    <row r="1147" spans="1:6">
      <c r="A1147" t="s">
        <v>4858</v>
      </c>
      <c r="B1147" t="s">
        <v>4859</v>
      </c>
      <c r="C1147">
        <v>1.0259</v>
      </c>
      <c r="D1147" s="1">
        <v>41091</v>
      </c>
      <c r="E1147" s="9">
        <f t="shared" si="36"/>
        <v>2013</v>
      </c>
      <c r="F1147" t="str">
        <f t="shared" si="37"/>
        <v>WPLD</v>
      </c>
    </row>
    <row r="1148" spans="1:6">
      <c r="A1148" t="s">
        <v>4860</v>
      </c>
      <c r="B1148" t="s">
        <v>4861</v>
      </c>
      <c r="C1148">
        <v>1.0179</v>
      </c>
      <c r="D1148" s="1">
        <v>41091</v>
      </c>
      <c r="E1148" s="9">
        <f t="shared" si="36"/>
        <v>2013</v>
      </c>
      <c r="F1148" t="str">
        <f t="shared" si="37"/>
        <v>WPNJ</v>
      </c>
    </row>
    <row r="1149" spans="1:6">
      <c r="A1149" t="s">
        <v>4862</v>
      </c>
      <c r="B1149" t="s">
        <v>4863</v>
      </c>
      <c r="C1149">
        <v>1.0387</v>
      </c>
      <c r="D1149" s="1">
        <v>41091</v>
      </c>
      <c r="E1149" s="9">
        <f t="shared" si="36"/>
        <v>2013</v>
      </c>
      <c r="F1149" t="str">
        <f t="shared" si="37"/>
        <v>WRAN</v>
      </c>
    </row>
    <row r="1150" spans="1:6">
      <c r="A1150" t="s">
        <v>4948</v>
      </c>
      <c r="B1150" t="s">
        <v>4949</v>
      </c>
      <c r="C1150">
        <v>1.0062</v>
      </c>
      <c r="D1150" s="1">
        <v>41091</v>
      </c>
      <c r="E1150" s="9">
        <f t="shared" si="36"/>
        <v>2013</v>
      </c>
      <c r="F1150" t="str">
        <f t="shared" si="37"/>
        <v>WRBD</v>
      </c>
    </row>
    <row r="1151" spans="1:6">
      <c r="A1151" t="s">
        <v>4864</v>
      </c>
      <c r="B1151" t="s">
        <v>4865</v>
      </c>
      <c r="C1151">
        <v>1.0304</v>
      </c>
      <c r="D1151" s="1">
        <v>41091</v>
      </c>
      <c r="E1151" s="9">
        <f t="shared" si="36"/>
        <v>2013</v>
      </c>
      <c r="F1151" t="str">
        <f t="shared" si="37"/>
        <v>WRGN</v>
      </c>
    </row>
    <row r="1152" spans="1:6">
      <c r="A1152" t="s">
        <v>4866</v>
      </c>
      <c r="B1152" t="s">
        <v>4513</v>
      </c>
      <c r="C1152">
        <v>1.0255000000000001</v>
      </c>
      <c r="D1152" s="1">
        <v>41091</v>
      </c>
      <c r="E1152" s="9">
        <f t="shared" si="36"/>
        <v>2013</v>
      </c>
      <c r="F1152" t="str">
        <f t="shared" si="37"/>
        <v>WROH</v>
      </c>
    </row>
    <row r="1153" spans="1:6">
      <c r="A1153" t="s">
        <v>4867</v>
      </c>
      <c r="B1153" t="s">
        <v>4868</v>
      </c>
      <c r="C1153">
        <v>1.028</v>
      </c>
      <c r="D1153" s="1">
        <v>41091</v>
      </c>
      <c r="E1153" s="9">
        <f t="shared" si="36"/>
        <v>2013</v>
      </c>
      <c r="F1153" t="str">
        <f t="shared" si="37"/>
        <v>WRTN</v>
      </c>
    </row>
    <row r="1154" spans="1:6">
      <c r="A1154" t="s">
        <v>4869</v>
      </c>
      <c r="B1154" t="s">
        <v>4870</v>
      </c>
      <c r="C1154">
        <v>1.0341</v>
      </c>
      <c r="D1154" s="1">
        <v>41091</v>
      </c>
      <c r="E1154" s="9">
        <f t="shared" si="36"/>
        <v>2013</v>
      </c>
      <c r="F1154" t="str">
        <f t="shared" si="37"/>
        <v>WRVE</v>
      </c>
    </row>
    <row r="1155" spans="1:6">
      <c r="A1155" t="s">
        <v>4873</v>
      </c>
      <c r="B1155" t="s">
        <v>4874</v>
      </c>
      <c r="C1155">
        <v>1.0276000000000001</v>
      </c>
      <c r="D1155" s="1">
        <v>41091</v>
      </c>
      <c r="E1155" s="9">
        <f t="shared" ref="E1155:E1218" si="38">YEAR(D1155)+1</f>
        <v>2013</v>
      </c>
      <c r="F1155" t="str">
        <f t="shared" si="37"/>
        <v>WSNR</v>
      </c>
    </row>
    <row r="1156" spans="1:6">
      <c r="A1156" t="s">
        <v>4871</v>
      </c>
      <c r="B1156" t="s">
        <v>4872</v>
      </c>
      <c r="C1156">
        <v>1.0246</v>
      </c>
      <c r="D1156" s="1">
        <v>41091</v>
      </c>
      <c r="E1156" s="9">
        <f t="shared" si="38"/>
        <v>2013</v>
      </c>
      <c r="F1156" t="str">
        <f t="shared" si="37"/>
        <v>WSFT</v>
      </c>
    </row>
    <row r="1157" spans="1:6">
      <c r="A1157" t="s">
        <v>4875</v>
      </c>
      <c r="B1157" t="s">
        <v>4876</v>
      </c>
      <c r="C1157">
        <v>1.0414000000000001</v>
      </c>
      <c r="D1157" s="1">
        <v>41091</v>
      </c>
      <c r="E1157" s="9">
        <f t="shared" si="38"/>
        <v>2013</v>
      </c>
      <c r="F1157" t="str">
        <f t="shared" si="37"/>
        <v>WSPA</v>
      </c>
    </row>
    <row r="1158" spans="1:6">
      <c r="A1158" t="s">
        <v>4879</v>
      </c>
      <c r="B1158" t="s">
        <v>4880</v>
      </c>
      <c r="C1158">
        <v>1.0414000000000001</v>
      </c>
      <c r="D1158" s="1">
        <v>41091</v>
      </c>
      <c r="E1158" s="9">
        <f t="shared" si="38"/>
        <v>2013</v>
      </c>
      <c r="F1158" t="str">
        <f t="shared" si="37"/>
        <v>WSUM</v>
      </c>
    </row>
    <row r="1159" spans="1:6">
      <c r="A1159" t="s">
        <v>4950</v>
      </c>
      <c r="B1159" t="s">
        <v>4882</v>
      </c>
      <c r="C1159">
        <v>1.0771999999999999</v>
      </c>
      <c r="D1159" s="1">
        <v>41091</v>
      </c>
      <c r="E1159" s="9">
        <f t="shared" si="38"/>
        <v>2013</v>
      </c>
      <c r="F1159" t="str">
        <f t="shared" si="37"/>
        <v>WSVL</v>
      </c>
    </row>
    <row r="1160" spans="1:6">
      <c r="A1160" t="s">
        <v>4883</v>
      </c>
      <c r="B1160" t="s">
        <v>4884</v>
      </c>
      <c r="C1160">
        <v>1.0345</v>
      </c>
      <c r="D1160" s="1">
        <v>41091</v>
      </c>
      <c r="E1160" s="9">
        <f t="shared" si="38"/>
        <v>2013</v>
      </c>
      <c r="F1160" t="str">
        <f t="shared" si="37"/>
        <v>WTLN</v>
      </c>
    </row>
    <row r="1161" spans="1:6">
      <c r="A1161" t="s">
        <v>4885</v>
      </c>
      <c r="B1161" t="s">
        <v>4886</v>
      </c>
      <c r="C1161">
        <v>1.0384</v>
      </c>
      <c r="D1161" s="1">
        <v>41091</v>
      </c>
      <c r="E1161" s="9">
        <f t="shared" si="38"/>
        <v>2013</v>
      </c>
      <c r="F1161" t="str">
        <f t="shared" si="37"/>
        <v>WTSG</v>
      </c>
    </row>
    <row r="1162" spans="1:6">
      <c r="A1162" t="s">
        <v>4889</v>
      </c>
      <c r="B1162" t="s">
        <v>4890</v>
      </c>
      <c r="C1162">
        <v>1.0337000000000001</v>
      </c>
      <c r="D1162" s="1">
        <v>41091</v>
      </c>
      <c r="E1162" s="9">
        <f t="shared" si="38"/>
        <v>2013</v>
      </c>
      <c r="F1162" t="str">
        <f t="shared" si="37"/>
        <v>WTTS</v>
      </c>
    </row>
    <row r="1163" spans="1:6">
      <c r="A1163" t="s">
        <v>4891</v>
      </c>
      <c r="B1163" t="s">
        <v>4892</v>
      </c>
      <c r="C1163">
        <v>1.0426</v>
      </c>
      <c r="D1163" s="1">
        <v>41091</v>
      </c>
      <c r="E1163" s="9">
        <f t="shared" si="38"/>
        <v>2013</v>
      </c>
      <c r="F1163" t="str">
        <f t="shared" si="37"/>
        <v>WUNI</v>
      </c>
    </row>
    <row r="1164" spans="1:6">
      <c r="A1164" t="s">
        <v>4893</v>
      </c>
      <c r="B1164" t="s">
        <v>4894</v>
      </c>
      <c r="C1164">
        <v>1.0351999999999999</v>
      </c>
      <c r="D1164" s="1">
        <v>41091</v>
      </c>
      <c r="E1164" s="9">
        <f t="shared" si="38"/>
        <v>2013</v>
      </c>
      <c r="F1164" t="str">
        <f t="shared" si="37"/>
        <v>WVPA</v>
      </c>
    </row>
    <row r="1165" spans="1:6">
      <c r="A1165" t="s">
        <v>4895</v>
      </c>
      <c r="B1165" t="s">
        <v>4896</v>
      </c>
      <c r="C1165">
        <v>1.0485</v>
      </c>
      <c r="D1165" s="1">
        <v>41091</v>
      </c>
      <c r="E1165" s="9">
        <f t="shared" si="38"/>
        <v>2013</v>
      </c>
      <c r="F1165" t="str">
        <f t="shared" si="37"/>
        <v>WWAG</v>
      </c>
    </row>
    <row r="1166" spans="1:6">
      <c r="A1166" t="s">
        <v>4897</v>
      </c>
      <c r="B1166" t="s">
        <v>4898</v>
      </c>
      <c r="C1166">
        <v>1.0274000000000001</v>
      </c>
      <c r="D1166" s="1">
        <v>41091</v>
      </c>
      <c r="E1166" s="9">
        <f t="shared" si="38"/>
        <v>2013</v>
      </c>
      <c r="F1166" t="str">
        <f t="shared" si="37"/>
        <v>WWAI</v>
      </c>
    </row>
    <row r="1167" spans="1:6">
      <c r="A1167" t="s">
        <v>4899</v>
      </c>
      <c r="B1167" t="s">
        <v>4900</v>
      </c>
      <c r="C1167">
        <v>0.99729999999999996</v>
      </c>
      <c r="D1167" s="1">
        <v>41091</v>
      </c>
      <c r="E1167" s="9">
        <f t="shared" si="38"/>
        <v>2013</v>
      </c>
      <c r="F1167" t="str">
        <f t="shared" si="37"/>
        <v>WWCL</v>
      </c>
    </row>
    <row r="1168" spans="1:6">
      <c r="A1168" t="s">
        <v>4901</v>
      </c>
      <c r="B1168" t="s">
        <v>4902</v>
      </c>
      <c r="C1168">
        <v>1.0432999999999999</v>
      </c>
      <c r="D1168" s="1">
        <v>41091</v>
      </c>
      <c r="E1168" s="9">
        <f t="shared" si="38"/>
        <v>2013</v>
      </c>
      <c r="F1168" t="str">
        <f t="shared" si="37"/>
        <v>WWDN</v>
      </c>
    </row>
    <row r="1169" spans="1:6">
      <c r="A1169" t="s">
        <v>4943</v>
      </c>
      <c r="B1169" t="s">
        <v>4944</v>
      </c>
      <c r="C1169">
        <v>1.0351999999999999</v>
      </c>
      <c r="D1169" s="1">
        <v>41091</v>
      </c>
      <c r="E1169" s="9">
        <f t="shared" si="38"/>
        <v>2013</v>
      </c>
      <c r="F1169" t="str">
        <f t="shared" si="37"/>
        <v>WWEB</v>
      </c>
    </row>
    <row r="1170" spans="1:6">
      <c r="A1170" t="s">
        <v>4903</v>
      </c>
      <c r="B1170" t="s">
        <v>4904</v>
      </c>
      <c r="C1170">
        <v>1.0327</v>
      </c>
      <c r="D1170" s="1">
        <v>41091</v>
      </c>
      <c r="E1170" s="9">
        <f t="shared" si="38"/>
        <v>2013</v>
      </c>
      <c r="F1170" t="str">
        <f t="shared" si="37"/>
        <v>WWEL</v>
      </c>
    </row>
    <row r="1171" spans="1:6">
      <c r="A1171" t="s">
        <v>4905</v>
      </c>
      <c r="B1171" t="s">
        <v>4906</v>
      </c>
      <c r="C1171">
        <v>1.0402</v>
      </c>
      <c r="D1171" s="1">
        <v>41091</v>
      </c>
      <c r="E1171" s="9">
        <f t="shared" si="38"/>
        <v>2013</v>
      </c>
      <c r="F1171" t="str">
        <f t="shared" si="37"/>
        <v>WWGA</v>
      </c>
    </row>
    <row r="1172" spans="1:6">
      <c r="A1172" t="s">
        <v>4907</v>
      </c>
      <c r="B1172" t="s">
        <v>4908</v>
      </c>
      <c r="C1172">
        <v>0.98980000000000001</v>
      </c>
      <c r="D1172" s="1">
        <v>41091</v>
      </c>
      <c r="E1172" s="9">
        <f t="shared" si="38"/>
        <v>2013</v>
      </c>
      <c r="F1172" t="str">
        <f t="shared" si="37"/>
        <v>WWGP</v>
      </c>
    </row>
    <row r="1173" spans="1:6">
      <c r="A1173" t="s">
        <v>4911</v>
      </c>
      <c r="B1173" t="s">
        <v>4945</v>
      </c>
      <c r="C1173">
        <v>1.0269999999999999</v>
      </c>
      <c r="D1173" s="1">
        <v>41091</v>
      </c>
      <c r="E1173" s="9">
        <f t="shared" si="38"/>
        <v>2013</v>
      </c>
      <c r="F1173" t="str">
        <f t="shared" si="37"/>
        <v>WWLN</v>
      </c>
    </row>
    <row r="1174" spans="1:6">
      <c r="A1174" t="s">
        <v>4913</v>
      </c>
      <c r="B1174" t="s">
        <v>4914</v>
      </c>
      <c r="C1174">
        <v>1.0221</v>
      </c>
      <c r="D1174" s="1">
        <v>41091</v>
      </c>
      <c r="E1174" s="9">
        <f t="shared" si="38"/>
        <v>2013</v>
      </c>
      <c r="F1174" t="str">
        <f t="shared" si="37"/>
        <v>WWMG</v>
      </c>
    </row>
    <row r="1175" spans="1:6">
      <c r="A1175" t="s">
        <v>4915</v>
      </c>
      <c r="B1175" t="s">
        <v>4916</v>
      </c>
      <c r="C1175">
        <v>1.0356000000000001</v>
      </c>
      <c r="D1175" s="1">
        <v>41091</v>
      </c>
      <c r="E1175" s="9">
        <f t="shared" si="38"/>
        <v>2013</v>
      </c>
      <c r="F1175" t="str">
        <f t="shared" si="37"/>
        <v>WWNO</v>
      </c>
    </row>
    <row r="1176" spans="1:6">
      <c r="A1176" t="s">
        <v>4917</v>
      </c>
      <c r="B1176" t="s">
        <v>4918</v>
      </c>
      <c r="C1176">
        <v>1.0427999999999999</v>
      </c>
      <c r="D1176" s="1">
        <v>41091</v>
      </c>
      <c r="E1176" s="9">
        <f t="shared" si="38"/>
        <v>2013</v>
      </c>
      <c r="F1176" t="str">
        <f t="shared" si="37"/>
        <v>WWNT</v>
      </c>
    </row>
    <row r="1177" spans="1:6">
      <c r="A1177" t="s">
        <v>4919</v>
      </c>
      <c r="B1177" t="s">
        <v>4920</v>
      </c>
      <c r="C1177">
        <v>1.032</v>
      </c>
      <c r="D1177" s="1">
        <v>41091</v>
      </c>
      <c r="E1177" s="9">
        <f t="shared" si="38"/>
        <v>2013</v>
      </c>
      <c r="F1177" t="str">
        <f t="shared" si="37"/>
        <v>WWSD</v>
      </c>
    </row>
    <row r="1178" spans="1:6">
      <c r="A1178" t="s">
        <v>4921</v>
      </c>
      <c r="B1178" t="s">
        <v>4922</v>
      </c>
      <c r="C1178">
        <v>1.0703</v>
      </c>
      <c r="D1178" s="1">
        <v>41091</v>
      </c>
      <c r="E1178" s="9">
        <f t="shared" si="38"/>
        <v>2013</v>
      </c>
      <c r="F1178" t="str">
        <f t="shared" si="37"/>
        <v>WWUN</v>
      </c>
    </row>
    <row r="1179" spans="1:6">
      <c r="A1179" t="s">
        <v>4923</v>
      </c>
      <c r="B1179" t="s">
        <v>4924</v>
      </c>
      <c r="C1179">
        <v>0.94440000000000002</v>
      </c>
      <c r="D1179" s="1">
        <v>41091</v>
      </c>
      <c r="E1179" s="9">
        <f t="shared" si="38"/>
        <v>2013</v>
      </c>
      <c r="F1179" t="str">
        <f t="shared" si="37"/>
        <v>WWWF</v>
      </c>
    </row>
    <row r="1180" spans="1:6">
      <c r="A1180" t="s">
        <v>4925</v>
      </c>
      <c r="B1180" t="s">
        <v>4926</v>
      </c>
      <c r="C1180">
        <v>1.0347999999999999</v>
      </c>
      <c r="D1180" s="1">
        <v>41091</v>
      </c>
      <c r="E1180" s="9">
        <f t="shared" si="38"/>
        <v>2013</v>
      </c>
      <c r="F1180" t="str">
        <f t="shared" si="37"/>
        <v>WYCP</v>
      </c>
    </row>
    <row r="1181" spans="1:6">
      <c r="A1181" t="s">
        <v>4929</v>
      </c>
      <c r="B1181" t="s">
        <v>4930</v>
      </c>
      <c r="C1181">
        <v>1.0404</v>
      </c>
      <c r="D1181" s="1">
        <v>41091</v>
      </c>
      <c r="E1181" s="9">
        <f t="shared" si="38"/>
        <v>2013</v>
      </c>
      <c r="F1181" t="str">
        <f t="shared" si="37"/>
        <v>WYKE</v>
      </c>
    </row>
    <row r="1182" spans="1:6">
      <c r="A1182" t="s">
        <v>4598</v>
      </c>
      <c r="B1182" t="s">
        <v>4599</v>
      </c>
      <c r="C1182">
        <v>1.2253000000000001</v>
      </c>
      <c r="D1182" s="1">
        <v>41091</v>
      </c>
      <c r="E1182" s="9">
        <f t="shared" si="38"/>
        <v>2013</v>
      </c>
      <c r="F1182" t="str">
        <f t="shared" si="37"/>
        <v>TBLS</v>
      </c>
    </row>
    <row r="1183" spans="1:6">
      <c r="A1183" t="s">
        <v>4617</v>
      </c>
      <c r="B1183" t="s">
        <v>4618</v>
      </c>
      <c r="C1183">
        <v>1.0782</v>
      </c>
      <c r="D1183" s="1">
        <v>41091</v>
      </c>
      <c r="E1183" s="9">
        <f t="shared" si="38"/>
        <v>2013</v>
      </c>
      <c r="F1183" t="str">
        <f t="shared" si="37"/>
        <v>TWKG</v>
      </c>
    </row>
    <row r="1184" spans="1:6">
      <c r="A1184" t="s">
        <v>4627</v>
      </c>
      <c r="B1184" t="s">
        <v>4628</v>
      </c>
      <c r="C1184">
        <v>1.0720000000000001</v>
      </c>
      <c r="D1184" s="1">
        <v>41091</v>
      </c>
      <c r="E1184" s="9">
        <f t="shared" si="38"/>
        <v>2013</v>
      </c>
      <c r="F1184" t="str">
        <f t="shared" si="37"/>
        <v>WALB</v>
      </c>
    </row>
    <row r="1185" spans="1:6">
      <c r="A1185" t="s">
        <v>4639</v>
      </c>
      <c r="B1185" t="s">
        <v>4640</v>
      </c>
      <c r="C1185">
        <v>1.1195999999999999</v>
      </c>
      <c r="D1185" s="1">
        <v>41091</v>
      </c>
      <c r="E1185" s="9">
        <f t="shared" si="38"/>
        <v>2013</v>
      </c>
      <c r="F1185" t="str">
        <f t="shared" si="37"/>
        <v>WBDE</v>
      </c>
    </row>
    <row r="1186" spans="1:6">
      <c r="A1186" t="s">
        <v>4653</v>
      </c>
      <c r="B1186" t="s">
        <v>4654</v>
      </c>
      <c r="C1186">
        <v>1.2362</v>
      </c>
      <c r="D1186" s="1">
        <v>41091</v>
      </c>
      <c r="E1186" s="9">
        <f t="shared" si="38"/>
        <v>2013</v>
      </c>
      <c r="F1186" t="str">
        <f t="shared" si="37"/>
        <v>WBKF</v>
      </c>
    </row>
    <row r="1187" spans="1:6">
      <c r="A1187" t="s">
        <v>4655</v>
      </c>
      <c r="B1187" t="s">
        <v>4656</v>
      </c>
      <c r="C1187">
        <v>1.2324999999999999</v>
      </c>
      <c r="D1187" s="1">
        <v>41091</v>
      </c>
      <c r="E1187" s="9">
        <f t="shared" si="38"/>
        <v>2013</v>
      </c>
      <c r="F1187" t="str">
        <f t="shared" si="37"/>
        <v>WBLD</v>
      </c>
    </row>
    <row r="1188" spans="1:6">
      <c r="A1188" t="s">
        <v>4659</v>
      </c>
      <c r="B1188" t="s">
        <v>4660</v>
      </c>
      <c r="C1188">
        <v>1.1084000000000001</v>
      </c>
      <c r="D1188" s="1">
        <v>41091</v>
      </c>
      <c r="E1188" s="9">
        <f t="shared" si="38"/>
        <v>2013</v>
      </c>
      <c r="F1188" t="str">
        <f t="shared" si="37"/>
        <v>WBNY</v>
      </c>
    </row>
    <row r="1189" spans="1:6">
      <c r="A1189" t="s">
        <v>4679</v>
      </c>
      <c r="B1189" t="s">
        <v>4680</v>
      </c>
      <c r="C1189">
        <v>1.2132000000000001</v>
      </c>
      <c r="D1189" s="1">
        <v>41091</v>
      </c>
      <c r="E1189" s="9">
        <f t="shared" si="38"/>
        <v>2013</v>
      </c>
      <c r="F1189" t="str">
        <f t="shared" si="37"/>
        <v>WCAR</v>
      </c>
    </row>
    <row r="1190" spans="1:6">
      <c r="A1190" t="s">
        <v>4686</v>
      </c>
      <c r="B1190" t="s">
        <v>4687</v>
      </c>
      <c r="C1190">
        <v>1.0392999999999999</v>
      </c>
      <c r="D1190" s="1">
        <v>41091</v>
      </c>
      <c r="E1190" s="9">
        <f t="shared" si="38"/>
        <v>2013</v>
      </c>
      <c r="F1190" t="str">
        <f t="shared" si="37"/>
        <v>WCGW</v>
      </c>
    </row>
    <row r="1191" spans="1:6">
      <c r="A1191" t="s">
        <v>4781</v>
      </c>
      <c r="B1191" t="s">
        <v>4782</v>
      </c>
      <c r="C1191">
        <v>1.0699000000000001</v>
      </c>
      <c r="D1191" s="1">
        <v>41091</v>
      </c>
      <c r="E1191" s="9">
        <f t="shared" si="38"/>
        <v>2013</v>
      </c>
      <c r="F1191" t="str">
        <f t="shared" si="37"/>
        <v>WMBR</v>
      </c>
    </row>
    <row r="1192" spans="1:6">
      <c r="A1192" t="s">
        <v>4791</v>
      </c>
      <c r="B1192" t="s">
        <v>4792</v>
      </c>
      <c r="C1192">
        <v>1.1229</v>
      </c>
      <c r="D1192" s="1">
        <v>41091</v>
      </c>
      <c r="E1192" s="9">
        <f t="shared" si="38"/>
        <v>2013</v>
      </c>
      <c r="F1192" t="str">
        <f t="shared" si="37"/>
        <v>WMER</v>
      </c>
    </row>
    <row r="1193" spans="1:6">
      <c r="A1193" t="s">
        <v>4856</v>
      </c>
      <c r="B1193" t="s">
        <v>4857</v>
      </c>
      <c r="C1193">
        <v>1.2428999999999999</v>
      </c>
      <c r="D1193" s="1">
        <v>41091</v>
      </c>
      <c r="E1193" s="9">
        <f t="shared" si="38"/>
        <v>2013</v>
      </c>
      <c r="F1193" t="str">
        <f t="shared" si="37"/>
        <v>WPKS</v>
      </c>
    </row>
    <row r="1194" spans="1:6">
      <c r="A1194" t="s">
        <v>4909</v>
      </c>
      <c r="B1194" t="s">
        <v>4910</v>
      </c>
      <c r="C1194">
        <v>1.2244999999999999</v>
      </c>
      <c r="D1194" s="1">
        <v>41091</v>
      </c>
      <c r="E1194" s="9">
        <f t="shared" si="38"/>
        <v>2013</v>
      </c>
      <c r="F1194" t="str">
        <f t="shared" si="37"/>
        <v>WWKT</v>
      </c>
    </row>
    <row r="1195" spans="1:6">
      <c r="A1195" t="s">
        <v>4927</v>
      </c>
      <c r="B1195" t="s">
        <v>4928</v>
      </c>
      <c r="C1195">
        <v>1.2083999999999999</v>
      </c>
      <c r="D1195" s="1">
        <v>41091</v>
      </c>
      <c r="E1195" s="9">
        <f t="shared" si="38"/>
        <v>2013</v>
      </c>
      <c r="F1195" t="str">
        <f t="shared" si="37"/>
        <v>WYER</v>
      </c>
    </row>
    <row r="1196" spans="1:6">
      <c r="A1196" t="s">
        <v>4931</v>
      </c>
      <c r="B1196" t="s">
        <v>4932</v>
      </c>
      <c r="C1196">
        <v>1.1446000000000001</v>
      </c>
      <c r="D1196" s="1">
        <v>41091</v>
      </c>
      <c r="E1196" s="9">
        <f t="shared" si="38"/>
        <v>2013</v>
      </c>
      <c r="F1196" t="str">
        <f t="shared" si="37"/>
        <v>WYLN</v>
      </c>
    </row>
    <row r="1197" spans="1:6">
      <c r="A1197" t="s">
        <v>4704</v>
      </c>
      <c r="B1197" t="s">
        <v>4705</v>
      </c>
      <c r="C1197">
        <v>1.0377000000000001</v>
      </c>
      <c r="D1197" s="1">
        <v>41091</v>
      </c>
      <c r="E1197" s="9">
        <f t="shared" si="38"/>
        <v>2013</v>
      </c>
      <c r="F1197" t="str">
        <f t="shared" si="37"/>
        <v>WCTE</v>
      </c>
    </row>
    <row r="1198" spans="1:6">
      <c r="A1198" t="s">
        <v>4785</v>
      </c>
      <c r="B1198" t="s">
        <v>4786</v>
      </c>
      <c r="C1198">
        <v>1.0308999999999999</v>
      </c>
      <c r="D1198" s="1">
        <v>41091</v>
      </c>
      <c r="E1198" s="9">
        <f t="shared" si="38"/>
        <v>2013</v>
      </c>
      <c r="F1198" t="str">
        <f t="shared" si="37"/>
        <v>WMDN</v>
      </c>
    </row>
    <row r="1199" spans="1:6">
      <c r="A1199" t="s">
        <v>4593</v>
      </c>
      <c r="B1199" t="s">
        <v>4594</v>
      </c>
      <c r="C1199">
        <v>0.99629999999999996</v>
      </c>
      <c r="D1199" s="1">
        <v>40725</v>
      </c>
      <c r="E1199" s="9">
        <f t="shared" si="38"/>
        <v>2012</v>
      </c>
      <c r="F1199" t="str">
        <f t="shared" si="37"/>
        <v>TAPA</v>
      </c>
    </row>
    <row r="1200" spans="1:6">
      <c r="A1200" t="s">
        <v>4595</v>
      </c>
      <c r="B1200" t="s">
        <v>4596</v>
      </c>
      <c r="C1200">
        <v>0.99199999999999999</v>
      </c>
      <c r="D1200" s="1">
        <v>40725</v>
      </c>
      <c r="E1200" s="9">
        <f t="shared" si="38"/>
        <v>2012</v>
      </c>
      <c r="F1200" t="str">
        <f t="shared" ref="F1200:F1263" si="39">A1200</f>
        <v>TAPL</v>
      </c>
    </row>
    <row r="1201" spans="1:6">
      <c r="A1201" t="s">
        <v>4597</v>
      </c>
      <c r="B1201" t="s">
        <v>4936</v>
      </c>
      <c r="C1201">
        <v>0.99870000000000003</v>
      </c>
      <c r="D1201" s="1">
        <v>40725</v>
      </c>
      <c r="E1201" s="9">
        <f t="shared" si="38"/>
        <v>2012</v>
      </c>
      <c r="F1201" t="str">
        <f t="shared" si="39"/>
        <v>TBLB</v>
      </c>
    </row>
    <row r="1202" spans="1:6">
      <c r="A1202" t="s">
        <v>4598</v>
      </c>
      <c r="B1202" t="s">
        <v>4599</v>
      </c>
      <c r="C1202">
        <v>1.2552000000000001</v>
      </c>
      <c r="D1202" s="1">
        <v>40725</v>
      </c>
      <c r="E1202" s="9">
        <f t="shared" si="38"/>
        <v>2012</v>
      </c>
      <c r="F1202" t="str">
        <f t="shared" si="39"/>
        <v>TBLS</v>
      </c>
    </row>
    <row r="1203" spans="1:6">
      <c r="A1203" t="s">
        <v>4602</v>
      </c>
      <c r="B1203" t="s">
        <v>4937</v>
      </c>
      <c r="C1203">
        <v>1.0124</v>
      </c>
      <c r="D1203" s="1">
        <v>40725</v>
      </c>
      <c r="E1203" s="9">
        <f t="shared" si="38"/>
        <v>2012</v>
      </c>
      <c r="F1203" t="str">
        <f t="shared" si="39"/>
        <v>TLWA</v>
      </c>
    </row>
    <row r="1204" spans="1:6">
      <c r="A1204" t="s">
        <v>4609</v>
      </c>
      <c r="B1204" t="s">
        <v>4610</v>
      </c>
      <c r="C1204">
        <v>1.0273000000000001</v>
      </c>
      <c r="D1204" s="1">
        <v>40725</v>
      </c>
      <c r="E1204" s="9">
        <f t="shared" si="38"/>
        <v>2012</v>
      </c>
      <c r="F1204" t="str">
        <f t="shared" si="39"/>
        <v>TMSK</v>
      </c>
    </row>
    <row r="1205" spans="1:6">
      <c r="A1205" t="s">
        <v>4611</v>
      </c>
      <c r="B1205" t="s">
        <v>4612</v>
      </c>
      <c r="C1205">
        <v>1.0138</v>
      </c>
      <c r="D1205" s="1">
        <v>40725</v>
      </c>
      <c r="E1205" s="9">
        <f t="shared" si="38"/>
        <v>2012</v>
      </c>
      <c r="F1205" t="str">
        <f t="shared" si="39"/>
        <v>TOLA</v>
      </c>
    </row>
    <row r="1206" spans="1:6">
      <c r="A1206" t="s">
        <v>4613</v>
      </c>
      <c r="B1206" t="s">
        <v>4614</v>
      </c>
      <c r="C1206">
        <v>1.0467</v>
      </c>
      <c r="D1206" s="1">
        <v>40725</v>
      </c>
      <c r="E1206" s="9">
        <f t="shared" si="38"/>
        <v>2012</v>
      </c>
      <c r="F1206" t="str">
        <f t="shared" si="39"/>
        <v>TSAV</v>
      </c>
    </row>
    <row r="1207" spans="1:6">
      <c r="A1207" t="s">
        <v>4615</v>
      </c>
      <c r="B1207" t="s">
        <v>4616</v>
      </c>
      <c r="C1207">
        <v>1.0405</v>
      </c>
      <c r="D1207" s="1">
        <v>40725</v>
      </c>
      <c r="E1207" s="9">
        <f t="shared" si="38"/>
        <v>2012</v>
      </c>
      <c r="F1207" t="str">
        <f t="shared" si="39"/>
        <v>TUAV</v>
      </c>
    </row>
    <row r="1208" spans="1:6">
      <c r="A1208" t="s">
        <v>4617</v>
      </c>
      <c r="B1208" t="s">
        <v>4618</v>
      </c>
      <c r="C1208">
        <v>1.2230000000000001</v>
      </c>
      <c r="D1208" s="1">
        <v>40725</v>
      </c>
      <c r="E1208" s="9">
        <f t="shared" si="38"/>
        <v>2012</v>
      </c>
      <c r="F1208" t="str">
        <f t="shared" si="39"/>
        <v>TWKG</v>
      </c>
    </row>
    <row r="1209" spans="1:6">
      <c r="A1209" t="s">
        <v>4619</v>
      </c>
      <c r="B1209" t="s">
        <v>4620</v>
      </c>
      <c r="C1209">
        <v>0.98870000000000002</v>
      </c>
      <c r="D1209" s="1">
        <v>40725</v>
      </c>
      <c r="E1209" s="9">
        <f t="shared" si="38"/>
        <v>2012</v>
      </c>
      <c r="F1209" t="str">
        <f t="shared" si="39"/>
        <v>TWOJ</v>
      </c>
    </row>
    <row r="1210" spans="1:6">
      <c r="A1210" t="s">
        <v>4621</v>
      </c>
      <c r="B1210" t="s">
        <v>4622</v>
      </c>
      <c r="C1210">
        <v>0.9919</v>
      </c>
      <c r="D1210" s="1">
        <v>40725</v>
      </c>
      <c r="E1210" s="9">
        <f t="shared" si="38"/>
        <v>2012</v>
      </c>
      <c r="F1210" t="str">
        <f t="shared" si="39"/>
        <v>TWOW</v>
      </c>
    </row>
    <row r="1211" spans="1:6">
      <c r="A1211" t="s">
        <v>4623</v>
      </c>
      <c r="B1211" t="s">
        <v>4624</v>
      </c>
      <c r="C1211">
        <v>1.032</v>
      </c>
      <c r="D1211" s="1">
        <v>40725</v>
      </c>
      <c r="E1211" s="9">
        <f t="shared" si="38"/>
        <v>2012</v>
      </c>
      <c r="F1211" t="str">
        <f t="shared" si="39"/>
        <v>WAFM</v>
      </c>
    </row>
    <row r="1212" spans="1:6">
      <c r="A1212" t="s">
        <v>4625</v>
      </c>
      <c r="B1212" t="s">
        <v>4626</v>
      </c>
      <c r="C1212">
        <v>1.0249999999999999</v>
      </c>
      <c r="D1212" s="1">
        <v>40725</v>
      </c>
      <c r="E1212" s="9">
        <f t="shared" si="38"/>
        <v>2012</v>
      </c>
      <c r="F1212" t="str">
        <f t="shared" si="39"/>
        <v>WAKW</v>
      </c>
    </row>
    <row r="1213" spans="1:6">
      <c r="A1213" t="s">
        <v>4627</v>
      </c>
      <c r="B1213" t="s">
        <v>4628</v>
      </c>
      <c r="C1213">
        <v>1.0398000000000001</v>
      </c>
      <c r="D1213" s="1">
        <v>40725</v>
      </c>
      <c r="E1213" s="9">
        <f t="shared" si="38"/>
        <v>2012</v>
      </c>
      <c r="F1213" t="str">
        <f t="shared" si="39"/>
        <v>WALB</v>
      </c>
    </row>
    <row r="1214" spans="1:6">
      <c r="A1214" t="s">
        <v>4629</v>
      </c>
      <c r="B1214" t="s">
        <v>4630</v>
      </c>
      <c r="C1214">
        <v>1.0334000000000001</v>
      </c>
      <c r="D1214" s="1">
        <v>40725</v>
      </c>
      <c r="E1214" s="9">
        <f t="shared" si="38"/>
        <v>2012</v>
      </c>
      <c r="F1214" t="str">
        <f t="shared" si="39"/>
        <v>WAMT</v>
      </c>
    </row>
    <row r="1215" spans="1:6">
      <c r="A1215" t="s">
        <v>4631</v>
      </c>
      <c r="B1215" t="s">
        <v>4632</v>
      </c>
      <c r="C1215">
        <v>1.0375000000000001</v>
      </c>
      <c r="D1215" s="1">
        <v>40725</v>
      </c>
      <c r="E1215" s="9">
        <f t="shared" si="38"/>
        <v>2012</v>
      </c>
      <c r="F1215" t="str">
        <f t="shared" si="39"/>
        <v>WAPM</v>
      </c>
    </row>
    <row r="1216" spans="1:6">
      <c r="A1216" t="s">
        <v>4633</v>
      </c>
      <c r="B1216" t="s">
        <v>4634</v>
      </c>
      <c r="C1216">
        <v>1.0368999999999999</v>
      </c>
      <c r="D1216" s="1">
        <v>40725</v>
      </c>
      <c r="E1216" s="9">
        <f t="shared" si="38"/>
        <v>2012</v>
      </c>
      <c r="F1216" t="str">
        <f t="shared" si="39"/>
        <v>WARK</v>
      </c>
    </row>
    <row r="1217" spans="1:6">
      <c r="A1217" t="s">
        <v>4635</v>
      </c>
      <c r="B1217" t="s">
        <v>4636</v>
      </c>
      <c r="C1217">
        <v>1.0375000000000001</v>
      </c>
      <c r="D1217" s="1">
        <v>40725</v>
      </c>
      <c r="E1217" s="9">
        <f t="shared" si="38"/>
        <v>2012</v>
      </c>
      <c r="F1217" t="str">
        <f t="shared" si="39"/>
        <v>WBCH</v>
      </c>
    </row>
    <row r="1218" spans="1:6">
      <c r="A1218" t="s">
        <v>4639</v>
      </c>
      <c r="B1218" t="s">
        <v>4640</v>
      </c>
      <c r="C1218">
        <v>1.1527000000000001</v>
      </c>
      <c r="D1218" s="1">
        <v>40725</v>
      </c>
      <c r="E1218" s="9">
        <f t="shared" si="38"/>
        <v>2012</v>
      </c>
      <c r="F1218" t="str">
        <f t="shared" si="39"/>
        <v>WBDE</v>
      </c>
    </row>
    <row r="1219" spans="1:6">
      <c r="A1219" t="s">
        <v>4641</v>
      </c>
      <c r="B1219" t="s">
        <v>4642</v>
      </c>
      <c r="C1219">
        <v>1.0154000000000001</v>
      </c>
      <c r="D1219" s="1">
        <v>40725</v>
      </c>
      <c r="E1219" s="9">
        <f t="shared" ref="E1219:E1282" si="40">YEAR(D1219)+1</f>
        <v>2012</v>
      </c>
      <c r="F1219" t="str">
        <f t="shared" si="39"/>
        <v>WBDP</v>
      </c>
    </row>
    <row r="1220" spans="1:6">
      <c r="A1220" t="s">
        <v>4643</v>
      </c>
      <c r="B1220" t="s">
        <v>4644</v>
      </c>
      <c r="C1220">
        <v>1.0301</v>
      </c>
      <c r="D1220" s="1">
        <v>40725</v>
      </c>
      <c r="E1220" s="9">
        <f t="shared" si="40"/>
        <v>2012</v>
      </c>
      <c r="F1220" t="str">
        <f t="shared" si="39"/>
        <v>WBEC</v>
      </c>
    </row>
    <row r="1221" spans="1:6">
      <c r="A1221" t="s">
        <v>4645</v>
      </c>
      <c r="B1221" t="s">
        <v>4646</v>
      </c>
      <c r="C1221">
        <v>1.0379</v>
      </c>
      <c r="D1221" s="1">
        <v>40725</v>
      </c>
      <c r="E1221" s="9">
        <f t="shared" si="40"/>
        <v>2012</v>
      </c>
      <c r="F1221" t="str">
        <f t="shared" si="39"/>
        <v>WBEL</v>
      </c>
    </row>
    <row r="1222" spans="1:6">
      <c r="A1222" t="s">
        <v>4647</v>
      </c>
      <c r="B1222" t="s">
        <v>4939</v>
      </c>
      <c r="C1222">
        <v>1.0079</v>
      </c>
      <c r="D1222" s="1">
        <v>40725</v>
      </c>
      <c r="E1222" s="9">
        <f t="shared" si="40"/>
        <v>2012</v>
      </c>
      <c r="F1222" t="str">
        <f t="shared" si="39"/>
        <v>WBGM</v>
      </c>
    </row>
    <row r="1223" spans="1:6">
      <c r="A1223" t="s">
        <v>4649</v>
      </c>
      <c r="B1223" t="s">
        <v>4650</v>
      </c>
      <c r="C1223">
        <v>1.0236000000000001</v>
      </c>
      <c r="D1223" s="1">
        <v>40725</v>
      </c>
      <c r="E1223" s="9">
        <f t="shared" si="40"/>
        <v>2012</v>
      </c>
      <c r="F1223" t="str">
        <f t="shared" si="39"/>
        <v>WBHK</v>
      </c>
    </row>
    <row r="1224" spans="1:6">
      <c r="A1224" t="s">
        <v>4651</v>
      </c>
      <c r="B1224" t="s">
        <v>4652</v>
      </c>
      <c r="C1224">
        <v>1.0278</v>
      </c>
      <c r="D1224" s="1">
        <v>40725</v>
      </c>
      <c r="E1224" s="9">
        <f t="shared" si="40"/>
        <v>2012</v>
      </c>
      <c r="F1224" t="str">
        <f t="shared" si="39"/>
        <v>WBIB</v>
      </c>
    </row>
    <row r="1225" spans="1:6">
      <c r="A1225" t="s">
        <v>4653</v>
      </c>
      <c r="B1225" t="s">
        <v>4654</v>
      </c>
      <c r="C1225">
        <v>1.2619</v>
      </c>
      <c r="D1225" s="1">
        <v>40725</v>
      </c>
      <c r="E1225" s="9">
        <f t="shared" si="40"/>
        <v>2012</v>
      </c>
      <c r="F1225" t="str">
        <f t="shared" si="39"/>
        <v>WBKF</v>
      </c>
    </row>
    <row r="1226" spans="1:6">
      <c r="A1226" t="s">
        <v>4655</v>
      </c>
      <c r="B1226" t="s">
        <v>4656</v>
      </c>
      <c r="C1226">
        <v>1.2586999999999999</v>
      </c>
      <c r="D1226" s="1">
        <v>40725</v>
      </c>
      <c r="E1226" s="9">
        <f t="shared" si="40"/>
        <v>2012</v>
      </c>
      <c r="F1226" t="str">
        <f t="shared" si="39"/>
        <v>WBLD</v>
      </c>
    </row>
    <row r="1227" spans="1:6">
      <c r="A1227" t="s">
        <v>4657</v>
      </c>
      <c r="B1227" t="s">
        <v>4658</v>
      </c>
      <c r="C1227">
        <v>1.0268999999999999</v>
      </c>
      <c r="D1227" s="1">
        <v>40725</v>
      </c>
      <c r="E1227" s="9">
        <f t="shared" si="40"/>
        <v>2012</v>
      </c>
      <c r="F1227" t="str">
        <f t="shared" si="39"/>
        <v>WBNP</v>
      </c>
    </row>
    <row r="1228" spans="1:6">
      <c r="A1228" t="s">
        <v>4659</v>
      </c>
      <c r="B1228" t="s">
        <v>4660</v>
      </c>
      <c r="C1228">
        <v>1.1382000000000001</v>
      </c>
      <c r="D1228" s="1">
        <v>40725</v>
      </c>
      <c r="E1228" s="9">
        <f t="shared" si="40"/>
        <v>2012</v>
      </c>
      <c r="F1228" t="str">
        <f t="shared" si="39"/>
        <v>WBNY</v>
      </c>
    </row>
    <row r="1229" spans="1:6">
      <c r="A1229" t="s">
        <v>4661</v>
      </c>
      <c r="B1229" t="s">
        <v>4662</v>
      </c>
      <c r="C1229">
        <v>1.0065</v>
      </c>
      <c r="D1229" s="1">
        <v>40725</v>
      </c>
      <c r="E1229" s="9">
        <f t="shared" si="40"/>
        <v>2012</v>
      </c>
      <c r="F1229" t="str">
        <f t="shared" si="39"/>
        <v>WBOD</v>
      </c>
    </row>
    <row r="1230" spans="1:6">
      <c r="A1230" t="s">
        <v>4663</v>
      </c>
      <c r="B1230" t="s">
        <v>4664</v>
      </c>
      <c r="C1230">
        <v>1.0239</v>
      </c>
      <c r="D1230" s="1">
        <v>40725</v>
      </c>
      <c r="E1230" s="9">
        <f t="shared" si="40"/>
        <v>2012</v>
      </c>
      <c r="F1230" t="str">
        <f t="shared" si="39"/>
        <v>WBPM</v>
      </c>
    </row>
    <row r="1231" spans="1:6">
      <c r="A1231" t="s">
        <v>4665</v>
      </c>
      <c r="B1231" t="s">
        <v>4666</v>
      </c>
      <c r="C1231">
        <v>1.0165</v>
      </c>
      <c r="D1231" s="1">
        <v>40725</v>
      </c>
      <c r="E1231" s="9">
        <f t="shared" si="40"/>
        <v>2012</v>
      </c>
      <c r="F1231" t="str">
        <f t="shared" si="39"/>
        <v>WBSI</v>
      </c>
    </row>
    <row r="1232" spans="1:6">
      <c r="A1232" t="s">
        <v>4667</v>
      </c>
      <c r="B1232" t="s">
        <v>4668</v>
      </c>
      <c r="C1232">
        <v>1.0478000000000001</v>
      </c>
      <c r="D1232" s="1">
        <v>40725</v>
      </c>
      <c r="E1232" s="9">
        <f t="shared" si="40"/>
        <v>2012</v>
      </c>
      <c r="F1232" t="str">
        <f t="shared" si="39"/>
        <v>WBSN</v>
      </c>
    </row>
    <row r="1233" spans="1:6">
      <c r="A1233" t="s">
        <v>4669</v>
      </c>
      <c r="B1233" t="s">
        <v>4670</v>
      </c>
      <c r="C1233">
        <v>1.014</v>
      </c>
      <c r="D1233" s="1">
        <v>40725</v>
      </c>
      <c r="E1233" s="9">
        <f t="shared" si="40"/>
        <v>2012</v>
      </c>
      <c r="F1233" t="str">
        <f t="shared" si="39"/>
        <v>WBTN</v>
      </c>
    </row>
    <row r="1234" spans="1:6">
      <c r="A1234" t="s">
        <v>4671</v>
      </c>
      <c r="B1234" t="s">
        <v>4672</v>
      </c>
      <c r="C1234">
        <v>1.0364</v>
      </c>
      <c r="D1234" s="1">
        <v>40725</v>
      </c>
      <c r="E1234" s="9">
        <f t="shared" si="40"/>
        <v>2012</v>
      </c>
      <c r="F1234" t="str">
        <f t="shared" si="39"/>
        <v>WBTY</v>
      </c>
    </row>
    <row r="1235" spans="1:6">
      <c r="A1235" t="s">
        <v>4673</v>
      </c>
      <c r="B1235" t="s">
        <v>4674</v>
      </c>
      <c r="C1235">
        <v>1.0206999999999999</v>
      </c>
      <c r="D1235" s="1">
        <v>40725</v>
      </c>
      <c r="E1235" s="9">
        <f t="shared" si="40"/>
        <v>2012</v>
      </c>
      <c r="F1235" t="str">
        <f t="shared" si="39"/>
        <v>WBUH</v>
      </c>
    </row>
    <row r="1236" spans="1:6">
      <c r="A1236" t="s">
        <v>4675</v>
      </c>
      <c r="B1236" t="s">
        <v>4676</v>
      </c>
      <c r="C1236">
        <v>1.0412999999999999</v>
      </c>
      <c r="D1236" s="1">
        <v>40725</v>
      </c>
      <c r="E1236" s="9">
        <f t="shared" si="40"/>
        <v>2012</v>
      </c>
      <c r="F1236" t="str">
        <f t="shared" si="39"/>
        <v>WBYF</v>
      </c>
    </row>
    <row r="1237" spans="1:6">
      <c r="A1237" t="s">
        <v>4677</v>
      </c>
      <c r="B1237" t="s">
        <v>4678</v>
      </c>
      <c r="C1237">
        <v>1.0407999999999999</v>
      </c>
      <c r="D1237" s="1">
        <v>40725</v>
      </c>
      <c r="E1237" s="9">
        <f t="shared" si="40"/>
        <v>2012</v>
      </c>
      <c r="F1237" t="str">
        <f t="shared" si="39"/>
        <v>WCAP</v>
      </c>
    </row>
    <row r="1238" spans="1:6">
      <c r="A1238" t="s">
        <v>4679</v>
      </c>
      <c r="B1238" t="s">
        <v>4680</v>
      </c>
      <c r="C1238">
        <v>1.2504</v>
      </c>
      <c r="D1238" s="1">
        <v>40725</v>
      </c>
      <c r="E1238" s="9">
        <f t="shared" si="40"/>
        <v>2012</v>
      </c>
      <c r="F1238" t="str">
        <f t="shared" si="39"/>
        <v>WCAR</v>
      </c>
    </row>
    <row r="1239" spans="1:6">
      <c r="A1239" t="s">
        <v>4681</v>
      </c>
      <c r="B1239" t="s">
        <v>4682</v>
      </c>
      <c r="C1239">
        <v>1.0269999999999999</v>
      </c>
      <c r="D1239" s="1">
        <v>40725</v>
      </c>
      <c r="E1239" s="9">
        <f t="shared" si="40"/>
        <v>2012</v>
      </c>
      <c r="F1239" t="str">
        <f t="shared" si="39"/>
        <v>WCBP</v>
      </c>
    </row>
    <row r="1240" spans="1:6">
      <c r="A1240" t="s">
        <v>4683</v>
      </c>
      <c r="B1240" t="s">
        <v>4684</v>
      </c>
      <c r="C1240">
        <v>1.0331999999999999</v>
      </c>
      <c r="D1240" s="1">
        <v>40725</v>
      </c>
      <c r="E1240" s="9">
        <f t="shared" si="40"/>
        <v>2012</v>
      </c>
      <c r="F1240" t="str">
        <f t="shared" si="39"/>
        <v>WCCL</v>
      </c>
    </row>
    <row r="1241" spans="1:6">
      <c r="A1241" t="s">
        <v>4685</v>
      </c>
      <c r="B1241" t="s">
        <v>4574</v>
      </c>
      <c r="C1241">
        <v>1.0363</v>
      </c>
      <c r="D1241" s="1">
        <v>40725</v>
      </c>
      <c r="E1241" s="9">
        <f t="shared" si="40"/>
        <v>2012</v>
      </c>
      <c r="F1241" t="str">
        <f t="shared" si="39"/>
        <v>WCCT</v>
      </c>
    </row>
    <row r="1242" spans="1:6">
      <c r="A1242" t="s">
        <v>4688</v>
      </c>
      <c r="B1242" t="s">
        <v>4947</v>
      </c>
      <c r="C1242">
        <v>1.0358000000000001</v>
      </c>
      <c r="D1242" s="1">
        <v>40725</v>
      </c>
      <c r="E1242" s="9">
        <f t="shared" si="40"/>
        <v>2012</v>
      </c>
      <c r="F1242" t="str">
        <f t="shared" si="39"/>
        <v>WCKN</v>
      </c>
    </row>
    <row r="1243" spans="1:6">
      <c r="A1243" t="s">
        <v>4690</v>
      </c>
      <c r="B1243" t="s">
        <v>4691</v>
      </c>
      <c r="C1243">
        <v>1.0417000000000001</v>
      </c>
      <c r="D1243" s="1">
        <v>40725</v>
      </c>
      <c r="E1243" s="9">
        <f t="shared" si="40"/>
        <v>2012</v>
      </c>
      <c r="F1243" t="str">
        <f t="shared" si="39"/>
        <v>WCKT</v>
      </c>
    </row>
    <row r="1244" spans="1:6">
      <c r="A1244" t="s">
        <v>4692</v>
      </c>
      <c r="B1244" t="s">
        <v>4693</v>
      </c>
      <c r="C1244">
        <v>1.042</v>
      </c>
      <c r="D1244" s="1">
        <v>40725</v>
      </c>
      <c r="E1244" s="9">
        <f t="shared" si="40"/>
        <v>2012</v>
      </c>
      <c r="F1244" t="str">
        <f t="shared" si="39"/>
        <v>WCLN</v>
      </c>
    </row>
    <row r="1245" spans="1:6">
      <c r="A1245" t="s">
        <v>4694</v>
      </c>
      <c r="B1245" t="s">
        <v>4695</v>
      </c>
      <c r="C1245">
        <v>1.0452999999999999</v>
      </c>
      <c r="D1245" s="1">
        <v>40725</v>
      </c>
      <c r="E1245" s="9">
        <f t="shared" si="40"/>
        <v>2012</v>
      </c>
      <c r="F1245" t="str">
        <f t="shared" si="39"/>
        <v>WCLP</v>
      </c>
    </row>
    <row r="1246" spans="1:6">
      <c r="A1246" t="s">
        <v>4696</v>
      </c>
      <c r="B1246" t="s">
        <v>4697</v>
      </c>
      <c r="C1246">
        <v>1.0259</v>
      </c>
      <c r="D1246" s="1">
        <v>40725</v>
      </c>
      <c r="E1246" s="9">
        <f t="shared" si="40"/>
        <v>2012</v>
      </c>
      <c r="F1246" t="str">
        <f t="shared" si="39"/>
        <v>WCOE</v>
      </c>
    </row>
    <row r="1247" spans="1:6">
      <c r="A1247" t="s">
        <v>4698</v>
      </c>
      <c r="B1247" t="s">
        <v>4699</v>
      </c>
      <c r="C1247">
        <v>1.0390999999999999</v>
      </c>
      <c r="D1247" s="1">
        <v>40725</v>
      </c>
      <c r="E1247" s="9">
        <f t="shared" si="40"/>
        <v>2012</v>
      </c>
      <c r="F1247" t="str">
        <f t="shared" si="39"/>
        <v>WCOL</v>
      </c>
    </row>
    <row r="1248" spans="1:6">
      <c r="A1248" t="s">
        <v>4951</v>
      </c>
      <c r="B1248" t="s">
        <v>4705</v>
      </c>
      <c r="C1248">
        <v>1.0427</v>
      </c>
      <c r="D1248" s="1">
        <v>40725</v>
      </c>
      <c r="E1248" s="9">
        <f t="shared" si="40"/>
        <v>2012</v>
      </c>
      <c r="F1248" t="str">
        <f t="shared" si="39"/>
        <v>WCOT</v>
      </c>
    </row>
    <row r="1249" spans="1:6">
      <c r="A1249" t="s">
        <v>4700</v>
      </c>
      <c r="B1249" t="s">
        <v>4701</v>
      </c>
      <c r="C1249">
        <v>1.0431999999999999</v>
      </c>
      <c r="D1249" s="1">
        <v>40725</v>
      </c>
      <c r="E1249" s="9">
        <f t="shared" si="40"/>
        <v>2012</v>
      </c>
      <c r="F1249" t="str">
        <f t="shared" si="39"/>
        <v>WCPN</v>
      </c>
    </row>
    <row r="1250" spans="1:6">
      <c r="A1250" t="s">
        <v>4702</v>
      </c>
      <c r="B1250" t="s">
        <v>4703</v>
      </c>
      <c r="C1250">
        <v>0.99550000000000005</v>
      </c>
      <c r="D1250" s="1">
        <v>40725</v>
      </c>
      <c r="E1250" s="9">
        <f t="shared" si="40"/>
        <v>2012</v>
      </c>
      <c r="F1250" t="str">
        <f t="shared" si="39"/>
        <v>WCPS</v>
      </c>
    </row>
    <row r="1251" spans="1:6">
      <c r="A1251" t="s">
        <v>4706</v>
      </c>
      <c r="B1251" t="s">
        <v>4707</v>
      </c>
      <c r="C1251">
        <v>1.1245000000000001</v>
      </c>
      <c r="D1251" s="1">
        <v>40725</v>
      </c>
      <c r="E1251" s="9">
        <f t="shared" si="40"/>
        <v>2012</v>
      </c>
      <c r="F1251" t="str">
        <f t="shared" si="39"/>
        <v>WCUN</v>
      </c>
    </row>
    <row r="1252" spans="1:6">
      <c r="A1252" t="s">
        <v>4708</v>
      </c>
      <c r="B1252" t="s">
        <v>4709</v>
      </c>
      <c r="C1252">
        <v>1.0343</v>
      </c>
      <c r="D1252" s="1">
        <v>40725</v>
      </c>
      <c r="E1252" s="9">
        <f t="shared" si="40"/>
        <v>2012</v>
      </c>
      <c r="F1252" t="str">
        <f t="shared" si="39"/>
        <v>WCVE</v>
      </c>
    </row>
    <row r="1253" spans="1:6">
      <c r="A1253" t="s">
        <v>4952</v>
      </c>
      <c r="B1253" t="s">
        <v>4687</v>
      </c>
      <c r="C1253">
        <v>1.1295999999999999</v>
      </c>
      <c r="D1253" s="1">
        <v>40725</v>
      </c>
      <c r="E1253" s="9">
        <f t="shared" si="40"/>
        <v>2012</v>
      </c>
      <c r="F1253" t="str">
        <f t="shared" si="39"/>
        <v>WCWG</v>
      </c>
    </row>
    <row r="1254" spans="1:6">
      <c r="A1254" t="s">
        <v>4710</v>
      </c>
      <c r="B1254" t="s">
        <v>4711</v>
      </c>
      <c r="C1254">
        <v>1.0374000000000001</v>
      </c>
      <c r="D1254" s="1">
        <v>40725</v>
      </c>
      <c r="E1254" s="9">
        <f t="shared" si="40"/>
        <v>2012</v>
      </c>
      <c r="F1254" t="str">
        <f t="shared" si="39"/>
        <v>WDTN</v>
      </c>
    </row>
    <row r="1255" spans="1:6">
      <c r="A1255" t="s">
        <v>4712</v>
      </c>
      <c r="B1255" t="s">
        <v>4713</v>
      </c>
      <c r="C1255">
        <v>1.0386</v>
      </c>
      <c r="D1255" s="1">
        <v>40725</v>
      </c>
      <c r="E1255" s="9">
        <f t="shared" si="40"/>
        <v>2012</v>
      </c>
      <c r="F1255" t="str">
        <f t="shared" si="39"/>
        <v>WDUR</v>
      </c>
    </row>
    <row r="1256" spans="1:6">
      <c r="A1256" t="s">
        <v>4714</v>
      </c>
      <c r="B1256" t="s">
        <v>4715</v>
      </c>
      <c r="C1256">
        <v>1.0356000000000001</v>
      </c>
      <c r="D1256" s="1">
        <v>40725</v>
      </c>
      <c r="E1256" s="9">
        <f t="shared" si="40"/>
        <v>2012</v>
      </c>
      <c r="F1256" t="str">
        <f t="shared" si="39"/>
        <v>WEDD</v>
      </c>
    </row>
    <row r="1257" spans="1:6">
      <c r="A1257" t="s">
        <v>4716</v>
      </c>
      <c r="B1257" t="s">
        <v>4717</v>
      </c>
      <c r="C1257">
        <v>1.0466</v>
      </c>
      <c r="D1257" s="1">
        <v>40725</v>
      </c>
      <c r="E1257" s="9">
        <f t="shared" si="40"/>
        <v>2012</v>
      </c>
      <c r="F1257" t="str">
        <f t="shared" si="39"/>
        <v>WEDG</v>
      </c>
    </row>
    <row r="1258" spans="1:6">
      <c r="A1258" t="s">
        <v>4718</v>
      </c>
      <c r="B1258" t="s">
        <v>4940</v>
      </c>
      <c r="C1258">
        <v>0.99880000000000002</v>
      </c>
      <c r="D1258" s="1">
        <v>40725</v>
      </c>
      <c r="E1258" s="9">
        <f t="shared" si="40"/>
        <v>2012</v>
      </c>
      <c r="F1258" t="str">
        <f t="shared" si="39"/>
        <v>WEMD</v>
      </c>
    </row>
    <row r="1259" spans="1:6">
      <c r="A1259" t="s">
        <v>4720</v>
      </c>
      <c r="B1259" t="s">
        <v>4721</v>
      </c>
      <c r="C1259">
        <v>1.0350999999999999</v>
      </c>
      <c r="D1259" s="1">
        <v>40725</v>
      </c>
      <c r="E1259" s="9">
        <f t="shared" si="40"/>
        <v>2012</v>
      </c>
      <c r="F1259" t="str">
        <f t="shared" si="39"/>
        <v>WENB</v>
      </c>
    </row>
    <row r="1260" spans="1:6">
      <c r="A1260" t="s">
        <v>4722</v>
      </c>
      <c r="B1260" t="s">
        <v>4723</v>
      </c>
      <c r="C1260">
        <v>1.0357000000000001</v>
      </c>
      <c r="D1260" s="1">
        <v>40725</v>
      </c>
      <c r="E1260" s="9">
        <f t="shared" si="40"/>
        <v>2012</v>
      </c>
      <c r="F1260" t="str">
        <f t="shared" si="39"/>
        <v>WFFD</v>
      </c>
    </row>
    <row r="1261" spans="1:6">
      <c r="A1261" t="s">
        <v>4724</v>
      </c>
      <c r="B1261" t="s">
        <v>4725</v>
      </c>
      <c r="C1261">
        <v>1.0441</v>
      </c>
      <c r="D1261" s="1">
        <v>40725</v>
      </c>
      <c r="E1261" s="9">
        <f t="shared" si="40"/>
        <v>2012</v>
      </c>
      <c r="F1261" t="str">
        <f t="shared" si="39"/>
        <v>WFRT</v>
      </c>
    </row>
    <row r="1262" spans="1:6">
      <c r="A1262" t="s">
        <v>4726</v>
      </c>
      <c r="B1262" t="s">
        <v>4727</v>
      </c>
      <c r="C1262">
        <v>1.0855999999999999</v>
      </c>
      <c r="D1262" s="1">
        <v>40725</v>
      </c>
      <c r="E1262" s="9">
        <f t="shared" si="40"/>
        <v>2012</v>
      </c>
      <c r="F1262" t="str">
        <f t="shared" si="39"/>
        <v>WGGV</v>
      </c>
    </row>
    <row r="1263" spans="1:6">
      <c r="A1263" t="s">
        <v>4728</v>
      </c>
      <c r="B1263" t="s">
        <v>4729</v>
      </c>
      <c r="C1263">
        <v>1.0302</v>
      </c>
      <c r="D1263" s="1">
        <v>40725</v>
      </c>
      <c r="E1263" s="9">
        <f t="shared" si="40"/>
        <v>2012</v>
      </c>
      <c r="F1263" t="str">
        <f t="shared" si="39"/>
        <v>WGNI</v>
      </c>
    </row>
    <row r="1264" spans="1:6">
      <c r="A1264" t="s">
        <v>4730</v>
      </c>
      <c r="B1264" t="s">
        <v>4731</v>
      </c>
      <c r="C1264">
        <v>1.0371999999999999</v>
      </c>
      <c r="D1264" s="1">
        <v>40725</v>
      </c>
      <c r="E1264" s="9">
        <f t="shared" si="40"/>
        <v>2012</v>
      </c>
      <c r="F1264" t="str">
        <f t="shared" ref="F1264:F1327" si="41">A1264</f>
        <v>WGNL</v>
      </c>
    </row>
    <row r="1265" spans="1:6">
      <c r="A1265" t="s">
        <v>4732</v>
      </c>
      <c r="B1265" t="s">
        <v>4733</v>
      </c>
      <c r="C1265">
        <v>1.0383</v>
      </c>
      <c r="D1265" s="1">
        <v>40725</v>
      </c>
      <c r="E1265" s="9">
        <f t="shared" si="40"/>
        <v>2012</v>
      </c>
      <c r="F1265" t="str">
        <f t="shared" si="41"/>
        <v>WGNN</v>
      </c>
    </row>
    <row r="1266" spans="1:6">
      <c r="A1266" t="s">
        <v>4734</v>
      </c>
      <c r="B1266" t="s">
        <v>4735</v>
      </c>
      <c r="C1266">
        <v>1.04</v>
      </c>
      <c r="D1266" s="1">
        <v>40725</v>
      </c>
      <c r="E1266" s="9">
        <f t="shared" si="40"/>
        <v>2012</v>
      </c>
      <c r="F1266" t="str">
        <f t="shared" si="41"/>
        <v>WGTN</v>
      </c>
    </row>
    <row r="1267" spans="1:6">
      <c r="A1267" t="s">
        <v>4736</v>
      </c>
      <c r="B1267" t="s">
        <v>4737</v>
      </c>
      <c r="C1267">
        <v>1.0415000000000001</v>
      </c>
      <c r="D1267" s="1">
        <v>40725</v>
      </c>
      <c r="E1267" s="9">
        <f t="shared" si="40"/>
        <v>2012</v>
      </c>
      <c r="F1267" t="str">
        <f t="shared" si="41"/>
        <v>WHAY</v>
      </c>
    </row>
    <row r="1268" spans="1:6">
      <c r="A1268" t="s">
        <v>4738</v>
      </c>
      <c r="B1268" t="s">
        <v>4739</v>
      </c>
      <c r="C1268">
        <v>1.0375000000000001</v>
      </c>
      <c r="D1268" s="1">
        <v>40725</v>
      </c>
      <c r="E1268" s="9">
        <f t="shared" si="40"/>
        <v>2012</v>
      </c>
      <c r="F1268" t="str">
        <f t="shared" si="41"/>
        <v>WHBK</v>
      </c>
    </row>
    <row r="1269" spans="1:6">
      <c r="A1269" t="s">
        <v>4740</v>
      </c>
      <c r="B1269" t="s">
        <v>4741</v>
      </c>
      <c r="C1269">
        <v>1.0468999999999999</v>
      </c>
      <c r="D1269" s="1">
        <v>40725</v>
      </c>
      <c r="E1269" s="9">
        <f t="shared" si="40"/>
        <v>2012</v>
      </c>
      <c r="F1269" t="str">
        <f t="shared" si="41"/>
        <v>WHEP</v>
      </c>
    </row>
    <row r="1270" spans="1:6">
      <c r="A1270" t="s">
        <v>4742</v>
      </c>
      <c r="B1270" t="s">
        <v>4743</v>
      </c>
      <c r="C1270">
        <v>1.0386</v>
      </c>
      <c r="D1270" s="1">
        <v>40725</v>
      </c>
      <c r="E1270" s="9">
        <f t="shared" si="40"/>
        <v>2012</v>
      </c>
      <c r="F1270" t="str">
        <f t="shared" si="41"/>
        <v>WHFS</v>
      </c>
    </row>
    <row r="1271" spans="1:6">
      <c r="A1271" t="s">
        <v>4744</v>
      </c>
      <c r="B1271" t="s">
        <v>4941</v>
      </c>
      <c r="C1271">
        <v>1.0278</v>
      </c>
      <c r="D1271" s="1">
        <v>40725</v>
      </c>
      <c r="E1271" s="9">
        <f t="shared" si="40"/>
        <v>2012</v>
      </c>
      <c r="F1271" t="str">
        <f t="shared" si="41"/>
        <v>WHIS</v>
      </c>
    </row>
    <row r="1272" spans="1:6">
      <c r="A1272" t="s">
        <v>4746</v>
      </c>
      <c r="B1272" t="s">
        <v>4747</v>
      </c>
      <c r="C1272">
        <v>1.032</v>
      </c>
      <c r="D1272" s="1">
        <v>40725</v>
      </c>
      <c r="E1272" s="9">
        <f t="shared" si="40"/>
        <v>2012</v>
      </c>
      <c r="F1272" t="str">
        <f t="shared" si="41"/>
        <v>WHZM</v>
      </c>
    </row>
    <row r="1273" spans="1:6">
      <c r="A1273" t="s">
        <v>4748</v>
      </c>
      <c r="B1273" t="s">
        <v>4749</v>
      </c>
      <c r="C1273">
        <v>1.0426</v>
      </c>
      <c r="D1273" s="1">
        <v>40725</v>
      </c>
      <c r="E1273" s="9">
        <f t="shared" si="40"/>
        <v>2012</v>
      </c>
      <c r="F1273" t="str">
        <f t="shared" si="41"/>
        <v>WJDP</v>
      </c>
    </row>
    <row r="1274" spans="1:6">
      <c r="A1274" t="s">
        <v>4750</v>
      </c>
      <c r="B1274" t="s">
        <v>4751</v>
      </c>
      <c r="C1274">
        <v>1.0423</v>
      </c>
      <c r="D1274" s="1">
        <v>40725</v>
      </c>
      <c r="E1274" s="9">
        <f t="shared" si="40"/>
        <v>2012</v>
      </c>
      <c r="F1274" t="str">
        <f t="shared" si="41"/>
        <v>WJTE</v>
      </c>
    </row>
    <row r="1275" spans="1:6">
      <c r="A1275" t="s">
        <v>4752</v>
      </c>
      <c r="B1275" t="s">
        <v>4753</v>
      </c>
      <c r="C1275">
        <v>1.0546</v>
      </c>
      <c r="D1275" s="1">
        <v>40725</v>
      </c>
      <c r="E1275" s="9">
        <f t="shared" si="40"/>
        <v>2012</v>
      </c>
      <c r="F1275" t="str">
        <f t="shared" si="41"/>
        <v>WKAT</v>
      </c>
    </row>
    <row r="1276" spans="1:6">
      <c r="A1276" t="s">
        <v>4754</v>
      </c>
      <c r="B1276" t="s">
        <v>4450</v>
      </c>
      <c r="C1276">
        <v>1.0379</v>
      </c>
      <c r="D1276" s="1">
        <v>40725</v>
      </c>
      <c r="E1276" s="9">
        <f t="shared" si="40"/>
        <v>2012</v>
      </c>
      <c r="F1276" t="str">
        <f t="shared" si="41"/>
        <v>WKDA</v>
      </c>
    </row>
    <row r="1277" spans="1:6">
      <c r="A1277" t="s">
        <v>4755</v>
      </c>
      <c r="B1277" t="s">
        <v>4756</v>
      </c>
      <c r="C1277">
        <v>1.0367</v>
      </c>
      <c r="D1277" s="1">
        <v>40725</v>
      </c>
      <c r="E1277" s="9">
        <f t="shared" si="40"/>
        <v>2012</v>
      </c>
      <c r="F1277" t="str">
        <f t="shared" si="41"/>
        <v>WKDL</v>
      </c>
    </row>
    <row r="1278" spans="1:6">
      <c r="A1278" t="s">
        <v>4757</v>
      </c>
      <c r="B1278" t="s">
        <v>4758</v>
      </c>
      <c r="C1278">
        <v>1.1032</v>
      </c>
      <c r="D1278" s="1">
        <v>40725</v>
      </c>
      <c r="E1278" s="9">
        <f t="shared" si="40"/>
        <v>2012</v>
      </c>
      <c r="F1278" t="str">
        <f t="shared" si="41"/>
        <v>WKDN</v>
      </c>
    </row>
    <row r="1279" spans="1:6">
      <c r="A1279" t="s">
        <v>4759</v>
      </c>
      <c r="B1279" t="s">
        <v>4760</v>
      </c>
      <c r="C1279">
        <v>1.0262</v>
      </c>
      <c r="D1279" s="1">
        <v>40725</v>
      </c>
      <c r="E1279" s="9">
        <f t="shared" si="40"/>
        <v>2012</v>
      </c>
      <c r="F1279" t="str">
        <f t="shared" si="41"/>
        <v>WKDP</v>
      </c>
    </row>
    <row r="1280" spans="1:6">
      <c r="A1280" t="s">
        <v>4761</v>
      </c>
      <c r="B1280" t="s">
        <v>4762</v>
      </c>
      <c r="C1280">
        <v>1.155</v>
      </c>
      <c r="D1280" s="1">
        <v>40725</v>
      </c>
      <c r="E1280" s="9">
        <f t="shared" si="40"/>
        <v>2012</v>
      </c>
      <c r="F1280" t="str">
        <f t="shared" si="41"/>
        <v>WKEL</v>
      </c>
    </row>
    <row r="1281" spans="1:6">
      <c r="A1281" t="s">
        <v>4763</v>
      </c>
      <c r="B1281" t="s">
        <v>4764</v>
      </c>
      <c r="C1281">
        <v>1.008</v>
      </c>
      <c r="D1281" s="1">
        <v>40725</v>
      </c>
      <c r="E1281" s="9">
        <f t="shared" si="40"/>
        <v>2012</v>
      </c>
      <c r="F1281" t="str">
        <f t="shared" si="41"/>
        <v>WKEM</v>
      </c>
    </row>
    <row r="1282" spans="1:6">
      <c r="A1282" t="s">
        <v>4765</v>
      </c>
      <c r="B1282" t="s">
        <v>4766</v>
      </c>
      <c r="C1282">
        <v>1.0273000000000001</v>
      </c>
      <c r="D1282" s="1">
        <v>40725</v>
      </c>
      <c r="E1282" s="9">
        <f t="shared" si="40"/>
        <v>2012</v>
      </c>
      <c r="F1282" t="str">
        <f t="shared" si="41"/>
        <v>WKMC</v>
      </c>
    </row>
    <row r="1283" spans="1:6">
      <c r="A1283" t="s">
        <v>4767</v>
      </c>
      <c r="B1283" t="s">
        <v>4942</v>
      </c>
      <c r="C1283">
        <v>1.026</v>
      </c>
      <c r="D1283" s="1">
        <v>40725</v>
      </c>
      <c r="E1283" s="9">
        <f t="shared" ref="E1283:E1346" si="42">YEAR(D1283)+1</f>
        <v>2012</v>
      </c>
      <c r="F1283" t="str">
        <f t="shared" si="41"/>
        <v>WKMK</v>
      </c>
    </row>
    <row r="1284" spans="1:6">
      <c r="A1284" t="s">
        <v>4769</v>
      </c>
      <c r="B1284" t="s">
        <v>4770</v>
      </c>
      <c r="C1284">
        <v>1.0337000000000001</v>
      </c>
      <c r="D1284" s="1">
        <v>40725</v>
      </c>
      <c r="E1284" s="9">
        <f t="shared" si="42"/>
        <v>2012</v>
      </c>
      <c r="F1284" t="str">
        <f t="shared" si="41"/>
        <v>WKMM</v>
      </c>
    </row>
    <row r="1285" spans="1:6">
      <c r="A1285" t="s">
        <v>4771</v>
      </c>
      <c r="B1285" t="s">
        <v>4772</v>
      </c>
      <c r="C1285">
        <v>1.0251999999999999</v>
      </c>
      <c r="D1285" s="1">
        <v>40725</v>
      </c>
      <c r="E1285" s="9">
        <f t="shared" si="42"/>
        <v>2012</v>
      </c>
      <c r="F1285" t="str">
        <f t="shared" si="41"/>
        <v>WKND</v>
      </c>
    </row>
    <row r="1286" spans="1:6">
      <c r="A1286" t="s">
        <v>4773</v>
      </c>
      <c r="B1286" t="s">
        <v>4774</v>
      </c>
      <c r="C1286">
        <v>1.0241</v>
      </c>
      <c r="D1286" s="1">
        <v>40725</v>
      </c>
      <c r="E1286" s="9">
        <f t="shared" si="42"/>
        <v>2012</v>
      </c>
      <c r="F1286" t="str">
        <f t="shared" si="41"/>
        <v>WKOJ</v>
      </c>
    </row>
    <row r="1287" spans="1:6">
      <c r="A1287" t="s">
        <v>4775</v>
      </c>
      <c r="B1287" t="s">
        <v>4776</v>
      </c>
      <c r="C1287">
        <v>1.0141</v>
      </c>
      <c r="D1287" s="1">
        <v>40725</v>
      </c>
      <c r="E1287" s="9">
        <f t="shared" si="42"/>
        <v>2012</v>
      </c>
      <c r="F1287" t="str">
        <f t="shared" si="41"/>
        <v>WKPS</v>
      </c>
    </row>
    <row r="1288" spans="1:6">
      <c r="A1288" t="s">
        <v>4777</v>
      </c>
      <c r="B1288" t="s">
        <v>4778</v>
      </c>
      <c r="C1288">
        <v>1.0377000000000001</v>
      </c>
      <c r="D1288" s="1">
        <v>40725</v>
      </c>
      <c r="E1288" s="9">
        <f t="shared" si="42"/>
        <v>2012</v>
      </c>
      <c r="F1288" t="str">
        <f t="shared" si="41"/>
        <v>WLDE</v>
      </c>
    </row>
    <row r="1289" spans="1:6">
      <c r="A1289" t="s">
        <v>4779</v>
      </c>
      <c r="B1289" t="s">
        <v>4780</v>
      </c>
      <c r="C1289">
        <v>1.0398000000000001</v>
      </c>
      <c r="D1289" s="1">
        <v>40725</v>
      </c>
      <c r="E1289" s="9">
        <f t="shared" si="42"/>
        <v>2012</v>
      </c>
      <c r="F1289" t="str">
        <f t="shared" si="41"/>
        <v>WMAG</v>
      </c>
    </row>
    <row r="1290" spans="1:6">
      <c r="A1290" t="s">
        <v>4781</v>
      </c>
      <c r="B1290" t="s">
        <v>4782</v>
      </c>
      <c r="C1290">
        <v>1.0432999999999999</v>
      </c>
      <c r="D1290" s="1">
        <v>40725</v>
      </c>
      <c r="E1290" s="9">
        <f t="shared" si="42"/>
        <v>2012</v>
      </c>
      <c r="F1290" t="str">
        <f t="shared" si="41"/>
        <v>WMBR</v>
      </c>
    </row>
    <row r="1291" spans="1:6">
      <c r="A1291" t="s">
        <v>4783</v>
      </c>
      <c r="B1291" t="s">
        <v>4784</v>
      </c>
      <c r="C1291">
        <v>1.0449999999999999</v>
      </c>
      <c r="D1291" s="1">
        <v>40725</v>
      </c>
      <c r="E1291" s="9">
        <f t="shared" si="42"/>
        <v>2012</v>
      </c>
      <c r="F1291" t="str">
        <f t="shared" si="41"/>
        <v>WMCR</v>
      </c>
    </row>
    <row r="1292" spans="1:6">
      <c r="A1292" t="s">
        <v>4789</v>
      </c>
      <c r="B1292" t="s">
        <v>4790</v>
      </c>
      <c r="C1292">
        <v>1.0382</v>
      </c>
      <c r="D1292" s="1">
        <v>40725</v>
      </c>
      <c r="E1292" s="9">
        <f t="shared" si="42"/>
        <v>2012</v>
      </c>
      <c r="F1292" t="str">
        <f t="shared" si="41"/>
        <v>WMED</v>
      </c>
    </row>
    <row r="1293" spans="1:6">
      <c r="A1293" t="s">
        <v>4791</v>
      </c>
      <c r="B1293" t="s">
        <v>4792</v>
      </c>
      <c r="C1293">
        <v>1.1597</v>
      </c>
      <c r="D1293" s="1">
        <v>40725</v>
      </c>
      <c r="E1293" s="9">
        <f t="shared" si="42"/>
        <v>2012</v>
      </c>
      <c r="F1293" t="str">
        <f t="shared" si="41"/>
        <v>WMER</v>
      </c>
    </row>
    <row r="1294" spans="1:6">
      <c r="A1294" t="s">
        <v>4793</v>
      </c>
      <c r="B1294" t="s">
        <v>4794</v>
      </c>
      <c r="C1294">
        <v>1.0248999999999999</v>
      </c>
      <c r="D1294" s="1">
        <v>40725</v>
      </c>
      <c r="E1294" s="9">
        <f t="shared" si="42"/>
        <v>2012</v>
      </c>
      <c r="F1294" t="str">
        <f t="shared" si="41"/>
        <v>WMGA</v>
      </c>
    </row>
    <row r="1295" spans="1:6">
      <c r="A1295" t="s">
        <v>4795</v>
      </c>
      <c r="B1295" t="s">
        <v>4796</v>
      </c>
      <c r="C1295">
        <v>1.0342</v>
      </c>
      <c r="D1295" s="1">
        <v>40725</v>
      </c>
      <c r="E1295" s="9">
        <f t="shared" si="42"/>
        <v>2012</v>
      </c>
      <c r="F1295" t="str">
        <f t="shared" si="41"/>
        <v>WMHA</v>
      </c>
    </row>
    <row r="1296" spans="1:6">
      <c r="A1296" t="s">
        <v>4797</v>
      </c>
      <c r="B1296" t="s">
        <v>4798</v>
      </c>
      <c r="C1296">
        <v>1.0396000000000001</v>
      </c>
      <c r="D1296" s="1">
        <v>40725</v>
      </c>
      <c r="E1296" s="9">
        <f t="shared" si="42"/>
        <v>2012</v>
      </c>
      <c r="F1296" t="str">
        <f t="shared" si="41"/>
        <v>WMIL</v>
      </c>
    </row>
    <row r="1297" spans="1:6">
      <c r="A1297" t="s">
        <v>4799</v>
      </c>
      <c r="B1297" t="s">
        <v>4800</v>
      </c>
      <c r="C1297">
        <v>1.0207999999999999</v>
      </c>
      <c r="D1297" s="1">
        <v>40725</v>
      </c>
      <c r="E1297" s="9">
        <f t="shared" si="42"/>
        <v>2012</v>
      </c>
      <c r="F1297" t="str">
        <f t="shared" si="41"/>
        <v>WMJP</v>
      </c>
    </row>
    <row r="1298" spans="1:6">
      <c r="A1298" t="s">
        <v>4801</v>
      </c>
      <c r="B1298" t="s">
        <v>4802</v>
      </c>
      <c r="C1298">
        <v>1.0329999999999999</v>
      </c>
      <c r="D1298" s="1">
        <v>40725</v>
      </c>
      <c r="E1298" s="9">
        <f t="shared" si="42"/>
        <v>2012</v>
      </c>
      <c r="F1298" t="str">
        <f t="shared" si="41"/>
        <v>WMJX</v>
      </c>
    </row>
    <row r="1299" spans="1:6">
      <c r="A1299" t="s">
        <v>4803</v>
      </c>
      <c r="B1299" t="s">
        <v>4804</v>
      </c>
      <c r="C1299">
        <v>1.0353000000000001</v>
      </c>
      <c r="D1299" s="1">
        <v>40725</v>
      </c>
      <c r="E1299" s="9">
        <f t="shared" si="42"/>
        <v>2012</v>
      </c>
      <c r="F1299" t="str">
        <f t="shared" si="41"/>
        <v>WMLG</v>
      </c>
    </row>
    <row r="1300" spans="1:6">
      <c r="A1300" t="s">
        <v>4805</v>
      </c>
      <c r="B1300" t="s">
        <v>4806</v>
      </c>
      <c r="C1300">
        <v>1.046</v>
      </c>
      <c r="D1300" s="1">
        <v>40725</v>
      </c>
      <c r="E1300" s="9">
        <f t="shared" si="42"/>
        <v>2012</v>
      </c>
      <c r="F1300" t="str">
        <f t="shared" si="41"/>
        <v>WMOR</v>
      </c>
    </row>
    <row r="1301" spans="1:6">
      <c r="A1301" t="s">
        <v>4807</v>
      </c>
      <c r="B1301" t="s">
        <v>4808</v>
      </c>
      <c r="C1301">
        <v>1.0395000000000001</v>
      </c>
      <c r="D1301" s="1">
        <v>40725</v>
      </c>
      <c r="E1301" s="9">
        <f t="shared" si="42"/>
        <v>2012</v>
      </c>
      <c r="F1301" t="str">
        <f t="shared" si="41"/>
        <v>WMOY</v>
      </c>
    </row>
    <row r="1302" spans="1:6">
      <c r="A1302" t="s">
        <v>4809</v>
      </c>
      <c r="B1302" t="s">
        <v>4810</v>
      </c>
      <c r="C1302">
        <v>1</v>
      </c>
      <c r="D1302" s="1">
        <v>40725</v>
      </c>
      <c r="E1302" s="9">
        <f t="shared" si="42"/>
        <v>2012</v>
      </c>
      <c r="F1302" t="str">
        <f t="shared" si="41"/>
        <v>WMPS</v>
      </c>
    </row>
    <row r="1303" spans="1:6">
      <c r="A1303" t="s">
        <v>4811</v>
      </c>
      <c r="B1303" t="s">
        <v>4812</v>
      </c>
      <c r="C1303">
        <v>1.0154000000000001</v>
      </c>
      <c r="D1303" s="1">
        <v>40725</v>
      </c>
      <c r="E1303" s="9">
        <f t="shared" si="42"/>
        <v>2012</v>
      </c>
      <c r="F1303" t="str">
        <f t="shared" si="41"/>
        <v>WMRR</v>
      </c>
    </row>
    <row r="1304" spans="1:6">
      <c r="A1304" t="s">
        <v>4813</v>
      </c>
      <c r="B1304" t="s">
        <v>4814</v>
      </c>
      <c r="C1304">
        <v>1.0727</v>
      </c>
      <c r="D1304" s="1">
        <v>40725</v>
      </c>
      <c r="E1304" s="9">
        <f t="shared" si="42"/>
        <v>2012</v>
      </c>
      <c r="F1304" t="str">
        <f t="shared" si="41"/>
        <v>WMRV</v>
      </c>
    </row>
    <row r="1305" spans="1:6">
      <c r="A1305" t="s">
        <v>4815</v>
      </c>
      <c r="B1305" t="s">
        <v>4816</v>
      </c>
      <c r="C1305">
        <v>1.0273000000000001</v>
      </c>
      <c r="D1305" s="1">
        <v>40725</v>
      </c>
      <c r="E1305" s="9">
        <f t="shared" si="42"/>
        <v>2012</v>
      </c>
      <c r="F1305" t="str">
        <f t="shared" si="41"/>
        <v>WMSR</v>
      </c>
    </row>
    <row r="1306" spans="1:6">
      <c r="A1306" t="s">
        <v>4817</v>
      </c>
      <c r="B1306" t="s">
        <v>4818</v>
      </c>
      <c r="C1306">
        <v>1.0348999999999999</v>
      </c>
      <c r="D1306" s="1">
        <v>40725</v>
      </c>
      <c r="E1306" s="9">
        <f t="shared" si="42"/>
        <v>2012</v>
      </c>
      <c r="F1306" t="str">
        <f t="shared" si="41"/>
        <v>WMSS</v>
      </c>
    </row>
    <row r="1307" spans="1:6">
      <c r="A1307" t="s">
        <v>4819</v>
      </c>
      <c r="B1307" t="s">
        <v>4820</v>
      </c>
      <c r="C1307">
        <v>1.0348999999999999</v>
      </c>
      <c r="D1307" s="1">
        <v>40725</v>
      </c>
      <c r="E1307" s="9">
        <f t="shared" si="42"/>
        <v>2012</v>
      </c>
      <c r="F1307" t="str">
        <f t="shared" si="41"/>
        <v>WMUC</v>
      </c>
    </row>
    <row r="1308" spans="1:6">
      <c r="A1308" t="s">
        <v>4821</v>
      </c>
      <c r="B1308" t="s">
        <v>4822</v>
      </c>
      <c r="C1308">
        <v>1.0378000000000001</v>
      </c>
      <c r="D1308" s="1">
        <v>40725</v>
      </c>
      <c r="E1308" s="9">
        <f t="shared" si="42"/>
        <v>2012</v>
      </c>
      <c r="F1308" t="str">
        <f t="shared" si="41"/>
        <v>WMUL</v>
      </c>
    </row>
    <row r="1309" spans="1:6">
      <c r="A1309" t="s">
        <v>4823</v>
      </c>
      <c r="B1309" t="s">
        <v>4824</v>
      </c>
      <c r="C1309">
        <v>1.0293000000000001</v>
      </c>
      <c r="D1309" s="1">
        <v>40725</v>
      </c>
      <c r="E1309" s="9">
        <f t="shared" si="42"/>
        <v>2012</v>
      </c>
      <c r="F1309" t="str">
        <f t="shared" si="41"/>
        <v>WMUR</v>
      </c>
    </row>
    <row r="1310" spans="1:6">
      <c r="A1310" t="s">
        <v>4825</v>
      </c>
      <c r="B1310" t="s">
        <v>4826</v>
      </c>
      <c r="C1310">
        <v>1.0656000000000001</v>
      </c>
      <c r="D1310" s="1">
        <v>40725</v>
      </c>
      <c r="E1310" s="9">
        <f t="shared" si="42"/>
        <v>2012</v>
      </c>
      <c r="F1310" t="str">
        <f t="shared" si="41"/>
        <v>WMWR</v>
      </c>
    </row>
    <row r="1311" spans="1:6">
      <c r="A1311" t="s">
        <v>4827</v>
      </c>
      <c r="B1311" t="s">
        <v>4828</v>
      </c>
      <c r="C1311">
        <v>1.0421</v>
      </c>
      <c r="D1311" s="1">
        <v>40725</v>
      </c>
      <c r="E1311" s="9">
        <f t="shared" si="42"/>
        <v>2012</v>
      </c>
      <c r="F1311" t="str">
        <f t="shared" si="41"/>
        <v>WMYR</v>
      </c>
    </row>
    <row r="1312" spans="1:6">
      <c r="A1312" t="s">
        <v>4829</v>
      </c>
      <c r="B1312" t="s">
        <v>4830</v>
      </c>
      <c r="C1312">
        <v>1.0398000000000001</v>
      </c>
      <c r="D1312" s="1">
        <v>40725</v>
      </c>
      <c r="E1312" s="9">
        <f t="shared" si="42"/>
        <v>2012</v>
      </c>
      <c r="F1312" t="str">
        <f t="shared" si="41"/>
        <v>WNBH</v>
      </c>
    </row>
    <row r="1313" spans="1:6">
      <c r="A1313" t="s">
        <v>4831</v>
      </c>
      <c r="B1313" t="s">
        <v>4832</v>
      </c>
      <c r="C1313">
        <v>1.046</v>
      </c>
      <c r="D1313" s="1">
        <v>40725</v>
      </c>
      <c r="E1313" s="9">
        <f t="shared" si="42"/>
        <v>2012</v>
      </c>
      <c r="F1313" t="str">
        <f t="shared" si="41"/>
        <v>WNED</v>
      </c>
    </row>
    <row r="1314" spans="1:6">
      <c r="A1314" t="s">
        <v>4833</v>
      </c>
      <c r="B1314" t="s">
        <v>4834</v>
      </c>
      <c r="C1314">
        <v>1.0361</v>
      </c>
      <c r="D1314" s="1">
        <v>40725</v>
      </c>
      <c r="E1314" s="9">
        <f t="shared" si="42"/>
        <v>2012</v>
      </c>
      <c r="F1314" t="str">
        <f t="shared" si="41"/>
        <v>WNFL</v>
      </c>
    </row>
    <row r="1315" spans="1:6">
      <c r="A1315" t="s">
        <v>4835</v>
      </c>
      <c r="B1315" t="s">
        <v>4581</v>
      </c>
      <c r="C1315">
        <v>1.0229999999999999</v>
      </c>
      <c r="D1315" s="1">
        <v>40725</v>
      </c>
      <c r="E1315" s="9">
        <f t="shared" si="42"/>
        <v>2012</v>
      </c>
      <c r="F1315" t="str">
        <f t="shared" si="41"/>
        <v>WNGK</v>
      </c>
    </row>
    <row r="1316" spans="1:6">
      <c r="A1316" t="s">
        <v>4836</v>
      </c>
      <c r="B1316" t="s">
        <v>4837</v>
      </c>
      <c r="C1316">
        <v>1.0657000000000001</v>
      </c>
      <c r="D1316" s="1">
        <v>40725</v>
      </c>
      <c r="E1316" s="9">
        <f t="shared" si="42"/>
        <v>2012</v>
      </c>
      <c r="F1316" t="str">
        <f t="shared" si="41"/>
        <v>WNGN</v>
      </c>
    </row>
    <row r="1317" spans="1:6">
      <c r="A1317" t="s">
        <v>4838</v>
      </c>
      <c r="B1317" t="s">
        <v>4839</v>
      </c>
      <c r="C1317">
        <v>1.0753999999999999</v>
      </c>
      <c r="D1317" s="1">
        <v>40725</v>
      </c>
      <c r="E1317" s="9">
        <f t="shared" si="42"/>
        <v>2012</v>
      </c>
      <c r="F1317" t="str">
        <f t="shared" si="41"/>
        <v>WNOR</v>
      </c>
    </row>
    <row r="1318" spans="1:6">
      <c r="A1318" t="s">
        <v>4842</v>
      </c>
      <c r="B1318" t="s">
        <v>4843</v>
      </c>
      <c r="C1318">
        <v>1.0412999999999999</v>
      </c>
      <c r="D1318" s="1">
        <v>40725</v>
      </c>
      <c r="E1318" s="9">
        <f t="shared" si="42"/>
        <v>2012</v>
      </c>
      <c r="F1318" t="str">
        <f t="shared" si="41"/>
        <v>WNPH</v>
      </c>
    </row>
    <row r="1319" spans="1:6">
      <c r="A1319" t="s">
        <v>4844</v>
      </c>
      <c r="B1319" t="s">
        <v>4845</v>
      </c>
      <c r="C1319">
        <v>1.04</v>
      </c>
      <c r="D1319" s="1">
        <v>40725</v>
      </c>
      <c r="E1319" s="9">
        <f t="shared" si="42"/>
        <v>2012</v>
      </c>
      <c r="F1319" t="str">
        <f t="shared" si="41"/>
        <v>WOCN</v>
      </c>
    </row>
    <row r="1320" spans="1:6">
      <c r="A1320" t="s">
        <v>4846</v>
      </c>
      <c r="B1320" t="s">
        <v>4847</v>
      </c>
      <c r="C1320">
        <v>1.04</v>
      </c>
      <c r="D1320" s="1">
        <v>40725</v>
      </c>
      <c r="E1320" s="9">
        <f t="shared" si="42"/>
        <v>2012</v>
      </c>
      <c r="F1320" t="str">
        <f t="shared" si="41"/>
        <v>WOPK</v>
      </c>
    </row>
    <row r="1321" spans="1:6">
      <c r="A1321" t="s">
        <v>4848</v>
      </c>
      <c r="B1321" t="s">
        <v>4849</v>
      </c>
      <c r="C1321">
        <v>1.0407999999999999</v>
      </c>
      <c r="D1321" s="1">
        <v>40725</v>
      </c>
      <c r="E1321" s="9">
        <f t="shared" si="42"/>
        <v>2012</v>
      </c>
      <c r="F1321" t="str">
        <f t="shared" si="41"/>
        <v>WPBY</v>
      </c>
    </row>
    <row r="1322" spans="1:6">
      <c r="A1322" t="s">
        <v>4850</v>
      </c>
      <c r="B1322" t="s">
        <v>4851</v>
      </c>
      <c r="C1322">
        <v>1.2534000000000001</v>
      </c>
      <c r="D1322" s="1">
        <v>40725</v>
      </c>
      <c r="E1322" s="9">
        <f t="shared" si="42"/>
        <v>2012</v>
      </c>
      <c r="F1322" t="str">
        <f t="shared" si="41"/>
        <v>WPCY</v>
      </c>
    </row>
    <row r="1323" spans="1:6">
      <c r="A1323" t="s">
        <v>4852</v>
      </c>
      <c r="B1323" t="s">
        <v>4853</v>
      </c>
      <c r="C1323">
        <v>1.0208999999999999</v>
      </c>
      <c r="D1323" s="1">
        <v>40725</v>
      </c>
      <c r="E1323" s="9">
        <f t="shared" si="42"/>
        <v>2012</v>
      </c>
      <c r="F1323" t="str">
        <f t="shared" si="41"/>
        <v>WPIC</v>
      </c>
    </row>
    <row r="1324" spans="1:6">
      <c r="A1324" t="s">
        <v>4854</v>
      </c>
      <c r="B1324" t="s">
        <v>4855</v>
      </c>
      <c r="C1324">
        <v>1.0305</v>
      </c>
      <c r="D1324" s="1">
        <v>40725</v>
      </c>
      <c r="E1324" s="9">
        <f t="shared" si="42"/>
        <v>2012</v>
      </c>
      <c r="F1324" t="str">
        <f t="shared" si="41"/>
        <v>WPJR</v>
      </c>
    </row>
    <row r="1325" spans="1:6">
      <c r="A1325" t="s">
        <v>4856</v>
      </c>
      <c r="B1325" t="s">
        <v>4857</v>
      </c>
      <c r="C1325">
        <v>1.2977000000000001</v>
      </c>
      <c r="D1325" s="1">
        <v>40725</v>
      </c>
      <c r="E1325" s="9">
        <f t="shared" si="42"/>
        <v>2012</v>
      </c>
      <c r="F1325" t="str">
        <f t="shared" si="41"/>
        <v>WPKS</v>
      </c>
    </row>
    <row r="1326" spans="1:6">
      <c r="A1326" t="s">
        <v>4858</v>
      </c>
      <c r="B1326" t="s">
        <v>4859</v>
      </c>
      <c r="C1326">
        <v>1.0343</v>
      </c>
      <c r="D1326" s="1">
        <v>40725</v>
      </c>
      <c r="E1326" s="9">
        <f t="shared" si="42"/>
        <v>2012</v>
      </c>
      <c r="F1326" t="str">
        <f t="shared" si="41"/>
        <v>WPLD</v>
      </c>
    </row>
    <row r="1327" spans="1:6">
      <c r="A1327" t="s">
        <v>4860</v>
      </c>
      <c r="B1327" t="s">
        <v>4861</v>
      </c>
      <c r="C1327">
        <v>1.0204</v>
      </c>
      <c r="D1327" s="1">
        <v>40725</v>
      </c>
      <c r="E1327" s="9">
        <f t="shared" si="42"/>
        <v>2012</v>
      </c>
      <c r="F1327" t="str">
        <f t="shared" si="41"/>
        <v>WPNJ</v>
      </c>
    </row>
    <row r="1328" spans="1:6">
      <c r="A1328" t="s">
        <v>4862</v>
      </c>
      <c r="B1328" t="s">
        <v>4863</v>
      </c>
      <c r="C1328">
        <v>1.0410999999999999</v>
      </c>
      <c r="D1328" s="1">
        <v>40725</v>
      </c>
      <c r="E1328" s="9">
        <f t="shared" si="42"/>
        <v>2012</v>
      </c>
      <c r="F1328" t="str">
        <f t="shared" ref="F1328:F1391" si="43">A1328</f>
        <v>WRAN</v>
      </c>
    </row>
    <row r="1329" spans="1:6">
      <c r="A1329" t="s">
        <v>4948</v>
      </c>
      <c r="B1329" t="s">
        <v>4949</v>
      </c>
      <c r="C1329">
        <v>0.99960000000000004</v>
      </c>
      <c r="D1329" s="1">
        <v>40725</v>
      </c>
      <c r="E1329" s="9">
        <f t="shared" si="42"/>
        <v>2012</v>
      </c>
      <c r="F1329" t="str">
        <f t="shared" si="43"/>
        <v>WRBD</v>
      </c>
    </row>
    <row r="1330" spans="1:6">
      <c r="A1330" t="s">
        <v>4864</v>
      </c>
      <c r="B1330" t="s">
        <v>4865</v>
      </c>
      <c r="C1330">
        <v>1.0313000000000001</v>
      </c>
      <c r="D1330" s="1">
        <v>40725</v>
      </c>
      <c r="E1330" s="9">
        <f t="shared" si="42"/>
        <v>2012</v>
      </c>
      <c r="F1330" t="str">
        <f t="shared" si="43"/>
        <v>WRGN</v>
      </c>
    </row>
    <row r="1331" spans="1:6">
      <c r="A1331" t="s">
        <v>4866</v>
      </c>
      <c r="B1331" t="s">
        <v>4513</v>
      </c>
      <c r="C1331">
        <v>1.0376000000000001</v>
      </c>
      <c r="D1331" s="1">
        <v>40725</v>
      </c>
      <c r="E1331" s="9">
        <f t="shared" si="42"/>
        <v>2012</v>
      </c>
      <c r="F1331" t="str">
        <f t="shared" si="43"/>
        <v>WROH</v>
      </c>
    </row>
    <row r="1332" spans="1:6">
      <c r="A1332" t="s">
        <v>4867</v>
      </c>
      <c r="B1332" t="s">
        <v>4868</v>
      </c>
      <c r="C1332">
        <v>1.0303</v>
      </c>
      <c r="D1332" s="1">
        <v>40725</v>
      </c>
      <c r="E1332" s="9">
        <f t="shared" si="42"/>
        <v>2012</v>
      </c>
      <c r="F1332" t="str">
        <f t="shared" si="43"/>
        <v>WRTN</v>
      </c>
    </row>
    <row r="1333" spans="1:6">
      <c r="A1333" t="s">
        <v>4869</v>
      </c>
      <c r="B1333" t="s">
        <v>4870</v>
      </c>
      <c r="C1333">
        <v>1.0354000000000001</v>
      </c>
      <c r="D1333" s="1">
        <v>40725</v>
      </c>
      <c r="E1333" s="9">
        <f t="shared" si="42"/>
        <v>2012</v>
      </c>
      <c r="F1333" t="str">
        <f t="shared" si="43"/>
        <v>WRVE</v>
      </c>
    </row>
    <row r="1334" spans="1:6">
      <c r="A1334" t="s">
        <v>4873</v>
      </c>
      <c r="B1334" t="s">
        <v>4874</v>
      </c>
      <c r="C1334">
        <v>1.0381</v>
      </c>
      <c r="D1334" s="1">
        <v>40725</v>
      </c>
      <c r="E1334" s="9">
        <f t="shared" si="42"/>
        <v>2012</v>
      </c>
      <c r="F1334" t="str">
        <f t="shared" si="43"/>
        <v>WSNR</v>
      </c>
    </row>
    <row r="1335" spans="1:6">
      <c r="A1335" t="s">
        <v>4875</v>
      </c>
      <c r="B1335" t="s">
        <v>4876</v>
      </c>
      <c r="C1335">
        <v>1.044</v>
      </c>
      <c r="D1335" s="1">
        <v>40725</v>
      </c>
      <c r="E1335" s="9">
        <f t="shared" si="42"/>
        <v>2012</v>
      </c>
      <c r="F1335" t="str">
        <f t="shared" si="43"/>
        <v>WSPA</v>
      </c>
    </row>
    <row r="1336" spans="1:6">
      <c r="A1336" t="s">
        <v>4879</v>
      </c>
      <c r="B1336" t="s">
        <v>4880</v>
      </c>
      <c r="C1336">
        <v>1.0418000000000001</v>
      </c>
      <c r="D1336" s="1">
        <v>40725</v>
      </c>
      <c r="E1336" s="9">
        <f t="shared" si="42"/>
        <v>2012</v>
      </c>
      <c r="F1336" t="str">
        <f t="shared" si="43"/>
        <v>WSUM</v>
      </c>
    </row>
    <row r="1337" spans="1:6">
      <c r="A1337" t="s">
        <v>4950</v>
      </c>
      <c r="B1337" t="s">
        <v>4882</v>
      </c>
      <c r="C1337">
        <v>1.0786</v>
      </c>
      <c r="D1337" s="1">
        <v>40725</v>
      </c>
      <c r="E1337" s="9">
        <f t="shared" si="42"/>
        <v>2012</v>
      </c>
      <c r="F1337" t="str">
        <f t="shared" si="43"/>
        <v>WSVL</v>
      </c>
    </row>
    <row r="1338" spans="1:6">
      <c r="A1338" t="s">
        <v>4883</v>
      </c>
      <c r="B1338" t="s">
        <v>4884</v>
      </c>
      <c r="C1338">
        <v>1.0341</v>
      </c>
      <c r="D1338" s="1">
        <v>40725</v>
      </c>
      <c r="E1338" s="9">
        <f t="shared" si="42"/>
        <v>2012</v>
      </c>
      <c r="F1338" t="str">
        <f t="shared" si="43"/>
        <v>WTLN</v>
      </c>
    </row>
    <row r="1339" spans="1:6">
      <c r="A1339" t="s">
        <v>4885</v>
      </c>
      <c r="B1339" t="s">
        <v>4886</v>
      </c>
      <c r="C1339">
        <v>1.0365</v>
      </c>
      <c r="D1339" s="1">
        <v>40725</v>
      </c>
      <c r="E1339" s="9">
        <f t="shared" si="42"/>
        <v>2012</v>
      </c>
      <c r="F1339" t="str">
        <f t="shared" si="43"/>
        <v>WTSG</v>
      </c>
    </row>
    <row r="1340" spans="1:6">
      <c r="A1340" t="s">
        <v>4889</v>
      </c>
      <c r="B1340" t="s">
        <v>4890</v>
      </c>
      <c r="C1340">
        <v>1.0357000000000001</v>
      </c>
      <c r="D1340" s="1">
        <v>40725</v>
      </c>
      <c r="E1340" s="9">
        <f t="shared" si="42"/>
        <v>2012</v>
      </c>
      <c r="F1340" t="str">
        <f t="shared" si="43"/>
        <v>WTTS</v>
      </c>
    </row>
    <row r="1341" spans="1:6">
      <c r="A1341" t="s">
        <v>4891</v>
      </c>
      <c r="B1341" t="s">
        <v>4892</v>
      </c>
      <c r="C1341">
        <v>1.0452999999999999</v>
      </c>
      <c r="D1341" s="1">
        <v>40725</v>
      </c>
      <c r="E1341" s="9">
        <f t="shared" si="42"/>
        <v>2012</v>
      </c>
      <c r="F1341" t="str">
        <f t="shared" si="43"/>
        <v>WUNI</v>
      </c>
    </row>
    <row r="1342" spans="1:6">
      <c r="A1342" t="s">
        <v>4893</v>
      </c>
      <c r="B1342" t="s">
        <v>4894</v>
      </c>
      <c r="C1342">
        <v>1.0349999999999999</v>
      </c>
      <c r="D1342" s="1">
        <v>40725</v>
      </c>
      <c r="E1342" s="9">
        <f t="shared" si="42"/>
        <v>2012</v>
      </c>
      <c r="F1342" t="str">
        <f t="shared" si="43"/>
        <v>WVPA</v>
      </c>
    </row>
    <row r="1343" spans="1:6">
      <c r="A1343" t="s">
        <v>4895</v>
      </c>
      <c r="B1343" t="s">
        <v>4896</v>
      </c>
      <c r="C1343">
        <v>1.0484</v>
      </c>
      <c r="D1343" s="1">
        <v>40725</v>
      </c>
      <c r="E1343" s="9">
        <f t="shared" si="42"/>
        <v>2012</v>
      </c>
      <c r="F1343" t="str">
        <f t="shared" si="43"/>
        <v>WWAG</v>
      </c>
    </row>
    <row r="1344" spans="1:6">
      <c r="A1344" t="s">
        <v>4897</v>
      </c>
      <c r="B1344" t="s">
        <v>4898</v>
      </c>
      <c r="C1344">
        <v>1.0392999999999999</v>
      </c>
      <c r="D1344" s="1">
        <v>40725</v>
      </c>
      <c r="E1344" s="9">
        <f t="shared" si="42"/>
        <v>2012</v>
      </c>
      <c r="F1344" t="str">
        <f t="shared" si="43"/>
        <v>WWAI</v>
      </c>
    </row>
    <row r="1345" spans="1:6">
      <c r="A1345" t="s">
        <v>4899</v>
      </c>
      <c r="B1345" t="s">
        <v>4900</v>
      </c>
      <c r="C1345">
        <v>0.99819999999999998</v>
      </c>
      <c r="D1345" s="1">
        <v>40725</v>
      </c>
      <c r="E1345" s="9">
        <f t="shared" si="42"/>
        <v>2012</v>
      </c>
      <c r="F1345" t="str">
        <f t="shared" si="43"/>
        <v>WWCL</v>
      </c>
    </row>
    <row r="1346" spans="1:6">
      <c r="A1346" t="s">
        <v>4901</v>
      </c>
      <c r="B1346" t="s">
        <v>4902</v>
      </c>
      <c r="C1346">
        <v>1.0462</v>
      </c>
      <c r="D1346" s="1">
        <v>40725</v>
      </c>
      <c r="E1346" s="9">
        <f t="shared" si="42"/>
        <v>2012</v>
      </c>
      <c r="F1346" t="str">
        <f t="shared" si="43"/>
        <v>WWDN</v>
      </c>
    </row>
    <row r="1347" spans="1:6">
      <c r="A1347" t="s">
        <v>4943</v>
      </c>
      <c r="B1347" t="s">
        <v>4944</v>
      </c>
      <c r="C1347">
        <v>1.0371999999999999</v>
      </c>
      <c r="D1347" s="1">
        <v>40725</v>
      </c>
      <c r="E1347" s="9">
        <f t="shared" ref="E1347:E1410" si="44">YEAR(D1347)+1</f>
        <v>2012</v>
      </c>
      <c r="F1347" t="str">
        <f t="shared" si="43"/>
        <v>WWEB</v>
      </c>
    </row>
    <row r="1348" spans="1:6">
      <c r="A1348" t="s">
        <v>4903</v>
      </c>
      <c r="B1348" t="s">
        <v>4904</v>
      </c>
      <c r="C1348">
        <v>1.0336000000000001</v>
      </c>
      <c r="D1348" s="1">
        <v>40725</v>
      </c>
      <c r="E1348" s="9">
        <f t="shared" si="44"/>
        <v>2012</v>
      </c>
      <c r="F1348" t="str">
        <f t="shared" si="43"/>
        <v>WWEL</v>
      </c>
    </row>
    <row r="1349" spans="1:6">
      <c r="A1349" t="s">
        <v>4905</v>
      </c>
      <c r="B1349" t="s">
        <v>4906</v>
      </c>
      <c r="C1349">
        <v>1.0437000000000001</v>
      </c>
      <c r="D1349" s="1">
        <v>40725</v>
      </c>
      <c r="E1349" s="9">
        <f t="shared" si="44"/>
        <v>2012</v>
      </c>
      <c r="F1349" t="str">
        <f t="shared" si="43"/>
        <v>WWGA</v>
      </c>
    </row>
    <row r="1350" spans="1:6">
      <c r="A1350" t="s">
        <v>4907</v>
      </c>
      <c r="B1350" t="s">
        <v>4908</v>
      </c>
      <c r="C1350">
        <v>0.99099999999999999</v>
      </c>
      <c r="D1350" s="1">
        <v>40725</v>
      </c>
      <c r="E1350" s="9">
        <f t="shared" si="44"/>
        <v>2012</v>
      </c>
      <c r="F1350" t="str">
        <f t="shared" si="43"/>
        <v>WWGP</v>
      </c>
    </row>
    <row r="1351" spans="1:6">
      <c r="A1351" t="s">
        <v>4909</v>
      </c>
      <c r="B1351" t="s">
        <v>4910</v>
      </c>
      <c r="C1351">
        <v>1.2504</v>
      </c>
      <c r="D1351" s="1">
        <v>40725</v>
      </c>
      <c r="E1351" s="9">
        <f t="shared" si="44"/>
        <v>2012</v>
      </c>
      <c r="F1351" t="str">
        <f t="shared" si="43"/>
        <v>WWKT</v>
      </c>
    </row>
    <row r="1352" spans="1:6">
      <c r="A1352" t="s">
        <v>4911</v>
      </c>
      <c r="B1352" t="s">
        <v>4945</v>
      </c>
      <c r="C1352">
        <v>1.0394000000000001</v>
      </c>
      <c r="D1352" s="1">
        <v>40725</v>
      </c>
      <c r="E1352" s="9">
        <f t="shared" si="44"/>
        <v>2012</v>
      </c>
      <c r="F1352" t="str">
        <f t="shared" si="43"/>
        <v>WWLN</v>
      </c>
    </row>
    <row r="1353" spans="1:6">
      <c r="A1353" t="s">
        <v>4913</v>
      </c>
      <c r="B1353" t="s">
        <v>4914</v>
      </c>
      <c r="C1353">
        <v>1.0353000000000001</v>
      </c>
      <c r="D1353" s="1">
        <v>40725</v>
      </c>
      <c r="E1353" s="9">
        <f t="shared" si="44"/>
        <v>2012</v>
      </c>
      <c r="F1353" t="str">
        <f t="shared" si="43"/>
        <v>WWMG</v>
      </c>
    </row>
    <row r="1354" spans="1:6">
      <c r="A1354" t="s">
        <v>4915</v>
      </c>
      <c r="B1354" t="s">
        <v>4916</v>
      </c>
      <c r="C1354">
        <v>1.0339</v>
      </c>
      <c r="D1354" s="1">
        <v>40725</v>
      </c>
      <c r="E1354" s="9">
        <f t="shared" si="44"/>
        <v>2012</v>
      </c>
      <c r="F1354" t="str">
        <f t="shared" si="43"/>
        <v>WWNO</v>
      </c>
    </row>
    <row r="1355" spans="1:6">
      <c r="A1355" t="s">
        <v>4917</v>
      </c>
      <c r="B1355" t="s">
        <v>4918</v>
      </c>
      <c r="C1355">
        <v>1.0431999999999999</v>
      </c>
      <c r="D1355" s="1">
        <v>40725</v>
      </c>
      <c r="E1355" s="9">
        <f t="shared" si="44"/>
        <v>2012</v>
      </c>
      <c r="F1355" t="str">
        <f t="shared" si="43"/>
        <v>WWNT</v>
      </c>
    </row>
    <row r="1356" spans="1:6">
      <c r="A1356" t="s">
        <v>4919</v>
      </c>
      <c r="B1356" t="s">
        <v>4920</v>
      </c>
      <c r="C1356">
        <v>1.0382</v>
      </c>
      <c r="D1356" s="1">
        <v>40725</v>
      </c>
      <c r="E1356" s="9">
        <f t="shared" si="44"/>
        <v>2012</v>
      </c>
      <c r="F1356" t="str">
        <f t="shared" si="43"/>
        <v>WWSD</v>
      </c>
    </row>
    <row r="1357" spans="1:6">
      <c r="A1357" t="s">
        <v>4921</v>
      </c>
      <c r="B1357" t="s">
        <v>4922</v>
      </c>
      <c r="C1357">
        <v>1.0859000000000001</v>
      </c>
      <c r="D1357" s="1">
        <v>40725</v>
      </c>
      <c r="E1357" s="9">
        <f t="shared" si="44"/>
        <v>2012</v>
      </c>
      <c r="F1357" t="str">
        <f t="shared" si="43"/>
        <v>WWUN</v>
      </c>
    </row>
    <row r="1358" spans="1:6">
      <c r="A1358" t="s">
        <v>4923</v>
      </c>
      <c r="B1358" t="s">
        <v>4924</v>
      </c>
      <c r="C1358">
        <v>0.94940000000000002</v>
      </c>
      <c r="D1358" s="1">
        <v>40725</v>
      </c>
      <c r="E1358" s="9">
        <f t="shared" si="44"/>
        <v>2012</v>
      </c>
      <c r="F1358" t="str">
        <f t="shared" si="43"/>
        <v>WWWF</v>
      </c>
    </row>
    <row r="1359" spans="1:6">
      <c r="A1359" t="s">
        <v>4925</v>
      </c>
      <c r="B1359" t="s">
        <v>4926</v>
      </c>
      <c r="C1359">
        <v>1.0339</v>
      </c>
      <c r="D1359" s="1">
        <v>40725</v>
      </c>
      <c r="E1359" s="9">
        <f t="shared" si="44"/>
        <v>2012</v>
      </c>
      <c r="F1359" t="str">
        <f t="shared" si="43"/>
        <v>WYCP</v>
      </c>
    </row>
    <row r="1360" spans="1:6">
      <c r="A1360" t="s">
        <v>4927</v>
      </c>
      <c r="B1360" t="s">
        <v>4928</v>
      </c>
      <c r="C1360">
        <v>1.2548999999999999</v>
      </c>
      <c r="D1360" s="1">
        <v>40725</v>
      </c>
      <c r="E1360" s="9">
        <f t="shared" si="44"/>
        <v>2012</v>
      </c>
      <c r="F1360" t="str">
        <f t="shared" si="43"/>
        <v>WYER</v>
      </c>
    </row>
    <row r="1361" spans="1:6">
      <c r="A1361" t="s">
        <v>4929</v>
      </c>
      <c r="B1361" t="s">
        <v>4930</v>
      </c>
      <c r="C1361">
        <v>1.0395000000000001</v>
      </c>
      <c r="D1361" s="1">
        <v>40725</v>
      </c>
      <c r="E1361" s="9">
        <f t="shared" si="44"/>
        <v>2012</v>
      </c>
      <c r="F1361" t="str">
        <f t="shared" si="43"/>
        <v>WYKE</v>
      </c>
    </row>
    <row r="1362" spans="1:6">
      <c r="A1362" t="s">
        <v>4931</v>
      </c>
      <c r="B1362" t="s">
        <v>4932</v>
      </c>
      <c r="C1362">
        <v>1.1856</v>
      </c>
      <c r="D1362" s="1">
        <v>40725</v>
      </c>
      <c r="E1362" s="9">
        <f t="shared" si="44"/>
        <v>2012</v>
      </c>
      <c r="F1362" t="str">
        <f t="shared" si="43"/>
        <v>WYLN</v>
      </c>
    </row>
    <row r="1363" spans="1:6">
      <c r="A1363" t="s">
        <v>4613</v>
      </c>
      <c r="B1363" t="s">
        <v>4614</v>
      </c>
      <c r="C1363">
        <v>1.0431999999999999</v>
      </c>
      <c r="D1363" s="1">
        <v>40360</v>
      </c>
      <c r="E1363" s="9">
        <f t="shared" si="44"/>
        <v>2011</v>
      </c>
      <c r="F1363" t="str">
        <f t="shared" si="43"/>
        <v>TSAV</v>
      </c>
    </row>
    <row r="1364" spans="1:6">
      <c r="A1364" t="s">
        <v>4615</v>
      </c>
      <c r="B1364" t="s">
        <v>4616</v>
      </c>
      <c r="C1364">
        <v>1.0401</v>
      </c>
      <c r="D1364" s="1">
        <v>40360</v>
      </c>
      <c r="E1364" s="9">
        <f t="shared" si="44"/>
        <v>2011</v>
      </c>
      <c r="F1364" t="str">
        <f t="shared" si="43"/>
        <v>TUAV</v>
      </c>
    </row>
    <row r="1365" spans="1:6">
      <c r="A1365" t="s">
        <v>4593</v>
      </c>
      <c r="B1365" t="s">
        <v>4594</v>
      </c>
      <c r="C1365">
        <v>0.99770000000000003</v>
      </c>
      <c r="D1365" s="1">
        <v>40360</v>
      </c>
      <c r="E1365" s="9">
        <f t="shared" si="44"/>
        <v>2011</v>
      </c>
      <c r="F1365" t="str">
        <f t="shared" si="43"/>
        <v>TAPA</v>
      </c>
    </row>
    <row r="1366" spans="1:6">
      <c r="A1366" t="s">
        <v>4595</v>
      </c>
      <c r="B1366" t="s">
        <v>4596</v>
      </c>
      <c r="C1366">
        <v>0.98939999999999995</v>
      </c>
      <c r="D1366" s="1">
        <v>40360</v>
      </c>
      <c r="E1366" s="9">
        <f t="shared" si="44"/>
        <v>2011</v>
      </c>
      <c r="F1366" t="str">
        <f t="shared" si="43"/>
        <v>TAPL</v>
      </c>
    </row>
    <row r="1367" spans="1:6">
      <c r="A1367" t="s">
        <v>4598</v>
      </c>
      <c r="B1367" t="s">
        <v>4953</v>
      </c>
      <c r="C1367">
        <v>1.2092000000000001</v>
      </c>
      <c r="D1367" s="1">
        <v>40360</v>
      </c>
      <c r="E1367" s="9">
        <f t="shared" si="44"/>
        <v>2011</v>
      </c>
      <c r="F1367" t="str">
        <f t="shared" si="43"/>
        <v>TBLS</v>
      </c>
    </row>
    <row r="1368" spans="1:6">
      <c r="A1368" t="s">
        <v>4602</v>
      </c>
      <c r="B1368" t="s">
        <v>4937</v>
      </c>
      <c r="C1368">
        <v>1.0123</v>
      </c>
      <c r="D1368" s="1">
        <v>40360</v>
      </c>
      <c r="E1368" s="9">
        <f t="shared" si="44"/>
        <v>2011</v>
      </c>
      <c r="F1368" t="str">
        <f t="shared" si="43"/>
        <v>TLWA</v>
      </c>
    </row>
    <row r="1369" spans="1:6">
      <c r="A1369" t="s">
        <v>4609</v>
      </c>
      <c r="B1369" t="s">
        <v>4610</v>
      </c>
      <c r="C1369">
        <v>1.0262</v>
      </c>
      <c r="D1369" s="1">
        <v>40360</v>
      </c>
      <c r="E1369" s="9">
        <f t="shared" si="44"/>
        <v>2011</v>
      </c>
      <c r="F1369" t="str">
        <f t="shared" si="43"/>
        <v>TMSK</v>
      </c>
    </row>
    <row r="1370" spans="1:6">
      <c r="A1370" t="s">
        <v>4611</v>
      </c>
      <c r="B1370" t="s">
        <v>4612</v>
      </c>
      <c r="C1370">
        <v>1.0134000000000001</v>
      </c>
      <c r="D1370" s="1">
        <v>40360</v>
      </c>
      <c r="E1370" s="9">
        <f t="shared" si="44"/>
        <v>2011</v>
      </c>
      <c r="F1370" t="str">
        <f t="shared" si="43"/>
        <v>TOLA</v>
      </c>
    </row>
    <row r="1371" spans="1:6">
      <c r="A1371" t="s">
        <v>4617</v>
      </c>
      <c r="B1371" t="s">
        <v>4618</v>
      </c>
      <c r="C1371">
        <v>1.1073999999999999</v>
      </c>
      <c r="D1371" s="1">
        <v>40360</v>
      </c>
      <c r="E1371" s="9">
        <f t="shared" si="44"/>
        <v>2011</v>
      </c>
      <c r="F1371" t="str">
        <f t="shared" si="43"/>
        <v>TWKG</v>
      </c>
    </row>
    <row r="1372" spans="1:6">
      <c r="A1372" t="s">
        <v>4619</v>
      </c>
      <c r="B1372" t="s">
        <v>4620</v>
      </c>
      <c r="C1372">
        <v>0.98780000000000001</v>
      </c>
      <c r="D1372" s="1">
        <v>40360</v>
      </c>
      <c r="E1372" s="9">
        <f t="shared" si="44"/>
        <v>2011</v>
      </c>
      <c r="F1372" t="str">
        <f t="shared" si="43"/>
        <v>TWOJ</v>
      </c>
    </row>
    <row r="1373" spans="1:6">
      <c r="A1373" t="s">
        <v>4621</v>
      </c>
      <c r="B1373" t="s">
        <v>4622</v>
      </c>
      <c r="C1373">
        <v>0.99039999999999995</v>
      </c>
      <c r="D1373" s="1">
        <v>40360</v>
      </c>
      <c r="E1373" s="9">
        <f t="shared" si="44"/>
        <v>2011</v>
      </c>
      <c r="F1373" t="str">
        <f t="shared" si="43"/>
        <v>TWOW</v>
      </c>
    </row>
    <row r="1374" spans="1:6">
      <c r="A1374" t="s">
        <v>4623</v>
      </c>
      <c r="B1374" t="s">
        <v>4624</v>
      </c>
      <c r="C1374">
        <v>1.0311999999999999</v>
      </c>
      <c r="D1374" s="1">
        <v>40360</v>
      </c>
      <c r="E1374" s="9">
        <f t="shared" si="44"/>
        <v>2011</v>
      </c>
      <c r="F1374" t="str">
        <f t="shared" si="43"/>
        <v>WAFM</v>
      </c>
    </row>
    <row r="1375" spans="1:6">
      <c r="A1375" t="s">
        <v>4625</v>
      </c>
      <c r="B1375" t="s">
        <v>4626</v>
      </c>
      <c r="C1375">
        <v>1.0248999999999999</v>
      </c>
      <c r="D1375" s="1">
        <v>40360</v>
      </c>
      <c r="E1375" s="9">
        <f t="shared" si="44"/>
        <v>2011</v>
      </c>
      <c r="F1375" t="str">
        <f t="shared" si="43"/>
        <v>WAKW</v>
      </c>
    </row>
    <row r="1376" spans="1:6">
      <c r="A1376" t="s">
        <v>4627</v>
      </c>
      <c r="B1376" t="s">
        <v>4628</v>
      </c>
      <c r="C1376">
        <v>1.0423</v>
      </c>
      <c r="D1376" s="1">
        <v>40360</v>
      </c>
      <c r="E1376" s="9">
        <f t="shared" si="44"/>
        <v>2011</v>
      </c>
      <c r="F1376" t="str">
        <f t="shared" si="43"/>
        <v>WALB</v>
      </c>
    </row>
    <row r="1377" spans="1:6">
      <c r="A1377" t="s">
        <v>4629</v>
      </c>
      <c r="B1377" t="s">
        <v>4630</v>
      </c>
      <c r="C1377">
        <v>1.0344</v>
      </c>
      <c r="D1377" s="1">
        <v>40360</v>
      </c>
      <c r="E1377" s="9">
        <f t="shared" si="44"/>
        <v>2011</v>
      </c>
      <c r="F1377" t="str">
        <f t="shared" si="43"/>
        <v>WAMT</v>
      </c>
    </row>
    <row r="1378" spans="1:6">
      <c r="A1378" t="s">
        <v>4631</v>
      </c>
      <c r="B1378" t="s">
        <v>4632</v>
      </c>
      <c r="C1378">
        <v>1.0378000000000001</v>
      </c>
      <c r="D1378" s="1">
        <v>40360</v>
      </c>
      <c r="E1378" s="9">
        <f t="shared" si="44"/>
        <v>2011</v>
      </c>
      <c r="F1378" t="str">
        <f t="shared" si="43"/>
        <v>WAPM</v>
      </c>
    </row>
    <row r="1379" spans="1:6">
      <c r="A1379" t="s">
        <v>4633</v>
      </c>
      <c r="B1379" t="s">
        <v>4634</v>
      </c>
      <c r="C1379">
        <v>1.0365</v>
      </c>
      <c r="D1379" s="1">
        <v>40360</v>
      </c>
      <c r="E1379" s="9">
        <f t="shared" si="44"/>
        <v>2011</v>
      </c>
      <c r="F1379" t="str">
        <f t="shared" si="43"/>
        <v>WARK</v>
      </c>
    </row>
    <row r="1380" spans="1:6">
      <c r="A1380" t="s">
        <v>4635</v>
      </c>
      <c r="B1380" t="s">
        <v>4636</v>
      </c>
      <c r="C1380">
        <v>1.0367</v>
      </c>
      <c r="D1380" s="1">
        <v>40360</v>
      </c>
      <c r="E1380" s="9">
        <f t="shared" si="44"/>
        <v>2011</v>
      </c>
      <c r="F1380" t="str">
        <f t="shared" si="43"/>
        <v>WBCH</v>
      </c>
    </row>
    <row r="1381" spans="1:6">
      <c r="A1381" t="s">
        <v>4639</v>
      </c>
      <c r="B1381" t="s">
        <v>4640</v>
      </c>
      <c r="C1381">
        <v>1.1263000000000001</v>
      </c>
      <c r="D1381" s="1">
        <v>40360</v>
      </c>
      <c r="E1381" s="9">
        <f t="shared" si="44"/>
        <v>2011</v>
      </c>
      <c r="F1381" t="str">
        <f t="shared" si="43"/>
        <v>WBDE</v>
      </c>
    </row>
    <row r="1382" spans="1:6">
      <c r="A1382" t="s">
        <v>4643</v>
      </c>
      <c r="B1382" t="s">
        <v>4644</v>
      </c>
      <c r="C1382">
        <v>1.0301</v>
      </c>
      <c r="D1382" s="1">
        <v>40360</v>
      </c>
      <c r="E1382" s="9">
        <f t="shared" si="44"/>
        <v>2011</v>
      </c>
      <c r="F1382" t="str">
        <f t="shared" si="43"/>
        <v>WBEC</v>
      </c>
    </row>
    <row r="1383" spans="1:6">
      <c r="A1383" t="s">
        <v>4645</v>
      </c>
      <c r="B1383" t="s">
        <v>4646</v>
      </c>
      <c r="C1383">
        <v>1.038</v>
      </c>
      <c r="D1383" s="1">
        <v>40360</v>
      </c>
      <c r="E1383" s="9">
        <f t="shared" si="44"/>
        <v>2011</v>
      </c>
      <c r="F1383" t="str">
        <f t="shared" si="43"/>
        <v>WBEL</v>
      </c>
    </row>
    <row r="1384" spans="1:6">
      <c r="A1384" t="s">
        <v>4647</v>
      </c>
      <c r="B1384" t="s">
        <v>4939</v>
      </c>
      <c r="C1384">
        <v>1.0064</v>
      </c>
      <c r="D1384" s="1">
        <v>40360</v>
      </c>
      <c r="E1384" s="9">
        <f t="shared" si="44"/>
        <v>2011</v>
      </c>
      <c r="F1384" t="str">
        <f t="shared" si="43"/>
        <v>WBGM</v>
      </c>
    </row>
    <row r="1385" spans="1:6">
      <c r="A1385" t="s">
        <v>4649</v>
      </c>
      <c r="B1385" t="s">
        <v>4650</v>
      </c>
      <c r="C1385">
        <v>1.0243</v>
      </c>
      <c r="D1385" s="1">
        <v>40360</v>
      </c>
      <c r="E1385" s="9">
        <f t="shared" si="44"/>
        <v>2011</v>
      </c>
      <c r="F1385" t="str">
        <f t="shared" si="43"/>
        <v>WBHK</v>
      </c>
    </row>
    <row r="1386" spans="1:6">
      <c r="A1386" t="s">
        <v>4651</v>
      </c>
      <c r="B1386" t="s">
        <v>4652</v>
      </c>
      <c r="C1386">
        <v>1.0284</v>
      </c>
      <c r="D1386" s="1">
        <v>40360</v>
      </c>
      <c r="E1386" s="9">
        <f t="shared" si="44"/>
        <v>2011</v>
      </c>
      <c r="F1386" t="str">
        <f t="shared" si="43"/>
        <v>WBIB</v>
      </c>
    </row>
    <row r="1387" spans="1:6">
      <c r="A1387" t="s">
        <v>4653</v>
      </c>
      <c r="B1387" t="s">
        <v>4654</v>
      </c>
      <c r="C1387">
        <v>1.212</v>
      </c>
      <c r="D1387" s="1">
        <v>40360</v>
      </c>
      <c r="E1387" s="9">
        <f t="shared" si="44"/>
        <v>2011</v>
      </c>
      <c r="F1387" t="str">
        <f t="shared" si="43"/>
        <v>WBKF</v>
      </c>
    </row>
    <row r="1388" spans="1:6">
      <c r="A1388" t="s">
        <v>4655</v>
      </c>
      <c r="B1388" t="s">
        <v>4656</v>
      </c>
      <c r="C1388">
        <v>1.2064999999999999</v>
      </c>
      <c r="D1388" s="1">
        <v>40360</v>
      </c>
      <c r="E1388" s="9">
        <f t="shared" si="44"/>
        <v>2011</v>
      </c>
      <c r="F1388" t="str">
        <f t="shared" si="43"/>
        <v>WBLD</v>
      </c>
    </row>
    <row r="1389" spans="1:6">
      <c r="A1389" t="s">
        <v>4657</v>
      </c>
      <c r="B1389" t="s">
        <v>4658</v>
      </c>
      <c r="C1389">
        <v>1.0373000000000001</v>
      </c>
      <c r="D1389" s="1">
        <v>40360</v>
      </c>
      <c r="E1389" s="9">
        <f t="shared" si="44"/>
        <v>2011</v>
      </c>
      <c r="F1389" t="str">
        <f t="shared" si="43"/>
        <v>WBNP</v>
      </c>
    </row>
    <row r="1390" spans="1:6">
      <c r="A1390" t="s">
        <v>4659</v>
      </c>
      <c r="B1390" t="s">
        <v>4660</v>
      </c>
      <c r="C1390">
        <v>1.1115999999999999</v>
      </c>
      <c r="D1390" s="1">
        <v>40360</v>
      </c>
      <c r="E1390" s="9">
        <f t="shared" si="44"/>
        <v>2011</v>
      </c>
      <c r="F1390" t="str">
        <f t="shared" si="43"/>
        <v>WBNY</v>
      </c>
    </row>
    <row r="1391" spans="1:6">
      <c r="A1391" t="s">
        <v>4661</v>
      </c>
      <c r="B1391" t="s">
        <v>4662</v>
      </c>
      <c r="C1391">
        <v>1.0025999999999999</v>
      </c>
      <c r="D1391" s="1">
        <v>40360</v>
      </c>
      <c r="E1391" s="9">
        <f t="shared" si="44"/>
        <v>2011</v>
      </c>
      <c r="F1391" t="str">
        <f t="shared" si="43"/>
        <v>WBOD</v>
      </c>
    </row>
    <row r="1392" spans="1:6">
      <c r="A1392" t="s">
        <v>4663</v>
      </c>
      <c r="B1392" t="s">
        <v>4664</v>
      </c>
      <c r="C1392">
        <v>1.0261</v>
      </c>
      <c r="D1392" s="1">
        <v>40360</v>
      </c>
      <c r="E1392" s="9">
        <f t="shared" si="44"/>
        <v>2011</v>
      </c>
      <c r="F1392" t="str">
        <f t="shared" ref="F1392:F1455" si="45">A1392</f>
        <v>WBPM</v>
      </c>
    </row>
    <row r="1393" spans="1:6">
      <c r="A1393" t="s">
        <v>4665</v>
      </c>
      <c r="B1393" t="s">
        <v>4666</v>
      </c>
      <c r="C1393">
        <v>1.0162</v>
      </c>
      <c r="D1393" s="1">
        <v>40360</v>
      </c>
      <c r="E1393" s="9">
        <f t="shared" si="44"/>
        <v>2011</v>
      </c>
      <c r="F1393" t="str">
        <f t="shared" si="45"/>
        <v>WBSI</v>
      </c>
    </row>
    <row r="1394" spans="1:6">
      <c r="A1394" t="s">
        <v>4667</v>
      </c>
      <c r="B1394" t="s">
        <v>4668</v>
      </c>
      <c r="C1394">
        <v>1.0466</v>
      </c>
      <c r="D1394" s="1">
        <v>40360</v>
      </c>
      <c r="E1394" s="9">
        <f t="shared" si="44"/>
        <v>2011</v>
      </c>
      <c r="F1394" t="str">
        <f t="shared" si="45"/>
        <v>WBSN</v>
      </c>
    </row>
    <row r="1395" spans="1:6">
      <c r="A1395" t="s">
        <v>4669</v>
      </c>
      <c r="B1395" t="s">
        <v>4670</v>
      </c>
      <c r="C1395">
        <v>1.0202</v>
      </c>
      <c r="D1395" s="1">
        <v>40360</v>
      </c>
      <c r="E1395" s="9">
        <f t="shared" si="44"/>
        <v>2011</v>
      </c>
      <c r="F1395" t="str">
        <f t="shared" si="45"/>
        <v>WBTN</v>
      </c>
    </row>
    <row r="1396" spans="1:6">
      <c r="A1396" t="s">
        <v>4671</v>
      </c>
      <c r="B1396" t="s">
        <v>4672</v>
      </c>
      <c r="C1396">
        <v>1.0401</v>
      </c>
      <c r="D1396" s="1">
        <v>40360</v>
      </c>
      <c r="E1396" s="9">
        <f t="shared" si="44"/>
        <v>2011</v>
      </c>
      <c r="F1396" t="str">
        <f t="shared" si="45"/>
        <v>WBTY</v>
      </c>
    </row>
    <row r="1397" spans="1:6">
      <c r="A1397" t="s">
        <v>4673</v>
      </c>
      <c r="B1397" t="s">
        <v>4674</v>
      </c>
      <c r="C1397">
        <v>1.0195000000000001</v>
      </c>
      <c r="D1397" s="1">
        <v>40360</v>
      </c>
      <c r="E1397" s="9">
        <f t="shared" si="44"/>
        <v>2011</v>
      </c>
      <c r="F1397" t="str">
        <f t="shared" si="45"/>
        <v>WBUH</v>
      </c>
    </row>
    <row r="1398" spans="1:6">
      <c r="A1398" t="s">
        <v>4597</v>
      </c>
      <c r="B1398" t="s">
        <v>4954</v>
      </c>
      <c r="C1398">
        <v>0.99939999999999996</v>
      </c>
      <c r="D1398" s="1">
        <v>40360</v>
      </c>
      <c r="E1398" s="9">
        <f t="shared" si="44"/>
        <v>2011</v>
      </c>
      <c r="F1398" t="str">
        <f t="shared" si="45"/>
        <v>TBLB</v>
      </c>
    </row>
    <row r="1399" spans="1:6">
      <c r="A1399" t="s">
        <v>4675</v>
      </c>
      <c r="B1399" t="s">
        <v>4676</v>
      </c>
      <c r="C1399">
        <v>1.0402</v>
      </c>
      <c r="D1399" s="1">
        <v>40360</v>
      </c>
      <c r="E1399" s="9">
        <f t="shared" si="44"/>
        <v>2011</v>
      </c>
      <c r="F1399" t="str">
        <f t="shared" si="45"/>
        <v>WBYF</v>
      </c>
    </row>
    <row r="1400" spans="1:6">
      <c r="A1400" t="s">
        <v>4677</v>
      </c>
      <c r="B1400" t="s">
        <v>4678</v>
      </c>
      <c r="C1400">
        <v>1.0392999999999999</v>
      </c>
      <c r="D1400" s="1">
        <v>40360</v>
      </c>
      <c r="E1400" s="9">
        <f t="shared" si="44"/>
        <v>2011</v>
      </c>
      <c r="F1400" t="str">
        <f t="shared" si="45"/>
        <v>WCAP</v>
      </c>
    </row>
    <row r="1401" spans="1:6">
      <c r="A1401" t="s">
        <v>4679</v>
      </c>
      <c r="B1401" t="s">
        <v>4680</v>
      </c>
      <c r="C1401">
        <v>1.1525000000000001</v>
      </c>
      <c r="D1401" s="1">
        <v>40360</v>
      </c>
      <c r="E1401" s="9">
        <f t="shared" si="44"/>
        <v>2011</v>
      </c>
      <c r="F1401" t="str">
        <f t="shared" si="45"/>
        <v>WCAR</v>
      </c>
    </row>
    <row r="1402" spans="1:6">
      <c r="A1402" t="s">
        <v>4681</v>
      </c>
      <c r="B1402" t="s">
        <v>4682</v>
      </c>
      <c r="C1402">
        <v>1.0265</v>
      </c>
      <c r="D1402" s="1">
        <v>40360</v>
      </c>
      <c r="E1402" s="9">
        <f t="shared" si="44"/>
        <v>2011</v>
      </c>
      <c r="F1402" t="str">
        <f t="shared" si="45"/>
        <v>WCBP</v>
      </c>
    </row>
    <row r="1403" spans="1:6">
      <c r="A1403" t="s">
        <v>4683</v>
      </c>
      <c r="B1403" t="s">
        <v>4684</v>
      </c>
      <c r="C1403">
        <v>1.0323</v>
      </c>
      <c r="D1403" s="1">
        <v>40360</v>
      </c>
      <c r="E1403" s="9">
        <f t="shared" si="44"/>
        <v>2011</v>
      </c>
      <c r="F1403" t="str">
        <f t="shared" si="45"/>
        <v>WCCL</v>
      </c>
    </row>
    <row r="1404" spans="1:6">
      <c r="A1404" t="s">
        <v>4685</v>
      </c>
      <c r="B1404" t="s">
        <v>4574</v>
      </c>
      <c r="C1404">
        <v>1.0347999999999999</v>
      </c>
      <c r="D1404" s="1">
        <v>40360</v>
      </c>
      <c r="E1404" s="9">
        <f t="shared" si="44"/>
        <v>2011</v>
      </c>
      <c r="F1404" t="str">
        <f t="shared" si="45"/>
        <v>WCCT</v>
      </c>
    </row>
    <row r="1405" spans="1:6">
      <c r="A1405" t="s">
        <v>4692</v>
      </c>
      <c r="B1405" t="s">
        <v>4693</v>
      </c>
      <c r="C1405">
        <v>1.042</v>
      </c>
      <c r="D1405" s="1">
        <v>40360</v>
      </c>
      <c r="E1405" s="9">
        <f t="shared" si="44"/>
        <v>2011</v>
      </c>
      <c r="F1405" t="str">
        <f t="shared" si="45"/>
        <v>WCLN</v>
      </c>
    </row>
    <row r="1406" spans="1:6">
      <c r="A1406" t="s">
        <v>4688</v>
      </c>
      <c r="B1406" t="s">
        <v>4947</v>
      </c>
      <c r="C1406">
        <v>1.0347999999999999</v>
      </c>
      <c r="D1406" s="1">
        <v>40360</v>
      </c>
      <c r="E1406" s="9">
        <f t="shared" si="44"/>
        <v>2011</v>
      </c>
      <c r="F1406" t="str">
        <f t="shared" si="45"/>
        <v>WCKN</v>
      </c>
    </row>
    <row r="1407" spans="1:6">
      <c r="A1407" t="s">
        <v>4690</v>
      </c>
      <c r="B1407" t="s">
        <v>4691</v>
      </c>
      <c r="C1407">
        <v>1.0424</v>
      </c>
      <c r="D1407" s="1">
        <v>40360</v>
      </c>
      <c r="E1407" s="9">
        <f t="shared" si="44"/>
        <v>2011</v>
      </c>
      <c r="F1407" t="str">
        <f t="shared" si="45"/>
        <v>WCKT</v>
      </c>
    </row>
    <row r="1408" spans="1:6">
      <c r="A1408" t="s">
        <v>4694</v>
      </c>
      <c r="B1408" t="s">
        <v>4695</v>
      </c>
      <c r="C1408">
        <v>1.056</v>
      </c>
      <c r="D1408" s="1">
        <v>40360</v>
      </c>
      <c r="E1408" s="9">
        <f t="shared" si="44"/>
        <v>2011</v>
      </c>
      <c r="F1408" t="str">
        <f t="shared" si="45"/>
        <v>WCLP</v>
      </c>
    </row>
    <row r="1409" spans="1:6">
      <c r="A1409" t="s">
        <v>4696</v>
      </c>
      <c r="B1409" t="s">
        <v>4697</v>
      </c>
      <c r="C1409">
        <v>1.0226999999999999</v>
      </c>
      <c r="D1409" s="1">
        <v>40360</v>
      </c>
      <c r="E1409" s="9">
        <f t="shared" si="44"/>
        <v>2011</v>
      </c>
      <c r="F1409" t="str">
        <f t="shared" si="45"/>
        <v>WCOE</v>
      </c>
    </row>
    <row r="1410" spans="1:6">
      <c r="A1410" t="s">
        <v>4698</v>
      </c>
      <c r="B1410" t="s">
        <v>4699</v>
      </c>
      <c r="C1410">
        <v>1.0405</v>
      </c>
      <c r="D1410" s="1">
        <v>40360</v>
      </c>
      <c r="E1410" s="9">
        <f t="shared" si="44"/>
        <v>2011</v>
      </c>
      <c r="F1410" t="str">
        <f t="shared" si="45"/>
        <v>WCOL</v>
      </c>
    </row>
    <row r="1411" spans="1:6">
      <c r="A1411" t="s">
        <v>4951</v>
      </c>
      <c r="B1411" t="s">
        <v>4705</v>
      </c>
      <c r="C1411">
        <v>1.0497000000000001</v>
      </c>
      <c r="D1411" s="1">
        <v>40360</v>
      </c>
      <c r="E1411" s="9">
        <f t="shared" ref="E1411:E1474" si="46">YEAR(D1411)+1</f>
        <v>2011</v>
      </c>
      <c r="F1411" t="str">
        <f t="shared" si="45"/>
        <v>WCOT</v>
      </c>
    </row>
    <row r="1412" spans="1:6">
      <c r="A1412" t="s">
        <v>4700</v>
      </c>
      <c r="B1412" t="s">
        <v>4701</v>
      </c>
      <c r="C1412">
        <v>1.0419</v>
      </c>
      <c r="D1412" s="1">
        <v>40360</v>
      </c>
      <c r="E1412" s="9">
        <f t="shared" si="46"/>
        <v>2011</v>
      </c>
      <c r="F1412" t="str">
        <f t="shared" si="45"/>
        <v>WCPN</v>
      </c>
    </row>
    <row r="1413" spans="1:6">
      <c r="A1413" t="s">
        <v>4702</v>
      </c>
      <c r="B1413" t="s">
        <v>4703</v>
      </c>
      <c r="C1413">
        <v>0.996</v>
      </c>
      <c r="D1413" s="1">
        <v>40360</v>
      </c>
      <c r="E1413" s="9">
        <f t="shared" si="46"/>
        <v>2011</v>
      </c>
      <c r="F1413" t="str">
        <f t="shared" si="45"/>
        <v>WCPS</v>
      </c>
    </row>
    <row r="1414" spans="1:6">
      <c r="A1414" t="s">
        <v>4706</v>
      </c>
      <c r="B1414" t="s">
        <v>4707</v>
      </c>
      <c r="C1414">
        <v>1.1135999999999999</v>
      </c>
      <c r="D1414" s="1">
        <v>40360</v>
      </c>
      <c r="E1414" s="9">
        <f t="shared" si="46"/>
        <v>2011</v>
      </c>
      <c r="F1414" t="str">
        <f t="shared" si="45"/>
        <v>WCUN</v>
      </c>
    </row>
    <row r="1415" spans="1:6">
      <c r="A1415" t="s">
        <v>4708</v>
      </c>
      <c r="B1415" t="s">
        <v>4709</v>
      </c>
      <c r="C1415">
        <v>1.0343</v>
      </c>
      <c r="D1415" s="1">
        <v>40360</v>
      </c>
      <c r="E1415" s="9">
        <f t="shared" si="46"/>
        <v>2011</v>
      </c>
      <c r="F1415" t="str">
        <f t="shared" si="45"/>
        <v>WCVE</v>
      </c>
    </row>
    <row r="1416" spans="1:6">
      <c r="A1416" t="s">
        <v>4710</v>
      </c>
      <c r="B1416" t="s">
        <v>4711</v>
      </c>
      <c r="C1416">
        <v>1.0382</v>
      </c>
      <c r="D1416" s="1">
        <v>40360</v>
      </c>
      <c r="E1416" s="9">
        <f t="shared" si="46"/>
        <v>2011</v>
      </c>
      <c r="F1416" t="str">
        <f t="shared" si="45"/>
        <v>WDTN</v>
      </c>
    </row>
    <row r="1417" spans="1:6">
      <c r="A1417" t="s">
        <v>4712</v>
      </c>
      <c r="B1417" t="s">
        <v>4713</v>
      </c>
      <c r="C1417">
        <v>1.0386</v>
      </c>
      <c r="D1417" s="1">
        <v>40360</v>
      </c>
      <c r="E1417" s="9">
        <f t="shared" si="46"/>
        <v>2011</v>
      </c>
      <c r="F1417" t="str">
        <f t="shared" si="45"/>
        <v>WDUR</v>
      </c>
    </row>
    <row r="1418" spans="1:6">
      <c r="A1418" t="s">
        <v>4714</v>
      </c>
      <c r="B1418" t="s">
        <v>4715</v>
      </c>
      <c r="C1418">
        <v>1.0361</v>
      </c>
      <c r="D1418" s="1">
        <v>40360</v>
      </c>
      <c r="E1418" s="9">
        <f t="shared" si="46"/>
        <v>2011</v>
      </c>
      <c r="F1418" t="str">
        <f t="shared" si="45"/>
        <v>WEDD</v>
      </c>
    </row>
    <row r="1419" spans="1:6">
      <c r="A1419" t="s">
        <v>4716</v>
      </c>
      <c r="B1419" t="s">
        <v>4717</v>
      </c>
      <c r="C1419">
        <v>1.0401</v>
      </c>
      <c r="D1419" s="1">
        <v>40360</v>
      </c>
      <c r="E1419" s="9">
        <f t="shared" si="46"/>
        <v>2011</v>
      </c>
      <c r="F1419" t="str">
        <f t="shared" si="45"/>
        <v>WEDG</v>
      </c>
    </row>
    <row r="1420" spans="1:6">
      <c r="A1420" t="s">
        <v>4718</v>
      </c>
      <c r="B1420" t="s">
        <v>4940</v>
      </c>
      <c r="C1420">
        <v>1.0048999999999999</v>
      </c>
      <c r="D1420" s="1">
        <v>40360</v>
      </c>
      <c r="E1420" s="9">
        <f t="shared" si="46"/>
        <v>2011</v>
      </c>
      <c r="F1420" t="str">
        <f t="shared" si="45"/>
        <v>WEMD</v>
      </c>
    </row>
    <row r="1421" spans="1:6">
      <c r="A1421" t="s">
        <v>4720</v>
      </c>
      <c r="B1421" t="s">
        <v>4721</v>
      </c>
      <c r="C1421">
        <v>1.0341</v>
      </c>
      <c r="D1421" s="1">
        <v>40360</v>
      </c>
      <c r="E1421" s="9">
        <f t="shared" si="46"/>
        <v>2011</v>
      </c>
      <c r="F1421" t="str">
        <f t="shared" si="45"/>
        <v>WENB</v>
      </c>
    </row>
    <row r="1422" spans="1:6">
      <c r="A1422" t="s">
        <v>4722</v>
      </c>
      <c r="B1422" t="s">
        <v>4723</v>
      </c>
      <c r="C1422">
        <v>1.0348999999999999</v>
      </c>
      <c r="D1422" s="1">
        <v>40360</v>
      </c>
      <c r="E1422" s="9">
        <f t="shared" si="46"/>
        <v>2011</v>
      </c>
      <c r="F1422" t="str">
        <f t="shared" si="45"/>
        <v>WFFD</v>
      </c>
    </row>
    <row r="1423" spans="1:6">
      <c r="A1423" t="s">
        <v>4724</v>
      </c>
      <c r="B1423" t="s">
        <v>4725</v>
      </c>
      <c r="C1423">
        <v>1.0445</v>
      </c>
      <c r="D1423" s="1">
        <v>40360</v>
      </c>
      <c r="E1423" s="9">
        <f t="shared" si="46"/>
        <v>2011</v>
      </c>
      <c r="F1423" t="str">
        <f t="shared" si="45"/>
        <v>WFRT</v>
      </c>
    </row>
    <row r="1424" spans="1:6">
      <c r="A1424" t="s">
        <v>4726</v>
      </c>
      <c r="B1424" t="s">
        <v>4727</v>
      </c>
      <c r="C1424">
        <v>1.075</v>
      </c>
      <c r="D1424" s="1">
        <v>40360</v>
      </c>
      <c r="E1424" s="9">
        <f t="shared" si="46"/>
        <v>2011</v>
      </c>
      <c r="F1424" t="str">
        <f t="shared" si="45"/>
        <v>WGGV</v>
      </c>
    </row>
    <row r="1425" spans="1:6">
      <c r="A1425" t="s">
        <v>4728</v>
      </c>
      <c r="B1425" t="s">
        <v>4729</v>
      </c>
      <c r="C1425">
        <v>1.0299</v>
      </c>
      <c r="D1425" s="1">
        <v>40360</v>
      </c>
      <c r="E1425" s="9">
        <f t="shared" si="46"/>
        <v>2011</v>
      </c>
      <c r="F1425" t="str">
        <f t="shared" si="45"/>
        <v>WGNI</v>
      </c>
    </row>
    <row r="1426" spans="1:6">
      <c r="A1426" t="s">
        <v>4730</v>
      </c>
      <c r="B1426" t="s">
        <v>4731</v>
      </c>
      <c r="C1426">
        <v>1.0369999999999999</v>
      </c>
      <c r="D1426" s="1">
        <v>40360</v>
      </c>
      <c r="E1426" s="9">
        <f t="shared" si="46"/>
        <v>2011</v>
      </c>
      <c r="F1426" t="str">
        <f t="shared" si="45"/>
        <v>WGNL</v>
      </c>
    </row>
    <row r="1427" spans="1:6">
      <c r="A1427" t="s">
        <v>4732</v>
      </c>
      <c r="B1427" t="s">
        <v>4955</v>
      </c>
      <c r="C1427">
        <v>1.0246999999999999</v>
      </c>
      <c r="D1427" s="1">
        <v>40360</v>
      </c>
      <c r="E1427" s="9">
        <f t="shared" si="46"/>
        <v>2011</v>
      </c>
      <c r="F1427" t="str">
        <f t="shared" si="45"/>
        <v>WGNN</v>
      </c>
    </row>
    <row r="1428" spans="1:6">
      <c r="A1428" t="s">
        <v>4734</v>
      </c>
      <c r="B1428" t="s">
        <v>4735</v>
      </c>
      <c r="C1428">
        <v>1.0386</v>
      </c>
      <c r="D1428" s="1">
        <v>40360</v>
      </c>
      <c r="E1428" s="9">
        <f t="shared" si="46"/>
        <v>2011</v>
      </c>
      <c r="F1428" t="str">
        <f t="shared" si="45"/>
        <v>WGTN</v>
      </c>
    </row>
    <row r="1429" spans="1:6">
      <c r="A1429" t="s">
        <v>4736</v>
      </c>
      <c r="B1429" t="s">
        <v>4737</v>
      </c>
      <c r="C1429">
        <v>1.0423</v>
      </c>
      <c r="D1429" s="1">
        <v>40360</v>
      </c>
      <c r="E1429" s="9">
        <f t="shared" si="46"/>
        <v>2011</v>
      </c>
      <c r="F1429" t="str">
        <f t="shared" si="45"/>
        <v>WHAY</v>
      </c>
    </row>
    <row r="1430" spans="1:6">
      <c r="A1430" t="s">
        <v>4738</v>
      </c>
      <c r="B1430" t="s">
        <v>4739</v>
      </c>
      <c r="C1430">
        <v>1.0370999999999999</v>
      </c>
      <c r="D1430" s="1">
        <v>40360</v>
      </c>
      <c r="E1430" s="9">
        <f t="shared" si="46"/>
        <v>2011</v>
      </c>
      <c r="F1430" t="str">
        <f t="shared" si="45"/>
        <v>WHBK</v>
      </c>
    </row>
    <row r="1431" spans="1:6">
      <c r="A1431" t="s">
        <v>4740</v>
      </c>
      <c r="B1431" t="s">
        <v>4741</v>
      </c>
      <c r="C1431">
        <v>1.0553999999999999</v>
      </c>
      <c r="D1431" s="1">
        <v>40360</v>
      </c>
      <c r="E1431" s="9">
        <f t="shared" si="46"/>
        <v>2011</v>
      </c>
      <c r="F1431" t="str">
        <f t="shared" si="45"/>
        <v>WHEP</v>
      </c>
    </row>
    <row r="1432" spans="1:6">
      <c r="A1432" t="s">
        <v>4742</v>
      </c>
      <c r="B1432" t="s">
        <v>4743</v>
      </c>
      <c r="C1432">
        <v>1.0381</v>
      </c>
      <c r="D1432" s="1">
        <v>40360</v>
      </c>
      <c r="E1432" s="9">
        <f t="shared" si="46"/>
        <v>2011</v>
      </c>
      <c r="F1432" t="str">
        <f t="shared" si="45"/>
        <v>WHFS</v>
      </c>
    </row>
    <row r="1433" spans="1:6">
      <c r="A1433" t="s">
        <v>4744</v>
      </c>
      <c r="B1433" t="s">
        <v>4941</v>
      </c>
      <c r="C1433">
        <v>1.0246999999999999</v>
      </c>
      <c r="D1433" s="1">
        <v>40360</v>
      </c>
      <c r="E1433" s="9">
        <f t="shared" si="46"/>
        <v>2011</v>
      </c>
      <c r="F1433" t="str">
        <f t="shared" si="45"/>
        <v>WHIS</v>
      </c>
    </row>
    <row r="1434" spans="1:6">
      <c r="A1434" t="s">
        <v>4750</v>
      </c>
      <c r="B1434" t="s">
        <v>4751</v>
      </c>
      <c r="C1434">
        <v>1.0438000000000001</v>
      </c>
      <c r="D1434" s="1">
        <v>40360</v>
      </c>
      <c r="E1434" s="9">
        <f t="shared" si="46"/>
        <v>2011</v>
      </c>
      <c r="F1434" t="str">
        <f t="shared" si="45"/>
        <v>WJTE</v>
      </c>
    </row>
    <row r="1435" spans="1:6">
      <c r="A1435" t="s">
        <v>4752</v>
      </c>
      <c r="B1435" t="s">
        <v>4753</v>
      </c>
      <c r="C1435">
        <v>1.0443</v>
      </c>
      <c r="D1435" s="1">
        <v>40360</v>
      </c>
      <c r="E1435" s="9">
        <f t="shared" si="46"/>
        <v>2011</v>
      </c>
      <c r="F1435" t="str">
        <f t="shared" si="45"/>
        <v>WKAT</v>
      </c>
    </row>
    <row r="1436" spans="1:6">
      <c r="A1436" t="s">
        <v>4754</v>
      </c>
      <c r="B1436" t="s">
        <v>4450</v>
      </c>
      <c r="C1436">
        <v>1.0373000000000001</v>
      </c>
      <c r="D1436" s="1">
        <v>40360</v>
      </c>
      <c r="E1436" s="9">
        <f t="shared" si="46"/>
        <v>2011</v>
      </c>
      <c r="F1436" t="str">
        <f t="shared" si="45"/>
        <v>WKDA</v>
      </c>
    </row>
    <row r="1437" spans="1:6">
      <c r="A1437" t="s">
        <v>4755</v>
      </c>
      <c r="B1437" t="s">
        <v>4756</v>
      </c>
      <c r="C1437">
        <v>1.0338000000000001</v>
      </c>
      <c r="D1437" s="1">
        <v>40360</v>
      </c>
      <c r="E1437" s="9">
        <f t="shared" si="46"/>
        <v>2011</v>
      </c>
      <c r="F1437" t="str">
        <f t="shared" si="45"/>
        <v>WKDL</v>
      </c>
    </row>
    <row r="1438" spans="1:6">
      <c r="A1438" t="s">
        <v>4757</v>
      </c>
      <c r="B1438" t="s">
        <v>4758</v>
      </c>
      <c r="C1438">
        <v>1.0892999999999999</v>
      </c>
      <c r="D1438" s="1">
        <v>40360</v>
      </c>
      <c r="E1438" s="9">
        <f t="shared" si="46"/>
        <v>2011</v>
      </c>
      <c r="F1438" t="str">
        <f t="shared" si="45"/>
        <v>WKDN</v>
      </c>
    </row>
    <row r="1439" spans="1:6">
      <c r="A1439" t="s">
        <v>4759</v>
      </c>
      <c r="B1439" t="s">
        <v>4760</v>
      </c>
      <c r="C1439">
        <v>1.0247999999999999</v>
      </c>
      <c r="D1439" s="1">
        <v>40360</v>
      </c>
      <c r="E1439" s="9">
        <f t="shared" si="46"/>
        <v>2011</v>
      </c>
      <c r="F1439" t="str">
        <f t="shared" si="45"/>
        <v>WKDP</v>
      </c>
    </row>
    <row r="1440" spans="1:6">
      <c r="A1440" t="s">
        <v>4761</v>
      </c>
      <c r="B1440" t="s">
        <v>4762</v>
      </c>
      <c r="C1440">
        <v>1.1322000000000001</v>
      </c>
      <c r="D1440" s="1">
        <v>40360</v>
      </c>
      <c r="E1440" s="9">
        <f t="shared" si="46"/>
        <v>2011</v>
      </c>
      <c r="F1440" t="str">
        <f t="shared" si="45"/>
        <v>WKEL</v>
      </c>
    </row>
    <row r="1441" spans="1:6">
      <c r="A1441" t="s">
        <v>4763</v>
      </c>
      <c r="B1441" t="s">
        <v>4764</v>
      </c>
      <c r="C1441">
        <v>1.0077</v>
      </c>
      <c r="D1441" s="1">
        <v>40360</v>
      </c>
      <c r="E1441" s="9">
        <f t="shared" si="46"/>
        <v>2011</v>
      </c>
      <c r="F1441" t="str">
        <f t="shared" si="45"/>
        <v>WKEM</v>
      </c>
    </row>
    <row r="1442" spans="1:6">
      <c r="A1442" t="s">
        <v>4765</v>
      </c>
      <c r="B1442" t="s">
        <v>4766</v>
      </c>
      <c r="C1442">
        <v>1.0306</v>
      </c>
      <c r="D1442" s="1">
        <v>40360</v>
      </c>
      <c r="E1442" s="9">
        <f t="shared" si="46"/>
        <v>2011</v>
      </c>
      <c r="F1442" t="str">
        <f t="shared" si="45"/>
        <v>WKMC</v>
      </c>
    </row>
    <row r="1443" spans="1:6">
      <c r="A1443" t="s">
        <v>4767</v>
      </c>
      <c r="B1443" t="s">
        <v>4942</v>
      </c>
      <c r="C1443">
        <v>1.0245</v>
      </c>
      <c r="D1443" s="1">
        <v>40360</v>
      </c>
      <c r="E1443" s="9">
        <f t="shared" si="46"/>
        <v>2011</v>
      </c>
      <c r="F1443" t="str">
        <f t="shared" si="45"/>
        <v>WKMK</v>
      </c>
    </row>
    <row r="1444" spans="1:6">
      <c r="A1444" t="s">
        <v>4769</v>
      </c>
      <c r="B1444" t="s">
        <v>4770</v>
      </c>
      <c r="C1444">
        <v>1.0327999999999999</v>
      </c>
      <c r="D1444" s="1">
        <v>40360</v>
      </c>
      <c r="E1444" s="9">
        <f t="shared" si="46"/>
        <v>2011</v>
      </c>
      <c r="F1444" t="str">
        <f t="shared" si="45"/>
        <v>WKMM</v>
      </c>
    </row>
    <row r="1445" spans="1:6">
      <c r="A1445" t="s">
        <v>4773</v>
      </c>
      <c r="B1445" t="s">
        <v>4774</v>
      </c>
      <c r="C1445">
        <v>1.0250999999999999</v>
      </c>
      <c r="D1445" s="1">
        <v>40360</v>
      </c>
      <c r="E1445" s="9">
        <f t="shared" si="46"/>
        <v>2011</v>
      </c>
      <c r="F1445" t="str">
        <f t="shared" si="45"/>
        <v>WKOJ</v>
      </c>
    </row>
    <row r="1446" spans="1:6">
      <c r="A1446" t="s">
        <v>4775</v>
      </c>
      <c r="B1446" t="s">
        <v>4776</v>
      </c>
      <c r="C1446">
        <v>1.0143</v>
      </c>
      <c r="D1446" s="1">
        <v>40360</v>
      </c>
      <c r="E1446" s="9">
        <f t="shared" si="46"/>
        <v>2011</v>
      </c>
      <c r="F1446" t="str">
        <f t="shared" si="45"/>
        <v>WKPS</v>
      </c>
    </row>
    <row r="1447" spans="1:6">
      <c r="A1447" t="s">
        <v>4777</v>
      </c>
      <c r="B1447" t="s">
        <v>4778</v>
      </c>
      <c r="C1447">
        <v>1.0375000000000001</v>
      </c>
      <c r="D1447" s="1">
        <v>40360</v>
      </c>
      <c r="E1447" s="9">
        <f t="shared" si="46"/>
        <v>2011</v>
      </c>
      <c r="F1447" t="str">
        <f t="shared" si="45"/>
        <v>WLDE</v>
      </c>
    </row>
    <row r="1448" spans="1:6">
      <c r="A1448" t="s">
        <v>4779</v>
      </c>
      <c r="B1448" t="s">
        <v>4780</v>
      </c>
      <c r="C1448">
        <v>1.0385</v>
      </c>
      <c r="D1448" s="1">
        <v>40360</v>
      </c>
      <c r="E1448" s="9">
        <f t="shared" si="46"/>
        <v>2011</v>
      </c>
      <c r="F1448" t="str">
        <f t="shared" si="45"/>
        <v>WMAG</v>
      </c>
    </row>
    <row r="1449" spans="1:6">
      <c r="A1449" t="s">
        <v>4781</v>
      </c>
      <c r="B1449" t="s">
        <v>4782</v>
      </c>
      <c r="C1449">
        <v>1.0452999999999999</v>
      </c>
      <c r="D1449" s="1">
        <v>40360</v>
      </c>
      <c r="E1449" s="9">
        <f t="shared" si="46"/>
        <v>2011</v>
      </c>
      <c r="F1449" t="str">
        <f t="shared" si="45"/>
        <v>WMBR</v>
      </c>
    </row>
    <row r="1450" spans="1:6">
      <c r="A1450" t="s">
        <v>4783</v>
      </c>
      <c r="B1450" t="s">
        <v>4784</v>
      </c>
      <c r="C1450">
        <v>1.0481</v>
      </c>
      <c r="D1450" s="1">
        <v>40360</v>
      </c>
      <c r="E1450" s="9">
        <f t="shared" si="46"/>
        <v>2011</v>
      </c>
      <c r="F1450" t="str">
        <f t="shared" si="45"/>
        <v>WMCR</v>
      </c>
    </row>
    <row r="1451" spans="1:6">
      <c r="A1451" t="s">
        <v>4789</v>
      </c>
      <c r="B1451" t="s">
        <v>4790</v>
      </c>
      <c r="C1451">
        <v>1.0359</v>
      </c>
      <c r="D1451" s="1">
        <v>40360</v>
      </c>
      <c r="E1451" s="9">
        <f t="shared" si="46"/>
        <v>2011</v>
      </c>
      <c r="F1451" t="str">
        <f t="shared" si="45"/>
        <v>WMED</v>
      </c>
    </row>
    <row r="1452" spans="1:6">
      <c r="A1452" t="s">
        <v>4791</v>
      </c>
      <c r="B1452" t="s">
        <v>4792</v>
      </c>
      <c r="C1452">
        <v>1.1295999999999999</v>
      </c>
      <c r="D1452" s="1">
        <v>40360</v>
      </c>
      <c r="E1452" s="9">
        <f t="shared" si="46"/>
        <v>2011</v>
      </c>
      <c r="F1452" t="str">
        <f t="shared" si="45"/>
        <v>WMER</v>
      </c>
    </row>
    <row r="1453" spans="1:6">
      <c r="A1453" t="s">
        <v>4793</v>
      </c>
      <c r="B1453" t="s">
        <v>4794</v>
      </c>
      <c r="C1453">
        <v>1.0169999999999999</v>
      </c>
      <c r="D1453" s="1">
        <v>40360</v>
      </c>
      <c r="E1453" s="9">
        <f t="shared" si="46"/>
        <v>2011</v>
      </c>
      <c r="F1453" t="str">
        <f t="shared" si="45"/>
        <v>WMGA</v>
      </c>
    </row>
    <row r="1454" spans="1:6">
      <c r="A1454" t="s">
        <v>4795</v>
      </c>
      <c r="B1454" t="s">
        <v>4796</v>
      </c>
      <c r="C1454">
        <v>1.0311999999999999</v>
      </c>
      <c r="D1454" s="1">
        <v>40360</v>
      </c>
      <c r="E1454" s="9">
        <f t="shared" si="46"/>
        <v>2011</v>
      </c>
      <c r="F1454" t="str">
        <f t="shared" si="45"/>
        <v>WMHA</v>
      </c>
    </row>
    <row r="1455" spans="1:6">
      <c r="A1455" t="s">
        <v>4797</v>
      </c>
      <c r="B1455" t="s">
        <v>4798</v>
      </c>
      <c r="C1455">
        <v>1.0388999999999999</v>
      </c>
      <c r="D1455" s="1">
        <v>40360</v>
      </c>
      <c r="E1455" s="9">
        <f t="shared" si="46"/>
        <v>2011</v>
      </c>
      <c r="F1455" t="str">
        <f t="shared" si="45"/>
        <v>WMIL</v>
      </c>
    </row>
    <row r="1456" spans="1:6">
      <c r="A1456" t="s">
        <v>4799</v>
      </c>
      <c r="B1456" t="s">
        <v>4800</v>
      </c>
      <c r="C1456">
        <v>1.0258</v>
      </c>
      <c r="D1456" s="1">
        <v>40360</v>
      </c>
      <c r="E1456" s="9">
        <f t="shared" si="46"/>
        <v>2011</v>
      </c>
      <c r="F1456" t="str">
        <f t="shared" ref="F1456:F1519" si="47">A1456</f>
        <v>WMJP</v>
      </c>
    </row>
    <row r="1457" spans="1:6">
      <c r="A1457" t="s">
        <v>4801</v>
      </c>
      <c r="B1457" t="s">
        <v>4802</v>
      </c>
      <c r="C1457">
        <v>1.0322</v>
      </c>
      <c r="D1457" s="1">
        <v>40360</v>
      </c>
      <c r="E1457" s="9">
        <f t="shared" si="46"/>
        <v>2011</v>
      </c>
      <c r="F1457" t="str">
        <f t="shared" si="47"/>
        <v>WMJX</v>
      </c>
    </row>
    <row r="1458" spans="1:6">
      <c r="A1458" t="s">
        <v>4803</v>
      </c>
      <c r="B1458" t="s">
        <v>4804</v>
      </c>
      <c r="C1458">
        <v>1.0347</v>
      </c>
      <c r="D1458" s="1">
        <v>40360</v>
      </c>
      <c r="E1458" s="9">
        <f t="shared" si="46"/>
        <v>2011</v>
      </c>
      <c r="F1458" t="str">
        <f t="shared" si="47"/>
        <v>WMLG</v>
      </c>
    </row>
    <row r="1459" spans="1:6">
      <c r="A1459" t="s">
        <v>4805</v>
      </c>
      <c r="B1459" t="s">
        <v>4806</v>
      </c>
      <c r="C1459">
        <v>1.0487</v>
      </c>
      <c r="D1459" s="1">
        <v>40360</v>
      </c>
      <c r="E1459" s="9">
        <f t="shared" si="46"/>
        <v>2011</v>
      </c>
      <c r="F1459" t="str">
        <f t="shared" si="47"/>
        <v>WMOR</v>
      </c>
    </row>
    <row r="1460" spans="1:6">
      <c r="A1460" t="s">
        <v>4807</v>
      </c>
      <c r="B1460" t="s">
        <v>4808</v>
      </c>
      <c r="C1460">
        <v>1.0387</v>
      </c>
      <c r="D1460" s="1">
        <v>40360</v>
      </c>
      <c r="E1460" s="9">
        <f t="shared" si="46"/>
        <v>2011</v>
      </c>
      <c r="F1460" t="str">
        <f t="shared" si="47"/>
        <v>WMOY</v>
      </c>
    </row>
    <row r="1461" spans="1:6">
      <c r="A1461" t="s">
        <v>4809</v>
      </c>
      <c r="B1461" t="s">
        <v>4810</v>
      </c>
      <c r="C1461">
        <v>1</v>
      </c>
      <c r="D1461" s="1">
        <v>40360</v>
      </c>
      <c r="E1461" s="9">
        <f t="shared" si="46"/>
        <v>2011</v>
      </c>
      <c r="F1461" t="str">
        <f t="shared" si="47"/>
        <v>WMPS</v>
      </c>
    </row>
    <row r="1462" spans="1:6">
      <c r="A1462" t="s">
        <v>4811</v>
      </c>
      <c r="B1462" t="s">
        <v>4812</v>
      </c>
      <c r="C1462">
        <v>1.0149999999999999</v>
      </c>
      <c r="D1462" s="1">
        <v>40360</v>
      </c>
      <c r="E1462" s="9">
        <f t="shared" si="46"/>
        <v>2011</v>
      </c>
      <c r="F1462" t="str">
        <f t="shared" si="47"/>
        <v>WMRR</v>
      </c>
    </row>
    <row r="1463" spans="1:6">
      <c r="A1463" t="s">
        <v>4813</v>
      </c>
      <c r="B1463" t="s">
        <v>4814</v>
      </c>
      <c r="C1463">
        <v>1.0688</v>
      </c>
      <c r="D1463" s="1">
        <v>40360</v>
      </c>
      <c r="E1463" s="9">
        <f t="shared" si="46"/>
        <v>2011</v>
      </c>
      <c r="F1463" t="str">
        <f t="shared" si="47"/>
        <v>WMRV</v>
      </c>
    </row>
    <row r="1464" spans="1:6">
      <c r="A1464" t="s">
        <v>4815</v>
      </c>
      <c r="B1464" t="s">
        <v>4816</v>
      </c>
      <c r="C1464">
        <v>1.0256000000000001</v>
      </c>
      <c r="D1464" s="1">
        <v>40360</v>
      </c>
      <c r="E1464" s="9">
        <f t="shared" si="46"/>
        <v>2011</v>
      </c>
      <c r="F1464" t="str">
        <f t="shared" si="47"/>
        <v>WMSR</v>
      </c>
    </row>
    <row r="1465" spans="1:6">
      <c r="A1465" t="s">
        <v>4817</v>
      </c>
      <c r="B1465" t="s">
        <v>4818</v>
      </c>
      <c r="C1465">
        <v>1.0311999999999999</v>
      </c>
      <c r="D1465" s="1">
        <v>40360</v>
      </c>
      <c r="E1465" s="9">
        <f t="shared" si="46"/>
        <v>2011</v>
      </c>
      <c r="F1465" t="str">
        <f t="shared" si="47"/>
        <v>WMSS</v>
      </c>
    </row>
    <row r="1466" spans="1:6">
      <c r="A1466" t="s">
        <v>4819</v>
      </c>
      <c r="B1466" t="s">
        <v>4820</v>
      </c>
      <c r="C1466">
        <v>1.0346</v>
      </c>
      <c r="D1466" s="1">
        <v>40360</v>
      </c>
      <c r="E1466" s="9">
        <f t="shared" si="46"/>
        <v>2011</v>
      </c>
      <c r="F1466" t="str">
        <f t="shared" si="47"/>
        <v>WMUC</v>
      </c>
    </row>
    <row r="1467" spans="1:6">
      <c r="A1467" t="s">
        <v>4821</v>
      </c>
      <c r="B1467" t="s">
        <v>4822</v>
      </c>
      <c r="C1467">
        <v>1.0376000000000001</v>
      </c>
      <c r="D1467" s="1">
        <v>40360</v>
      </c>
      <c r="E1467" s="9">
        <f t="shared" si="46"/>
        <v>2011</v>
      </c>
      <c r="F1467" t="str">
        <f t="shared" si="47"/>
        <v>WMUL</v>
      </c>
    </row>
    <row r="1468" spans="1:6">
      <c r="A1468" t="s">
        <v>4823</v>
      </c>
      <c r="B1468" t="s">
        <v>4824</v>
      </c>
      <c r="C1468">
        <v>1.0289999999999999</v>
      </c>
      <c r="D1468" s="1">
        <v>40360</v>
      </c>
      <c r="E1468" s="9">
        <f t="shared" si="46"/>
        <v>2011</v>
      </c>
      <c r="F1468" t="str">
        <f t="shared" si="47"/>
        <v>WMUR</v>
      </c>
    </row>
    <row r="1469" spans="1:6">
      <c r="A1469" t="s">
        <v>4825</v>
      </c>
      <c r="B1469" t="s">
        <v>4826</v>
      </c>
      <c r="C1469">
        <v>1.0682</v>
      </c>
      <c r="D1469" s="1">
        <v>40360</v>
      </c>
      <c r="E1469" s="9">
        <f t="shared" si="46"/>
        <v>2011</v>
      </c>
      <c r="F1469" t="str">
        <f t="shared" si="47"/>
        <v>WMWR</v>
      </c>
    </row>
    <row r="1470" spans="1:6">
      <c r="A1470" t="s">
        <v>4827</v>
      </c>
      <c r="B1470" t="s">
        <v>4828</v>
      </c>
      <c r="C1470">
        <v>1.0423</v>
      </c>
      <c r="D1470" s="1">
        <v>40360</v>
      </c>
      <c r="E1470" s="9">
        <f t="shared" si="46"/>
        <v>2011</v>
      </c>
      <c r="F1470" t="str">
        <f t="shared" si="47"/>
        <v>WMYR</v>
      </c>
    </row>
    <row r="1471" spans="1:6">
      <c r="A1471" t="s">
        <v>4829</v>
      </c>
      <c r="B1471" t="s">
        <v>4830</v>
      </c>
      <c r="C1471">
        <v>1.0388999999999999</v>
      </c>
      <c r="D1471" s="1">
        <v>40360</v>
      </c>
      <c r="E1471" s="9">
        <f t="shared" si="46"/>
        <v>2011</v>
      </c>
      <c r="F1471" t="str">
        <f t="shared" si="47"/>
        <v>WNBH</v>
      </c>
    </row>
    <row r="1472" spans="1:6">
      <c r="A1472" t="s">
        <v>4831</v>
      </c>
      <c r="B1472" t="s">
        <v>4832</v>
      </c>
      <c r="C1472">
        <v>1.0492999999999999</v>
      </c>
      <c r="D1472" s="1">
        <v>40360</v>
      </c>
      <c r="E1472" s="9">
        <f t="shared" si="46"/>
        <v>2011</v>
      </c>
      <c r="F1472" t="str">
        <f t="shared" si="47"/>
        <v>WNED</v>
      </c>
    </row>
    <row r="1473" spans="1:6">
      <c r="A1473" t="s">
        <v>4833</v>
      </c>
      <c r="B1473" t="s">
        <v>4834</v>
      </c>
      <c r="C1473">
        <v>1.0354000000000001</v>
      </c>
      <c r="D1473" s="1">
        <v>40360</v>
      </c>
      <c r="E1473" s="9">
        <f t="shared" si="46"/>
        <v>2011</v>
      </c>
      <c r="F1473" t="str">
        <f t="shared" si="47"/>
        <v>WNFL</v>
      </c>
    </row>
    <row r="1474" spans="1:6">
      <c r="A1474" t="s">
        <v>4835</v>
      </c>
      <c r="B1474" t="s">
        <v>4956</v>
      </c>
      <c r="C1474">
        <v>1.0229999999999999</v>
      </c>
      <c r="D1474" s="1">
        <v>40360</v>
      </c>
      <c r="E1474" s="9">
        <f t="shared" si="46"/>
        <v>2011</v>
      </c>
      <c r="F1474" t="str">
        <f t="shared" si="47"/>
        <v>WNGK</v>
      </c>
    </row>
    <row r="1475" spans="1:6">
      <c r="A1475" t="s">
        <v>4836</v>
      </c>
      <c r="B1475" t="s">
        <v>4837</v>
      </c>
      <c r="C1475">
        <v>1.0626</v>
      </c>
      <c r="D1475" s="1">
        <v>40360</v>
      </c>
      <c r="E1475" s="9">
        <f t="shared" ref="E1475:E1520" si="48">YEAR(D1475)+1</f>
        <v>2011</v>
      </c>
      <c r="F1475" t="str">
        <f t="shared" si="47"/>
        <v>WNGN</v>
      </c>
    </row>
    <row r="1476" spans="1:6">
      <c r="A1476" t="s">
        <v>4838</v>
      </c>
      <c r="B1476" t="s">
        <v>4839</v>
      </c>
      <c r="C1476">
        <v>1.071</v>
      </c>
      <c r="D1476" s="1">
        <v>40360</v>
      </c>
      <c r="E1476" s="9">
        <f t="shared" si="48"/>
        <v>2011</v>
      </c>
      <c r="F1476" t="str">
        <f t="shared" si="47"/>
        <v>WNOR</v>
      </c>
    </row>
    <row r="1477" spans="1:6">
      <c r="A1477" t="s">
        <v>4842</v>
      </c>
      <c r="B1477" t="s">
        <v>4843</v>
      </c>
      <c r="C1477">
        <v>1.0418000000000001</v>
      </c>
      <c r="D1477" s="1">
        <v>40360</v>
      </c>
      <c r="E1477" s="9">
        <f t="shared" si="48"/>
        <v>2011</v>
      </c>
      <c r="F1477" t="str">
        <f t="shared" si="47"/>
        <v>WNPH</v>
      </c>
    </row>
    <row r="1478" spans="1:6">
      <c r="A1478" t="s">
        <v>4844</v>
      </c>
      <c r="B1478" t="s">
        <v>4845</v>
      </c>
      <c r="C1478">
        <v>1.04</v>
      </c>
      <c r="D1478" s="1">
        <v>40360</v>
      </c>
      <c r="E1478" s="9">
        <f t="shared" si="48"/>
        <v>2011</v>
      </c>
      <c r="F1478" t="str">
        <f t="shared" si="47"/>
        <v>WOCN</v>
      </c>
    </row>
    <row r="1479" spans="1:6">
      <c r="A1479" t="s">
        <v>4846</v>
      </c>
      <c r="B1479" t="s">
        <v>4847</v>
      </c>
      <c r="C1479">
        <v>1.0391999999999999</v>
      </c>
      <c r="D1479" s="1">
        <v>40360</v>
      </c>
      <c r="E1479" s="9">
        <f t="shared" si="48"/>
        <v>2011</v>
      </c>
      <c r="F1479" t="str">
        <f t="shared" si="47"/>
        <v>WOPK</v>
      </c>
    </row>
    <row r="1480" spans="1:6">
      <c r="A1480" t="s">
        <v>4848</v>
      </c>
      <c r="B1480" t="s">
        <v>4849</v>
      </c>
      <c r="C1480">
        <v>1.0391999999999999</v>
      </c>
      <c r="D1480" s="1">
        <v>40360</v>
      </c>
      <c r="E1480" s="9">
        <f t="shared" si="48"/>
        <v>2011</v>
      </c>
      <c r="F1480" t="str">
        <f t="shared" si="47"/>
        <v>WPBY</v>
      </c>
    </row>
    <row r="1481" spans="1:6">
      <c r="A1481" t="s">
        <v>4850</v>
      </c>
      <c r="B1481" t="s">
        <v>4851</v>
      </c>
      <c r="C1481">
        <v>1.2072000000000001</v>
      </c>
      <c r="D1481" s="1">
        <v>40360</v>
      </c>
      <c r="E1481" s="9">
        <f t="shared" si="48"/>
        <v>2011</v>
      </c>
      <c r="F1481" t="str">
        <f t="shared" si="47"/>
        <v>WPCY</v>
      </c>
    </row>
    <row r="1482" spans="1:6">
      <c r="A1482" t="s">
        <v>4852</v>
      </c>
      <c r="B1482" t="s">
        <v>4853</v>
      </c>
      <c r="C1482">
        <v>1.0204</v>
      </c>
      <c r="D1482" s="1">
        <v>40360</v>
      </c>
      <c r="E1482" s="9">
        <f t="shared" si="48"/>
        <v>2011</v>
      </c>
      <c r="F1482" t="str">
        <f t="shared" si="47"/>
        <v>WPIC</v>
      </c>
    </row>
    <row r="1483" spans="1:6">
      <c r="A1483" t="s">
        <v>4854</v>
      </c>
      <c r="B1483" t="s">
        <v>4855</v>
      </c>
      <c r="C1483">
        <v>1.0293000000000001</v>
      </c>
      <c r="D1483" s="1">
        <v>40360</v>
      </c>
      <c r="E1483" s="9">
        <f t="shared" si="48"/>
        <v>2011</v>
      </c>
      <c r="F1483" t="str">
        <f t="shared" si="47"/>
        <v>WPJR</v>
      </c>
    </row>
    <row r="1484" spans="1:6">
      <c r="A1484" t="s">
        <v>4856</v>
      </c>
      <c r="B1484" t="s">
        <v>4857</v>
      </c>
      <c r="C1484">
        <v>1.2123999999999999</v>
      </c>
      <c r="D1484" s="1">
        <v>40360</v>
      </c>
      <c r="E1484" s="9">
        <f t="shared" si="48"/>
        <v>2011</v>
      </c>
      <c r="F1484" t="str">
        <f t="shared" si="47"/>
        <v>WPKS</v>
      </c>
    </row>
    <row r="1485" spans="1:6">
      <c r="A1485" t="s">
        <v>4858</v>
      </c>
      <c r="B1485" t="s">
        <v>4859</v>
      </c>
      <c r="C1485">
        <v>1.0311999999999999</v>
      </c>
      <c r="D1485" s="1">
        <v>40360</v>
      </c>
      <c r="E1485" s="9">
        <f t="shared" si="48"/>
        <v>2011</v>
      </c>
      <c r="F1485" t="str">
        <f t="shared" si="47"/>
        <v>WPLD</v>
      </c>
    </row>
    <row r="1486" spans="1:6">
      <c r="A1486" t="s">
        <v>4860</v>
      </c>
      <c r="B1486" t="s">
        <v>4861</v>
      </c>
      <c r="C1486">
        <v>1.016</v>
      </c>
      <c r="D1486" s="1">
        <v>40360</v>
      </c>
      <c r="E1486" s="9">
        <f t="shared" si="48"/>
        <v>2011</v>
      </c>
      <c r="F1486" t="str">
        <f t="shared" si="47"/>
        <v>WPNJ</v>
      </c>
    </row>
    <row r="1487" spans="1:6">
      <c r="A1487" t="s">
        <v>4862</v>
      </c>
      <c r="B1487" t="s">
        <v>4863</v>
      </c>
      <c r="C1487">
        <v>1.044</v>
      </c>
      <c r="D1487" s="1">
        <v>40360</v>
      </c>
      <c r="E1487" s="9">
        <f t="shared" si="48"/>
        <v>2011</v>
      </c>
      <c r="F1487" t="str">
        <f t="shared" si="47"/>
        <v>WRAN</v>
      </c>
    </row>
    <row r="1488" spans="1:6">
      <c r="A1488" t="s">
        <v>4948</v>
      </c>
      <c r="B1488" t="s">
        <v>4949</v>
      </c>
      <c r="C1488">
        <v>0.99960000000000004</v>
      </c>
      <c r="D1488" s="1">
        <v>40360</v>
      </c>
      <c r="E1488" s="9">
        <f t="shared" si="48"/>
        <v>2011</v>
      </c>
      <c r="F1488" t="str">
        <f t="shared" si="47"/>
        <v>WRBD</v>
      </c>
    </row>
    <row r="1489" spans="1:6">
      <c r="A1489" t="s">
        <v>4864</v>
      </c>
      <c r="B1489" t="s">
        <v>4865</v>
      </c>
      <c r="C1489">
        <v>1.0326</v>
      </c>
      <c r="D1489" s="1">
        <v>40360</v>
      </c>
      <c r="E1489" s="9">
        <f t="shared" si="48"/>
        <v>2011</v>
      </c>
      <c r="F1489" t="str">
        <f t="shared" si="47"/>
        <v>WRGN</v>
      </c>
    </row>
    <row r="1490" spans="1:6">
      <c r="A1490" t="s">
        <v>4866</v>
      </c>
      <c r="B1490" t="s">
        <v>4513</v>
      </c>
      <c r="C1490">
        <v>1.0346</v>
      </c>
      <c r="D1490" s="1">
        <v>40360</v>
      </c>
      <c r="E1490" s="9">
        <f t="shared" si="48"/>
        <v>2011</v>
      </c>
      <c r="F1490" t="str">
        <f t="shared" si="47"/>
        <v>WROH</v>
      </c>
    </row>
    <row r="1491" spans="1:6">
      <c r="A1491" t="s">
        <v>4867</v>
      </c>
      <c r="B1491" t="s">
        <v>4868</v>
      </c>
      <c r="C1491">
        <v>1.0305</v>
      </c>
      <c r="D1491" s="1">
        <v>40360</v>
      </c>
      <c r="E1491" s="9">
        <f t="shared" si="48"/>
        <v>2011</v>
      </c>
      <c r="F1491" t="str">
        <f t="shared" si="47"/>
        <v>WRTN</v>
      </c>
    </row>
    <row r="1492" spans="1:6">
      <c r="A1492" t="s">
        <v>4869</v>
      </c>
      <c r="B1492" t="s">
        <v>4870</v>
      </c>
      <c r="C1492">
        <v>1.0362</v>
      </c>
      <c r="D1492" s="1">
        <v>40360</v>
      </c>
      <c r="E1492" s="9">
        <f t="shared" si="48"/>
        <v>2011</v>
      </c>
      <c r="F1492" t="str">
        <f t="shared" si="47"/>
        <v>WRVE</v>
      </c>
    </row>
    <row r="1493" spans="1:6">
      <c r="A1493" t="s">
        <v>4873</v>
      </c>
      <c r="B1493" t="s">
        <v>4874</v>
      </c>
      <c r="C1493">
        <v>1.038</v>
      </c>
      <c r="D1493" s="1">
        <v>40360</v>
      </c>
      <c r="E1493" s="9">
        <f t="shared" si="48"/>
        <v>2011</v>
      </c>
      <c r="F1493" t="str">
        <f t="shared" si="47"/>
        <v>WSNR</v>
      </c>
    </row>
    <row r="1494" spans="1:6">
      <c r="A1494" t="s">
        <v>4871</v>
      </c>
      <c r="B1494" t="s">
        <v>4872</v>
      </c>
      <c r="C1494">
        <v>1.0246</v>
      </c>
      <c r="D1494" s="1">
        <v>40360</v>
      </c>
      <c r="E1494" s="9">
        <f t="shared" si="48"/>
        <v>2011</v>
      </c>
      <c r="F1494" t="str">
        <f t="shared" si="47"/>
        <v>WSFT</v>
      </c>
    </row>
    <row r="1495" spans="1:6">
      <c r="A1495" t="s">
        <v>4875</v>
      </c>
      <c r="B1495" t="s">
        <v>4876</v>
      </c>
      <c r="C1495">
        <v>1.0474000000000001</v>
      </c>
      <c r="D1495" s="1">
        <v>40360</v>
      </c>
      <c r="E1495" s="9">
        <f t="shared" si="48"/>
        <v>2011</v>
      </c>
      <c r="F1495" t="str">
        <f t="shared" si="47"/>
        <v>WSPA</v>
      </c>
    </row>
    <row r="1496" spans="1:6">
      <c r="A1496" t="s">
        <v>4879</v>
      </c>
      <c r="B1496" t="s">
        <v>4880</v>
      </c>
      <c r="C1496">
        <v>1.0425</v>
      </c>
      <c r="D1496" s="1">
        <v>40360</v>
      </c>
      <c r="E1496" s="9">
        <f t="shared" si="48"/>
        <v>2011</v>
      </c>
      <c r="F1496" t="str">
        <f t="shared" si="47"/>
        <v>WSUM</v>
      </c>
    </row>
    <row r="1497" spans="1:6">
      <c r="A1497" t="s">
        <v>4950</v>
      </c>
      <c r="B1497" t="s">
        <v>4882</v>
      </c>
      <c r="C1497">
        <v>1.0818000000000001</v>
      </c>
      <c r="D1497" s="1">
        <v>40360</v>
      </c>
      <c r="E1497" s="9">
        <f t="shared" si="48"/>
        <v>2011</v>
      </c>
      <c r="F1497" t="str">
        <f t="shared" si="47"/>
        <v>WSVL</v>
      </c>
    </row>
    <row r="1498" spans="1:6">
      <c r="A1498" t="s">
        <v>4883</v>
      </c>
      <c r="B1498" t="s">
        <v>4884</v>
      </c>
      <c r="C1498">
        <v>1.0366</v>
      </c>
      <c r="D1498" s="1">
        <v>40360</v>
      </c>
      <c r="E1498" s="9">
        <f t="shared" si="48"/>
        <v>2011</v>
      </c>
      <c r="F1498" t="str">
        <f t="shared" si="47"/>
        <v>WTLN</v>
      </c>
    </row>
    <row r="1499" spans="1:6">
      <c r="A1499" t="s">
        <v>4885</v>
      </c>
      <c r="B1499" t="s">
        <v>4886</v>
      </c>
      <c r="C1499">
        <v>1.0427</v>
      </c>
      <c r="D1499" s="1">
        <v>40360</v>
      </c>
      <c r="E1499" s="9">
        <f t="shared" si="48"/>
        <v>2011</v>
      </c>
      <c r="F1499" t="str">
        <f t="shared" si="47"/>
        <v>WTSG</v>
      </c>
    </row>
    <row r="1500" spans="1:6">
      <c r="A1500" t="s">
        <v>4889</v>
      </c>
      <c r="B1500" t="s">
        <v>4890</v>
      </c>
      <c r="C1500">
        <v>1.0367999999999999</v>
      </c>
      <c r="D1500" s="1">
        <v>40360</v>
      </c>
      <c r="E1500" s="9">
        <f t="shared" si="48"/>
        <v>2011</v>
      </c>
      <c r="F1500" t="str">
        <f t="shared" si="47"/>
        <v>WTTS</v>
      </c>
    </row>
    <row r="1501" spans="1:6">
      <c r="A1501" t="s">
        <v>4891</v>
      </c>
      <c r="B1501" t="s">
        <v>4892</v>
      </c>
      <c r="C1501">
        <v>1.0486</v>
      </c>
      <c r="D1501" s="1">
        <v>40360</v>
      </c>
      <c r="E1501" s="9">
        <f t="shared" si="48"/>
        <v>2011</v>
      </c>
      <c r="F1501" t="str">
        <f t="shared" si="47"/>
        <v>WUNI</v>
      </c>
    </row>
    <row r="1502" spans="1:6">
      <c r="A1502" t="s">
        <v>4893</v>
      </c>
      <c r="B1502" t="s">
        <v>4894</v>
      </c>
      <c r="C1502">
        <v>1.0349999999999999</v>
      </c>
      <c r="D1502" s="1">
        <v>40360</v>
      </c>
      <c r="E1502" s="9">
        <f t="shared" si="48"/>
        <v>2011</v>
      </c>
      <c r="F1502" t="str">
        <f t="shared" si="47"/>
        <v>WVPA</v>
      </c>
    </row>
    <row r="1503" spans="1:6">
      <c r="A1503" t="s">
        <v>4895</v>
      </c>
      <c r="B1503" t="s">
        <v>4896</v>
      </c>
      <c r="C1503">
        <v>1.0530999999999999</v>
      </c>
      <c r="D1503" s="1">
        <v>40360</v>
      </c>
      <c r="E1503" s="9">
        <f t="shared" si="48"/>
        <v>2011</v>
      </c>
      <c r="F1503" t="str">
        <f t="shared" si="47"/>
        <v>WWAG</v>
      </c>
    </row>
    <row r="1504" spans="1:6">
      <c r="A1504" t="s">
        <v>4897</v>
      </c>
      <c r="B1504" t="s">
        <v>4898</v>
      </c>
      <c r="C1504">
        <v>1.0356000000000001</v>
      </c>
      <c r="D1504" s="1">
        <v>40360</v>
      </c>
      <c r="E1504" s="9">
        <f t="shared" si="48"/>
        <v>2011</v>
      </c>
      <c r="F1504" t="str">
        <f t="shared" si="47"/>
        <v>WWAI</v>
      </c>
    </row>
    <row r="1505" spans="1:6">
      <c r="A1505" t="s">
        <v>4899</v>
      </c>
      <c r="B1505" t="s">
        <v>4900</v>
      </c>
      <c r="C1505">
        <v>0.99780000000000002</v>
      </c>
      <c r="D1505" s="1">
        <v>40360</v>
      </c>
      <c r="E1505" s="9">
        <f t="shared" si="48"/>
        <v>2011</v>
      </c>
      <c r="F1505" t="str">
        <f t="shared" si="47"/>
        <v>WWCL</v>
      </c>
    </row>
    <row r="1506" spans="1:6">
      <c r="A1506" t="s">
        <v>4901</v>
      </c>
      <c r="B1506" t="s">
        <v>4902</v>
      </c>
      <c r="C1506">
        <v>1.0513999999999999</v>
      </c>
      <c r="D1506" s="1">
        <v>40360</v>
      </c>
      <c r="E1506" s="9">
        <f t="shared" si="48"/>
        <v>2011</v>
      </c>
      <c r="F1506" t="str">
        <f t="shared" si="47"/>
        <v>WWDN</v>
      </c>
    </row>
    <row r="1507" spans="1:6">
      <c r="A1507" t="s">
        <v>4943</v>
      </c>
      <c r="B1507" t="s">
        <v>4944</v>
      </c>
      <c r="C1507">
        <v>1.0441</v>
      </c>
      <c r="D1507" s="1">
        <v>40360</v>
      </c>
      <c r="E1507" s="9">
        <f t="shared" si="48"/>
        <v>2011</v>
      </c>
      <c r="F1507" t="str">
        <f t="shared" si="47"/>
        <v>WWEB</v>
      </c>
    </row>
    <row r="1508" spans="1:6">
      <c r="A1508" t="s">
        <v>4903</v>
      </c>
      <c r="B1508" t="s">
        <v>4904</v>
      </c>
      <c r="C1508">
        <v>1.0339</v>
      </c>
      <c r="D1508" s="1">
        <v>40360</v>
      </c>
      <c r="E1508" s="9">
        <f t="shared" si="48"/>
        <v>2011</v>
      </c>
      <c r="F1508" t="str">
        <f t="shared" si="47"/>
        <v>WWEL</v>
      </c>
    </row>
    <row r="1509" spans="1:6">
      <c r="A1509" t="s">
        <v>4907</v>
      </c>
      <c r="B1509" t="s">
        <v>4908</v>
      </c>
      <c r="C1509">
        <v>0.98729999999999996</v>
      </c>
      <c r="D1509" s="1">
        <v>40360</v>
      </c>
      <c r="E1509" s="9">
        <f t="shared" si="48"/>
        <v>2011</v>
      </c>
      <c r="F1509" t="str">
        <f t="shared" si="47"/>
        <v>WWGP</v>
      </c>
    </row>
    <row r="1510" spans="1:6">
      <c r="A1510" t="s">
        <v>4909</v>
      </c>
      <c r="B1510" t="s">
        <v>4910</v>
      </c>
      <c r="C1510">
        <v>1.2019</v>
      </c>
      <c r="D1510" s="1">
        <v>40360</v>
      </c>
      <c r="E1510" s="9">
        <f t="shared" si="48"/>
        <v>2011</v>
      </c>
      <c r="F1510" t="str">
        <f t="shared" si="47"/>
        <v>WWKT</v>
      </c>
    </row>
    <row r="1511" spans="1:6">
      <c r="A1511" t="s">
        <v>4913</v>
      </c>
      <c r="B1511" t="s">
        <v>4914</v>
      </c>
      <c r="C1511">
        <v>1.0333000000000001</v>
      </c>
      <c r="D1511" s="1">
        <v>40360</v>
      </c>
      <c r="E1511" s="9">
        <f t="shared" si="48"/>
        <v>2011</v>
      </c>
      <c r="F1511" t="str">
        <f t="shared" si="47"/>
        <v>WWMG</v>
      </c>
    </row>
    <row r="1512" spans="1:6">
      <c r="A1512" t="s">
        <v>4915</v>
      </c>
      <c r="B1512" t="s">
        <v>4916</v>
      </c>
      <c r="C1512">
        <v>1.0333000000000001</v>
      </c>
      <c r="D1512" s="1">
        <v>40360</v>
      </c>
      <c r="E1512" s="9">
        <f t="shared" si="48"/>
        <v>2011</v>
      </c>
      <c r="F1512" t="str">
        <f t="shared" si="47"/>
        <v>WWNO</v>
      </c>
    </row>
    <row r="1513" spans="1:6">
      <c r="A1513" t="s">
        <v>4917</v>
      </c>
      <c r="B1513" t="s">
        <v>4918</v>
      </c>
      <c r="C1513">
        <v>1.0447</v>
      </c>
      <c r="D1513" s="1">
        <v>40360</v>
      </c>
      <c r="E1513" s="9">
        <f t="shared" si="48"/>
        <v>2011</v>
      </c>
      <c r="F1513" t="str">
        <f t="shared" si="47"/>
        <v>WWNT</v>
      </c>
    </row>
    <row r="1514" spans="1:6">
      <c r="A1514" t="s">
        <v>4919</v>
      </c>
      <c r="B1514" t="s">
        <v>4920</v>
      </c>
      <c r="C1514">
        <v>1.0358000000000001</v>
      </c>
      <c r="D1514" s="1">
        <v>40360</v>
      </c>
      <c r="E1514" s="9">
        <f t="shared" si="48"/>
        <v>2011</v>
      </c>
      <c r="F1514" t="str">
        <f t="shared" si="47"/>
        <v>WWSD</v>
      </c>
    </row>
    <row r="1515" spans="1:6">
      <c r="A1515" t="s">
        <v>4921</v>
      </c>
      <c r="B1515" t="s">
        <v>4922</v>
      </c>
      <c r="C1515">
        <v>1.0878000000000001</v>
      </c>
      <c r="D1515" s="1">
        <v>40360</v>
      </c>
      <c r="E1515" s="9">
        <f t="shared" si="48"/>
        <v>2011</v>
      </c>
      <c r="F1515" t="str">
        <f t="shared" si="47"/>
        <v>WWUN</v>
      </c>
    </row>
    <row r="1516" spans="1:6">
      <c r="A1516" t="s">
        <v>4923</v>
      </c>
      <c r="B1516" t="s">
        <v>4924</v>
      </c>
      <c r="C1516">
        <v>0.95479999999999998</v>
      </c>
      <c r="D1516" s="1">
        <v>40360</v>
      </c>
      <c r="E1516" s="9">
        <f t="shared" si="48"/>
        <v>2011</v>
      </c>
      <c r="F1516" t="str">
        <f t="shared" si="47"/>
        <v>WWWF</v>
      </c>
    </row>
    <row r="1517" spans="1:6">
      <c r="A1517" t="s">
        <v>4925</v>
      </c>
      <c r="B1517" t="s">
        <v>4926</v>
      </c>
      <c r="C1517">
        <v>1.0333000000000001</v>
      </c>
      <c r="D1517" s="1">
        <v>40360</v>
      </c>
      <c r="E1517" s="9">
        <f t="shared" si="48"/>
        <v>2011</v>
      </c>
      <c r="F1517" t="str">
        <f t="shared" si="47"/>
        <v>WYCP</v>
      </c>
    </row>
    <row r="1518" spans="1:6">
      <c r="A1518" t="s">
        <v>4927</v>
      </c>
      <c r="B1518" t="s">
        <v>4928</v>
      </c>
      <c r="C1518">
        <v>1.1536</v>
      </c>
      <c r="D1518" s="1">
        <v>40360</v>
      </c>
      <c r="E1518" s="9">
        <f t="shared" si="48"/>
        <v>2011</v>
      </c>
      <c r="F1518" t="str">
        <f t="shared" si="47"/>
        <v>WYER</v>
      </c>
    </row>
    <row r="1519" spans="1:6">
      <c r="A1519" t="s">
        <v>4929</v>
      </c>
      <c r="B1519" t="s">
        <v>4930</v>
      </c>
      <c r="C1519">
        <v>1.0381</v>
      </c>
      <c r="D1519" s="1">
        <v>40360</v>
      </c>
      <c r="E1519" s="9">
        <f t="shared" si="48"/>
        <v>2011</v>
      </c>
      <c r="F1519" t="str">
        <f t="shared" si="47"/>
        <v>WYKE</v>
      </c>
    </row>
    <row r="1520" spans="1:6">
      <c r="A1520" t="s">
        <v>4931</v>
      </c>
      <c r="B1520" t="s">
        <v>4932</v>
      </c>
      <c r="C1520">
        <v>1.1535</v>
      </c>
      <c r="D1520" s="1">
        <v>40360</v>
      </c>
      <c r="E1520" s="9">
        <f t="shared" si="48"/>
        <v>2011</v>
      </c>
      <c r="F1520" t="str">
        <f t="shared" ref="F1520" si="49">A1520</f>
        <v>WYLN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 enableFormatConditionsCalculation="0">
    <tabColor theme="1"/>
  </sheetPr>
  <dimension ref="A1:G337"/>
  <sheetViews>
    <sheetView workbookViewId="0">
      <selection activeCell="L375" sqref="L375"/>
    </sheetView>
  </sheetViews>
  <sheetFormatPr baseColWidth="10" defaultRowHeight="15" x14ac:dyDescent="0"/>
  <sheetData>
    <row r="1" spans="1:7">
      <c r="A1" t="s">
        <v>1459</v>
      </c>
      <c r="B1" t="s">
        <v>1457</v>
      </c>
      <c r="C1" t="s">
        <v>1458</v>
      </c>
      <c r="D1" t="s">
        <v>1588</v>
      </c>
      <c r="E1" t="s">
        <v>1460</v>
      </c>
      <c r="F1" t="s">
        <v>4328</v>
      </c>
      <c r="G1" t="s">
        <v>4329</v>
      </c>
    </row>
    <row r="2" spans="1:7" hidden="1">
      <c r="A2" t="s">
        <v>221</v>
      </c>
      <c r="B2" t="s">
        <v>3976</v>
      </c>
      <c r="C2">
        <v>132</v>
      </c>
      <c r="D2" t="s">
        <v>1536</v>
      </c>
      <c r="E2" t="s">
        <v>1535</v>
      </c>
      <c r="F2">
        <v>1.0922000000000001</v>
      </c>
      <c r="G2">
        <v>1.0934999999999999</v>
      </c>
    </row>
    <row r="3" spans="1:7" hidden="1">
      <c r="A3" t="s">
        <v>224</v>
      </c>
      <c r="B3" t="s">
        <v>1538</v>
      </c>
      <c r="C3">
        <v>132</v>
      </c>
      <c r="D3" t="s">
        <v>1537</v>
      </c>
      <c r="E3" t="s">
        <v>1535</v>
      </c>
      <c r="F3">
        <v>1.0922000000000001</v>
      </c>
      <c r="G3">
        <v>1.0934999999999999</v>
      </c>
    </row>
    <row r="4" spans="1:7" hidden="1">
      <c r="A4" t="s">
        <v>255</v>
      </c>
      <c r="B4" t="s">
        <v>4312</v>
      </c>
      <c r="C4">
        <v>275</v>
      </c>
      <c r="D4" t="s">
        <v>1540</v>
      </c>
      <c r="E4" t="s">
        <v>1539</v>
      </c>
      <c r="F4">
        <v>0.94289999999999996</v>
      </c>
      <c r="G4">
        <v>0.9415</v>
      </c>
    </row>
    <row r="5" spans="1:7" hidden="1">
      <c r="A5" t="s">
        <v>258</v>
      </c>
      <c r="B5" t="s">
        <v>4312</v>
      </c>
      <c r="C5">
        <v>275</v>
      </c>
      <c r="D5" t="s">
        <v>1542</v>
      </c>
      <c r="E5" t="s">
        <v>1539</v>
      </c>
      <c r="F5">
        <v>0.94289999999999996</v>
      </c>
      <c r="G5">
        <v>0.9415</v>
      </c>
    </row>
    <row r="6" spans="1:7" hidden="1">
      <c r="A6" t="s">
        <v>259</v>
      </c>
      <c r="B6" t="s">
        <v>4312</v>
      </c>
      <c r="C6">
        <v>275</v>
      </c>
      <c r="D6" t="s">
        <v>1544</v>
      </c>
      <c r="E6" t="s">
        <v>1539</v>
      </c>
      <c r="F6">
        <v>0.94289999999999996</v>
      </c>
      <c r="G6">
        <v>0.9415</v>
      </c>
    </row>
    <row r="7" spans="1:7" hidden="1">
      <c r="A7" t="s">
        <v>260</v>
      </c>
      <c r="B7" t="s">
        <v>1547</v>
      </c>
      <c r="C7">
        <v>275</v>
      </c>
      <c r="D7" t="s">
        <v>1546</v>
      </c>
      <c r="E7" t="s">
        <v>1539</v>
      </c>
      <c r="F7">
        <v>0.94289999999999996</v>
      </c>
      <c r="G7">
        <v>0.9415</v>
      </c>
    </row>
    <row r="8" spans="1:7" hidden="1">
      <c r="A8" t="s">
        <v>262</v>
      </c>
      <c r="B8" t="s">
        <v>1549</v>
      </c>
      <c r="C8">
        <v>275</v>
      </c>
      <c r="D8" t="s">
        <v>1548</v>
      </c>
      <c r="E8" t="s">
        <v>1539</v>
      </c>
      <c r="F8">
        <v>0.94289999999999996</v>
      </c>
      <c r="G8">
        <v>0.9415</v>
      </c>
    </row>
    <row r="9" spans="1:7" hidden="1">
      <c r="A9" t="s">
        <v>263</v>
      </c>
      <c r="B9" t="s">
        <v>1551</v>
      </c>
      <c r="C9">
        <v>275</v>
      </c>
      <c r="D9" t="s">
        <v>1550</v>
      </c>
      <c r="E9" t="s">
        <v>1539</v>
      </c>
      <c r="F9">
        <v>0.94289999999999996</v>
      </c>
      <c r="G9">
        <v>0.9415</v>
      </c>
    </row>
    <row r="10" spans="1:7" hidden="1">
      <c r="A10" t="s">
        <v>2232</v>
      </c>
      <c r="B10" t="s">
        <v>4313</v>
      </c>
      <c r="C10">
        <v>132</v>
      </c>
      <c r="D10" t="s">
        <v>1552</v>
      </c>
      <c r="E10" t="s">
        <v>1552</v>
      </c>
      <c r="F10">
        <v>0.96819999999999995</v>
      </c>
      <c r="G10">
        <v>0.93020000000000003</v>
      </c>
    </row>
    <row r="11" spans="1:7" hidden="1">
      <c r="A11" t="s">
        <v>1464</v>
      </c>
      <c r="B11" t="s">
        <v>4314</v>
      </c>
      <c r="C11">
        <v>132</v>
      </c>
      <c r="D11" t="s">
        <v>1557</v>
      </c>
      <c r="E11" t="s">
        <v>1554</v>
      </c>
      <c r="F11">
        <v>0.96819999999999995</v>
      </c>
      <c r="G11">
        <v>0.93020000000000003</v>
      </c>
    </row>
    <row r="12" spans="1:7" hidden="1">
      <c r="A12" t="s">
        <v>288</v>
      </c>
      <c r="B12" t="s">
        <v>1556</v>
      </c>
      <c r="C12">
        <v>132</v>
      </c>
      <c r="D12" t="s">
        <v>1555</v>
      </c>
      <c r="E12" t="s">
        <v>1554</v>
      </c>
      <c r="F12">
        <v>0.96819999999999995</v>
      </c>
      <c r="G12">
        <v>0.93020000000000003</v>
      </c>
    </row>
    <row r="13" spans="1:7" hidden="1">
      <c r="A13" t="s">
        <v>290</v>
      </c>
      <c r="B13" t="s">
        <v>1561</v>
      </c>
      <c r="C13">
        <v>275</v>
      </c>
      <c r="D13" t="s">
        <v>1560</v>
      </c>
      <c r="E13" t="s">
        <v>1559</v>
      </c>
      <c r="F13">
        <v>0.94340000000000002</v>
      </c>
      <c r="G13">
        <v>0.92849999999999999</v>
      </c>
    </row>
    <row r="14" spans="1:7" hidden="1">
      <c r="A14" t="s">
        <v>292</v>
      </c>
      <c r="B14" t="s">
        <v>1563</v>
      </c>
      <c r="C14">
        <v>275</v>
      </c>
      <c r="D14" t="s">
        <v>1562</v>
      </c>
      <c r="E14" t="s">
        <v>1559</v>
      </c>
      <c r="F14">
        <v>0.94340000000000002</v>
      </c>
      <c r="G14">
        <v>0.92849999999999999</v>
      </c>
    </row>
    <row r="15" spans="1:7" hidden="1">
      <c r="A15" t="s">
        <v>332</v>
      </c>
      <c r="B15" t="s">
        <v>1566</v>
      </c>
      <c r="C15">
        <v>275</v>
      </c>
      <c r="D15" t="s">
        <v>1565</v>
      </c>
      <c r="E15" t="s">
        <v>1564</v>
      </c>
      <c r="F15">
        <v>0.94520000000000004</v>
      </c>
      <c r="G15">
        <v>0.92689999999999995</v>
      </c>
    </row>
    <row r="16" spans="1:7" hidden="1">
      <c r="A16" t="s">
        <v>335</v>
      </c>
      <c r="B16" t="s">
        <v>1568</v>
      </c>
      <c r="C16">
        <v>275</v>
      </c>
      <c r="D16" t="s">
        <v>1567</v>
      </c>
      <c r="E16" t="s">
        <v>1564</v>
      </c>
      <c r="F16">
        <v>0.94520000000000004</v>
      </c>
      <c r="G16">
        <v>0.92689999999999995</v>
      </c>
    </row>
    <row r="17" spans="1:7" hidden="1">
      <c r="A17" t="s">
        <v>4381</v>
      </c>
      <c r="B17" t="s">
        <v>4315</v>
      </c>
      <c r="C17">
        <v>132</v>
      </c>
      <c r="D17" t="s">
        <v>4123</v>
      </c>
      <c r="E17" t="s">
        <v>4123</v>
      </c>
      <c r="F17">
        <v>1.036</v>
      </c>
      <c r="G17">
        <v>1.0232000000000001</v>
      </c>
    </row>
    <row r="18" spans="1:7" hidden="1">
      <c r="A18" t="s">
        <v>4382</v>
      </c>
      <c r="B18" t="s">
        <v>4317</v>
      </c>
      <c r="C18">
        <v>132</v>
      </c>
      <c r="D18" t="s">
        <v>4316</v>
      </c>
      <c r="E18" t="s">
        <v>4122</v>
      </c>
      <c r="F18">
        <v>1.036</v>
      </c>
      <c r="G18">
        <v>1.0232000000000001</v>
      </c>
    </row>
    <row r="19" spans="1:7" hidden="1">
      <c r="A19" t="s">
        <v>4383</v>
      </c>
      <c r="B19" t="s">
        <v>4319</v>
      </c>
      <c r="C19">
        <v>132</v>
      </c>
      <c r="D19" t="s">
        <v>4318</v>
      </c>
      <c r="E19" t="s">
        <v>4122</v>
      </c>
      <c r="F19">
        <v>1.036</v>
      </c>
      <c r="G19">
        <v>1.0232000000000001</v>
      </c>
    </row>
    <row r="20" spans="1:7" hidden="1">
      <c r="A20" t="s">
        <v>4384</v>
      </c>
      <c r="B20" t="s">
        <v>4321</v>
      </c>
      <c r="C20">
        <v>132</v>
      </c>
      <c r="D20" t="s">
        <v>4320</v>
      </c>
      <c r="E20" t="s">
        <v>4122</v>
      </c>
      <c r="F20">
        <v>1.036</v>
      </c>
      <c r="G20">
        <v>1.0232000000000001</v>
      </c>
    </row>
    <row r="21" spans="1:7" hidden="1">
      <c r="A21" t="s">
        <v>4385</v>
      </c>
      <c r="B21" t="s">
        <v>4323</v>
      </c>
      <c r="C21">
        <v>132</v>
      </c>
      <c r="D21" t="s">
        <v>4322</v>
      </c>
      <c r="E21" t="s">
        <v>4122</v>
      </c>
      <c r="F21">
        <v>1.036</v>
      </c>
      <c r="G21">
        <v>1.0232000000000001</v>
      </c>
    </row>
    <row r="22" spans="1:7" hidden="1">
      <c r="A22" t="s">
        <v>4386</v>
      </c>
      <c r="B22" t="s">
        <v>4325</v>
      </c>
      <c r="C22">
        <v>132</v>
      </c>
      <c r="D22" t="s">
        <v>4324</v>
      </c>
      <c r="E22" t="s">
        <v>4122</v>
      </c>
      <c r="F22">
        <v>1.036</v>
      </c>
      <c r="G22">
        <v>1.0232000000000001</v>
      </c>
    </row>
    <row r="23" spans="1:7" hidden="1">
      <c r="A23" t="s">
        <v>344</v>
      </c>
      <c r="B23" t="s">
        <v>4326</v>
      </c>
      <c r="C23">
        <v>275</v>
      </c>
      <c r="D23" t="s">
        <v>1571</v>
      </c>
      <c r="E23" t="s">
        <v>1539</v>
      </c>
      <c r="F23">
        <v>0.94289999999999996</v>
      </c>
      <c r="G23">
        <v>0.9415</v>
      </c>
    </row>
    <row r="24" spans="1:7" hidden="1">
      <c r="A24" t="s">
        <v>386</v>
      </c>
      <c r="B24" t="s">
        <v>1575</v>
      </c>
      <c r="C24">
        <v>132</v>
      </c>
      <c r="D24" t="s">
        <v>1574</v>
      </c>
      <c r="E24" t="s">
        <v>1573</v>
      </c>
      <c r="F24">
        <v>0.97860000000000003</v>
      </c>
      <c r="G24">
        <v>0.96120000000000005</v>
      </c>
    </row>
    <row r="25" spans="1:7" hidden="1">
      <c r="A25" t="s">
        <v>387</v>
      </c>
      <c r="B25" t="s">
        <v>1577</v>
      </c>
      <c r="C25">
        <v>132</v>
      </c>
      <c r="D25" t="s">
        <v>1576</v>
      </c>
      <c r="E25" t="s">
        <v>1573</v>
      </c>
      <c r="F25">
        <v>0.97860000000000003</v>
      </c>
      <c r="G25">
        <v>0.96120000000000005</v>
      </c>
    </row>
    <row r="26" spans="1:7" hidden="1">
      <c r="A26" t="s">
        <v>2265</v>
      </c>
      <c r="B26" t="s">
        <v>1578</v>
      </c>
      <c r="C26">
        <v>132</v>
      </c>
      <c r="D26" t="s">
        <v>1573</v>
      </c>
      <c r="E26" t="s">
        <v>1573</v>
      </c>
      <c r="F26">
        <v>0.97860000000000003</v>
      </c>
      <c r="G26">
        <v>0.96120000000000005</v>
      </c>
    </row>
    <row r="27" spans="1:7" hidden="1">
      <c r="A27" t="s">
        <v>383</v>
      </c>
      <c r="B27" t="s">
        <v>1581</v>
      </c>
      <c r="C27">
        <v>275</v>
      </c>
      <c r="D27" t="s">
        <v>1580</v>
      </c>
      <c r="E27" t="s">
        <v>1579</v>
      </c>
      <c r="F27">
        <v>0.98180000000000001</v>
      </c>
      <c r="G27">
        <v>0.96309999999999996</v>
      </c>
    </row>
    <row r="28" spans="1:7" hidden="1">
      <c r="A28" t="s">
        <v>385</v>
      </c>
      <c r="B28" t="s">
        <v>1583</v>
      </c>
      <c r="C28">
        <v>275</v>
      </c>
      <c r="D28" t="s">
        <v>1582</v>
      </c>
      <c r="E28" t="s">
        <v>1579</v>
      </c>
      <c r="F28">
        <v>0.98180000000000001</v>
      </c>
      <c r="G28">
        <v>0.96309999999999996</v>
      </c>
    </row>
    <row r="29" spans="1:7" hidden="1">
      <c r="A29" t="s">
        <v>388</v>
      </c>
      <c r="B29" t="s">
        <v>1585</v>
      </c>
      <c r="C29">
        <v>275</v>
      </c>
      <c r="D29" t="s">
        <v>1584</v>
      </c>
      <c r="E29" t="s">
        <v>1579</v>
      </c>
      <c r="F29">
        <v>0.98180000000000001</v>
      </c>
      <c r="G29">
        <v>0.96309999999999996</v>
      </c>
    </row>
    <row r="30" spans="1:7" hidden="1">
      <c r="A30" t="s">
        <v>389</v>
      </c>
      <c r="B30" t="s">
        <v>1587</v>
      </c>
      <c r="C30">
        <v>275</v>
      </c>
      <c r="D30" t="s">
        <v>1586</v>
      </c>
      <c r="E30" t="s">
        <v>1579</v>
      </c>
      <c r="F30">
        <v>0.98180000000000001</v>
      </c>
      <c r="G30">
        <v>0.96309999999999996</v>
      </c>
    </row>
    <row r="31" spans="1:7" hidden="1">
      <c r="A31" t="s">
        <v>442</v>
      </c>
      <c r="B31" t="s">
        <v>1466</v>
      </c>
      <c r="C31">
        <v>11</v>
      </c>
      <c r="D31" t="s">
        <v>1495</v>
      </c>
      <c r="E31" t="s">
        <v>4327</v>
      </c>
      <c r="F31">
        <v>1.0802</v>
      </c>
      <c r="G31">
        <v>1.06</v>
      </c>
    </row>
    <row r="32" spans="1:7" hidden="1">
      <c r="A32" t="s">
        <v>444</v>
      </c>
      <c r="B32" t="s">
        <v>1467</v>
      </c>
      <c r="C32">
        <v>11</v>
      </c>
      <c r="D32" t="s">
        <v>1496</v>
      </c>
      <c r="E32" t="s">
        <v>4327</v>
      </c>
      <c r="F32">
        <v>1.0802</v>
      </c>
      <c r="G32">
        <v>1.06</v>
      </c>
    </row>
    <row r="33" spans="1:7" hidden="1">
      <c r="A33" t="s">
        <v>445</v>
      </c>
      <c r="B33" t="s">
        <v>1468</v>
      </c>
      <c r="C33">
        <v>11</v>
      </c>
      <c r="D33" t="s">
        <v>1497</v>
      </c>
      <c r="E33" t="s">
        <v>4327</v>
      </c>
      <c r="F33">
        <v>1.0802</v>
      </c>
      <c r="G33">
        <v>1.06</v>
      </c>
    </row>
    <row r="34" spans="1:7" hidden="1">
      <c r="A34" t="s">
        <v>446</v>
      </c>
      <c r="B34" t="s">
        <v>1469</v>
      </c>
      <c r="C34">
        <v>11</v>
      </c>
      <c r="D34" t="s">
        <v>1498</v>
      </c>
      <c r="E34" t="s">
        <v>4327</v>
      </c>
      <c r="F34">
        <v>1.0802</v>
      </c>
      <c r="G34">
        <v>1.06</v>
      </c>
    </row>
    <row r="35" spans="1:7" hidden="1">
      <c r="A35" t="s">
        <v>453</v>
      </c>
      <c r="B35" t="s">
        <v>1470</v>
      </c>
      <c r="C35">
        <v>275</v>
      </c>
      <c r="D35" t="s">
        <v>1500</v>
      </c>
      <c r="E35" t="s">
        <v>1539</v>
      </c>
      <c r="F35">
        <v>0.94289999999999996</v>
      </c>
      <c r="G35">
        <v>0.9415</v>
      </c>
    </row>
    <row r="36" spans="1:7" hidden="1">
      <c r="A36" t="s">
        <v>447</v>
      </c>
      <c r="B36" t="s">
        <v>1471</v>
      </c>
      <c r="C36">
        <v>132</v>
      </c>
      <c r="D36" t="s">
        <v>1501</v>
      </c>
      <c r="E36" t="s">
        <v>1494</v>
      </c>
      <c r="F36">
        <v>1.0844</v>
      </c>
      <c r="G36">
        <v>1.0703</v>
      </c>
    </row>
    <row r="37" spans="1:7" hidden="1">
      <c r="A37" t="s">
        <v>495</v>
      </c>
      <c r="B37" t="s">
        <v>1603</v>
      </c>
      <c r="C37">
        <v>33</v>
      </c>
      <c r="D37" t="s">
        <v>1602</v>
      </c>
      <c r="E37" t="s">
        <v>1602</v>
      </c>
      <c r="F37">
        <v>1.0327</v>
      </c>
      <c r="G37">
        <v>1.0353000000000001</v>
      </c>
    </row>
    <row r="38" spans="1:7" hidden="1">
      <c r="A38" t="s">
        <v>532</v>
      </c>
      <c r="B38" t="s">
        <v>3978</v>
      </c>
      <c r="C38">
        <v>330</v>
      </c>
      <c r="D38" t="s">
        <v>1503</v>
      </c>
      <c r="E38" t="s">
        <v>1502</v>
      </c>
      <c r="F38">
        <v>0.96199999999999997</v>
      </c>
      <c r="G38">
        <v>0.96</v>
      </c>
    </row>
    <row r="39" spans="1:7" hidden="1">
      <c r="A39" t="s">
        <v>534</v>
      </c>
      <c r="B39" t="s">
        <v>3979</v>
      </c>
      <c r="C39">
        <v>330</v>
      </c>
      <c r="D39" t="s">
        <v>1504</v>
      </c>
      <c r="E39" t="s">
        <v>1502</v>
      </c>
      <c r="F39">
        <v>0.96199999999999997</v>
      </c>
      <c r="G39">
        <v>0.96</v>
      </c>
    </row>
    <row r="40" spans="1:7" hidden="1">
      <c r="A40" t="s">
        <v>535</v>
      </c>
      <c r="B40" t="s">
        <v>1472</v>
      </c>
      <c r="C40">
        <v>132</v>
      </c>
      <c r="D40" t="s">
        <v>1506</v>
      </c>
      <c r="E40" t="s">
        <v>1505</v>
      </c>
      <c r="F40">
        <v>1.0228999999999999</v>
      </c>
      <c r="G40">
        <v>0.97719999999999996</v>
      </c>
    </row>
    <row r="41" spans="1:7" hidden="1">
      <c r="A41" t="s">
        <v>537</v>
      </c>
      <c r="B41" t="s">
        <v>1473</v>
      </c>
      <c r="C41">
        <v>132</v>
      </c>
      <c r="D41" t="s">
        <v>1507</v>
      </c>
      <c r="E41" t="s">
        <v>1505</v>
      </c>
      <c r="F41">
        <v>1.0228999999999999</v>
      </c>
      <c r="G41">
        <v>0.97719999999999996</v>
      </c>
    </row>
    <row r="42" spans="1:7" hidden="1">
      <c r="A42" t="s">
        <v>538</v>
      </c>
      <c r="B42" t="s">
        <v>1474</v>
      </c>
      <c r="C42">
        <v>132</v>
      </c>
      <c r="D42" t="s">
        <v>1508</v>
      </c>
      <c r="E42" t="s">
        <v>1505</v>
      </c>
      <c r="F42">
        <v>1.0228999999999999</v>
      </c>
      <c r="G42">
        <v>0.97719999999999996</v>
      </c>
    </row>
    <row r="43" spans="1:7" hidden="1">
      <c r="A43" t="s">
        <v>556</v>
      </c>
      <c r="B43" t="s">
        <v>1475</v>
      </c>
      <c r="C43">
        <v>110</v>
      </c>
      <c r="D43" t="s">
        <v>1510</v>
      </c>
      <c r="E43" t="s">
        <v>1509</v>
      </c>
      <c r="F43">
        <v>0.94330000000000003</v>
      </c>
      <c r="G43">
        <v>0.93840000000000001</v>
      </c>
    </row>
    <row r="44" spans="1:7" hidden="1">
      <c r="A44" t="s">
        <v>558</v>
      </c>
      <c r="B44" t="s">
        <v>1476</v>
      </c>
      <c r="C44">
        <v>110</v>
      </c>
      <c r="D44" t="s">
        <v>1511</v>
      </c>
      <c r="E44" t="s">
        <v>1509</v>
      </c>
      <c r="F44">
        <v>0.94330000000000003</v>
      </c>
      <c r="G44">
        <v>0.93840000000000001</v>
      </c>
    </row>
    <row r="45" spans="1:7" hidden="1">
      <c r="A45" t="s">
        <v>2318</v>
      </c>
      <c r="B45" t="s">
        <v>1477</v>
      </c>
      <c r="C45">
        <v>132</v>
      </c>
      <c r="D45" t="s">
        <v>1512</v>
      </c>
      <c r="E45" t="s">
        <v>1512</v>
      </c>
      <c r="F45">
        <v>0.98150000000000004</v>
      </c>
      <c r="G45">
        <v>0.95840000000000003</v>
      </c>
    </row>
    <row r="46" spans="1:7" hidden="1">
      <c r="A46" t="s">
        <v>636</v>
      </c>
      <c r="B46" t="s">
        <v>1478</v>
      </c>
      <c r="C46">
        <v>275</v>
      </c>
      <c r="D46" t="s">
        <v>1514</v>
      </c>
      <c r="E46" t="s">
        <v>1513</v>
      </c>
      <c r="F46">
        <v>0.98150000000000004</v>
      </c>
      <c r="G46">
        <v>0.95840000000000003</v>
      </c>
    </row>
    <row r="47" spans="1:7" hidden="1">
      <c r="A47" t="s">
        <v>638</v>
      </c>
      <c r="B47" t="s">
        <v>1479</v>
      </c>
      <c r="C47">
        <v>275</v>
      </c>
      <c r="D47" t="s">
        <v>1515</v>
      </c>
      <c r="E47" t="s">
        <v>1513</v>
      </c>
      <c r="F47">
        <v>0.98150000000000004</v>
      </c>
      <c r="G47">
        <v>0.95840000000000003</v>
      </c>
    </row>
    <row r="48" spans="1:7" hidden="1">
      <c r="A48" t="s">
        <v>639</v>
      </c>
      <c r="B48" t="s">
        <v>1480</v>
      </c>
      <c r="C48">
        <v>275</v>
      </c>
      <c r="D48" t="s">
        <v>1516</v>
      </c>
      <c r="E48" t="s">
        <v>1513</v>
      </c>
      <c r="F48">
        <v>0.98150000000000004</v>
      </c>
      <c r="G48">
        <v>0.95840000000000003</v>
      </c>
    </row>
    <row r="49" spans="1:7" hidden="1">
      <c r="A49" t="s">
        <v>640</v>
      </c>
      <c r="B49" t="s">
        <v>1481</v>
      </c>
      <c r="C49">
        <v>275</v>
      </c>
      <c r="D49" t="s">
        <v>1517</v>
      </c>
      <c r="E49" t="s">
        <v>1513</v>
      </c>
      <c r="F49">
        <v>0.98150000000000004</v>
      </c>
      <c r="G49">
        <v>0.95840000000000003</v>
      </c>
    </row>
    <row r="50" spans="1:7" hidden="1">
      <c r="A50" t="s">
        <v>4286</v>
      </c>
      <c r="B50" t="s">
        <v>4133</v>
      </c>
      <c r="C50">
        <v>275</v>
      </c>
      <c r="D50" t="s">
        <v>4132</v>
      </c>
      <c r="E50" t="s">
        <v>4131</v>
      </c>
      <c r="F50">
        <v>0.99299999999999999</v>
      </c>
      <c r="G50">
        <v>0.99750000000000005</v>
      </c>
    </row>
    <row r="51" spans="1:7" hidden="1">
      <c r="A51" t="s">
        <v>4387</v>
      </c>
      <c r="B51" t="s">
        <v>4331</v>
      </c>
      <c r="C51">
        <v>275</v>
      </c>
      <c r="D51" t="s">
        <v>4330</v>
      </c>
      <c r="E51" t="s">
        <v>4131</v>
      </c>
      <c r="F51">
        <v>0.99299999999999999</v>
      </c>
      <c r="G51">
        <v>0.99750000000000005</v>
      </c>
    </row>
    <row r="52" spans="1:7" hidden="1">
      <c r="A52" t="s">
        <v>4287</v>
      </c>
      <c r="B52" t="s">
        <v>4135</v>
      </c>
      <c r="C52">
        <v>275</v>
      </c>
      <c r="D52" t="s">
        <v>4134</v>
      </c>
      <c r="E52" t="s">
        <v>4131</v>
      </c>
      <c r="F52">
        <v>0.99299999999999999</v>
      </c>
      <c r="G52">
        <v>0.99750000000000005</v>
      </c>
    </row>
    <row r="53" spans="1:7" hidden="1">
      <c r="A53" t="s">
        <v>4388</v>
      </c>
      <c r="B53" t="s">
        <v>4333</v>
      </c>
      <c r="C53">
        <v>275</v>
      </c>
      <c r="D53" t="s">
        <v>4332</v>
      </c>
      <c r="E53" t="s">
        <v>4131</v>
      </c>
      <c r="F53">
        <v>0.99299999999999999</v>
      </c>
      <c r="G53">
        <v>0.99750000000000005</v>
      </c>
    </row>
    <row r="54" spans="1:7" hidden="1">
      <c r="A54" t="s">
        <v>652</v>
      </c>
      <c r="B54" t="s">
        <v>1482</v>
      </c>
      <c r="C54">
        <v>275</v>
      </c>
      <c r="D54" t="s">
        <v>1519</v>
      </c>
      <c r="E54" t="s">
        <v>1519</v>
      </c>
      <c r="F54">
        <v>0.999</v>
      </c>
      <c r="G54">
        <v>0.99909999999999999</v>
      </c>
    </row>
    <row r="55" spans="1:7" hidden="1">
      <c r="A55" t="s">
        <v>4288</v>
      </c>
      <c r="B55" t="s">
        <v>4137</v>
      </c>
      <c r="C55">
        <v>110</v>
      </c>
      <c r="D55" t="s">
        <v>4136</v>
      </c>
      <c r="E55" t="s">
        <v>4131</v>
      </c>
      <c r="F55">
        <v>0.99299999999999999</v>
      </c>
      <c r="G55">
        <v>0.99750000000000005</v>
      </c>
    </row>
    <row r="56" spans="1:7" hidden="1">
      <c r="A56" t="s">
        <v>679</v>
      </c>
      <c r="B56" t="s">
        <v>1483</v>
      </c>
      <c r="C56">
        <v>275</v>
      </c>
      <c r="D56" t="s">
        <v>1520</v>
      </c>
      <c r="E56" t="s">
        <v>1520</v>
      </c>
      <c r="F56">
        <v>0.96799999999999997</v>
      </c>
      <c r="G56">
        <v>0.96519999999999995</v>
      </c>
    </row>
    <row r="57" spans="1:7" hidden="1">
      <c r="A57" t="s">
        <v>658</v>
      </c>
      <c r="B57" t="s">
        <v>1484</v>
      </c>
      <c r="C57">
        <v>275</v>
      </c>
      <c r="D57" t="s">
        <v>1522</v>
      </c>
      <c r="E57" t="s">
        <v>1521</v>
      </c>
      <c r="F57">
        <v>0.96789999999999998</v>
      </c>
      <c r="G57">
        <v>0.96550000000000002</v>
      </c>
    </row>
    <row r="58" spans="1:7" hidden="1">
      <c r="A58" t="s">
        <v>660</v>
      </c>
      <c r="B58" t="s">
        <v>1485</v>
      </c>
      <c r="C58">
        <v>275</v>
      </c>
      <c r="D58" t="s">
        <v>1523</v>
      </c>
      <c r="E58" t="s">
        <v>1521</v>
      </c>
      <c r="F58">
        <v>0.96789999999999998</v>
      </c>
      <c r="G58">
        <v>0.96550000000000002</v>
      </c>
    </row>
    <row r="59" spans="1:7" hidden="1">
      <c r="A59" t="s">
        <v>661</v>
      </c>
      <c r="B59" t="s">
        <v>1486</v>
      </c>
      <c r="C59">
        <v>275</v>
      </c>
      <c r="D59" t="s">
        <v>1524</v>
      </c>
      <c r="E59" t="s">
        <v>1521</v>
      </c>
      <c r="F59">
        <v>0.96789999999999998</v>
      </c>
      <c r="G59">
        <v>0.96550000000000002</v>
      </c>
    </row>
    <row r="60" spans="1:7" hidden="1">
      <c r="A60" t="s">
        <v>662</v>
      </c>
      <c r="B60" t="s">
        <v>1487</v>
      </c>
      <c r="C60">
        <v>275</v>
      </c>
      <c r="D60" t="s">
        <v>1525</v>
      </c>
      <c r="E60" t="s">
        <v>1521</v>
      </c>
      <c r="F60">
        <v>0.96789999999999998</v>
      </c>
      <c r="G60">
        <v>0.96550000000000002</v>
      </c>
    </row>
    <row r="61" spans="1:7" hidden="1">
      <c r="A61" t="s">
        <v>721</v>
      </c>
      <c r="B61" t="s">
        <v>1488</v>
      </c>
      <c r="C61">
        <v>275</v>
      </c>
      <c r="D61" t="s">
        <v>1527</v>
      </c>
      <c r="E61" t="s">
        <v>1526</v>
      </c>
      <c r="F61">
        <v>0.98829999999999996</v>
      </c>
      <c r="G61">
        <v>0.9909</v>
      </c>
    </row>
    <row r="62" spans="1:7" hidden="1">
      <c r="A62" t="s">
        <v>724</v>
      </c>
      <c r="B62" t="s">
        <v>1489</v>
      </c>
      <c r="C62">
        <v>275</v>
      </c>
      <c r="D62" t="s">
        <v>1528</v>
      </c>
      <c r="E62" t="s">
        <v>1526</v>
      </c>
      <c r="F62">
        <v>0.98829999999999996</v>
      </c>
      <c r="G62">
        <v>0.9909</v>
      </c>
    </row>
    <row r="63" spans="1:7" hidden="1">
      <c r="A63" t="s">
        <v>585</v>
      </c>
      <c r="B63" t="s">
        <v>1490</v>
      </c>
      <c r="C63">
        <v>275</v>
      </c>
      <c r="D63" t="s">
        <v>1530</v>
      </c>
      <c r="E63" t="s">
        <v>1529</v>
      </c>
      <c r="F63">
        <v>0.99609999999999999</v>
      </c>
      <c r="G63">
        <v>0.99519999999999997</v>
      </c>
    </row>
    <row r="64" spans="1:7" hidden="1">
      <c r="A64" t="s">
        <v>588</v>
      </c>
      <c r="B64" t="s">
        <v>1491</v>
      </c>
      <c r="C64">
        <v>275</v>
      </c>
      <c r="D64" t="s">
        <v>1531</v>
      </c>
      <c r="E64" t="s">
        <v>1529</v>
      </c>
      <c r="F64">
        <v>0.99609999999999999</v>
      </c>
      <c r="G64">
        <v>0.99519999999999997</v>
      </c>
    </row>
    <row r="65" spans="1:7" hidden="1">
      <c r="A65" t="s">
        <v>2438</v>
      </c>
      <c r="B65" t="s">
        <v>1634</v>
      </c>
      <c r="C65">
        <v>110</v>
      </c>
      <c r="D65" t="s">
        <v>1633</v>
      </c>
      <c r="E65" t="s">
        <v>1632</v>
      </c>
      <c r="F65">
        <v>1.0022</v>
      </c>
      <c r="G65">
        <v>1.0014000000000001</v>
      </c>
    </row>
    <row r="66" spans="1:7" hidden="1">
      <c r="A66" t="s">
        <v>770</v>
      </c>
      <c r="B66" t="s">
        <v>1492</v>
      </c>
      <c r="C66">
        <v>132</v>
      </c>
      <c r="D66" t="s">
        <v>1532</v>
      </c>
      <c r="E66" t="s">
        <v>1532</v>
      </c>
      <c r="F66">
        <v>1.0406</v>
      </c>
      <c r="G66">
        <v>1.02</v>
      </c>
    </row>
    <row r="67" spans="1:7" hidden="1">
      <c r="A67" t="s">
        <v>775</v>
      </c>
      <c r="B67" t="s">
        <v>4334</v>
      </c>
      <c r="C67">
        <v>132</v>
      </c>
      <c r="D67" t="s">
        <v>1534</v>
      </c>
      <c r="E67" t="s">
        <v>1533</v>
      </c>
      <c r="F67">
        <v>0.98829999999999996</v>
      </c>
      <c r="G67">
        <v>0.95930000000000004</v>
      </c>
    </row>
    <row r="68" spans="1:7" hidden="1">
      <c r="A68" t="s">
        <v>213</v>
      </c>
      <c r="B68" t="s">
        <v>4335</v>
      </c>
      <c r="C68">
        <v>132</v>
      </c>
      <c r="D68" t="s">
        <v>1591</v>
      </c>
      <c r="E68" t="s">
        <v>1591</v>
      </c>
      <c r="F68">
        <v>0.99629999999999996</v>
      </c>
      <c r="G68">
        <v>0.98719999999999997</v>
      </c>
    </row>
    <row r="69" spans="1:7" hidden="1">
      <c r="A69" t="s">
        <v>336</v>
      </c>
      <c r="B69" t="s">
        <v>3977</v>
      </c>
      <c r="C69">
        <v>132</v>
      </c>
      <c r="D69" t="s">
        <v>1570</v>
      </c>
      <c r="E69" t="s">
        <v>1569</v>
      </c>
      <c r="F69">
        <v>0.96509999999999996</v>
      </c>
      <c r="G69">
        <v>0.96250000000000002</v>
      </c>
    </row>
    <row r="70" spans="1:7" hidden="1">
      <c r="A70" t="s">
        <v>340</v>
      </c>
      <c r="B70" t="s">
        <v>1596</v>
      </c>
      <c r="C70">
        <v>110</v>
      </c>
      <c r="D70" t="s">
        <v>1595</v>
      </c>
      <c r="E70" t="s">
        <v>1594</v>
      </c>
      <c r="F70">
        <v>0.97250000000000003</v>
      </c>
      <c r="G70">
        <v>0.97560000000000002</v>
      </c>
    </row>
    <row r="71" spans="1:7" hidden="1">
      <c r="A71" t="s">
        <v>373</v>
      </c>
      <c r="B71" t="s">
        <v>1599</v>
      </c>
      <c r="C71">
        <v>66</v>
      </c>
      <c r="D71" t="s">
        <v>1598</v>
      </c>
      <c r="E71" t="s">
        <v>1597</v>
      </c>
      <c r="F71">
        <v>1.0287999999999999</v>
      </c>
      <c r="G71">
        <v>1.0139</v>
      </c>
    </row>
    <row r="72" spans="1:7" hidden="1">
      <c r="A72" t="s">
        <v>421</v>
      </c>
      <c r="B72" t="s">
        <v>2217</v>
      </c>
      <c r="C72">
        <v>132</v>
      </c>
      <c r="D72" t="s">
        <v>1601</v>
      </c>
      <c r="E72" t="s">
        <v>1600</v>
      </c>
      <c r="F72">
        <v>1.012</v>
      </c>
      <c r="G72">
        <v>1.0051000000000001</v>
      </c>
    </row>
    <row r="73" spans="1:7" hidden="1">
      <c r="A73" t="s">
        <v>4389</v>
      </c>
      <c r="B73" t="s">
        <v>4338</v>
      </c>
      <c r="C73">
        <v>110</v>
      </c>
      <c r="D73" t="s">
        <v>4337</v>
      </c>
      <c r="E73" t="s">
        <v>4336</v>
      </c>
      <c r="F73">
        <v>0.97419999999999995</v>
      </c>
      <c r="G73">
        <v>0.97250000000000003</v>
      </c>
    </row>
    <row r="74" spans="1:7" hidden="1">
      <c r="A74" t="s">
        <v>520</v>
      </c>
      <c r="B74" t="s">
        <v>3983</v>
      </c>
      <c r="C74">
        <v>11</v>
      </c>
      <c r="D74" t="s">
        <v>1605</v>
      </c>
      <c r="E74" t="s">
        <v>1604</v>
      </c>
      <c r="F74">
        <v>1.0914999999999999</v>
      </c>
      <c r="G74">
        <v>1.0716000000000001</v>
      </c>
    </row>
    <row r="75" spans="1:7" hidden="1">
      <c r="A75" t="s">
        <v>499</v>
      </c>
      <c r="B75" t="s">
        <v>1608</v>
      </c>
      <c r="C75">
        <v>66</v>
      </c>
      <c r="D75" t="s">
        <v>1607</v>
      </c>
      <c r="E75" t="s">
        <v>1606</v>
      </c>
      <c r="F75">
        <v>1.0965</v>
      </c>
      <c r="G75">
        <v>1.0793999999999999</v>
      </c>
    </row>
    <row r="76" spans="1:7" hidden="1">
      <c r="A76" t="s">
        <v>2401</v>
      </c>
      <c r="B76" t="s">
        <v>3984</v>
      </c>
      <c r="C76">
        <v>66</v>
      </c>
      <c r="D76" t="s">
        <v>1609</v>
      </c>
      <c r="E76" t="s">
        <v>1597</v>
      </c>
      <c r="F76">
        <v>1.0287999999999999</v>
      </c>
      <c r="G76">
        <v>1.0139</v>
      </c>
    </row>
    <row r="77" spans="1:7" hidden="1">
      <c r="A77" t="s">
        <v>605</v>
      </c>
      <c r="B77" t="s">
        <v>1612</v>
      </c>
      <c r="C77">
        <v>110</v>
      </c>
      <c r="D77" t="s">
        <v>1611</v>
      </c>
      <c r="E77" t="s">
        <v>1610</v>
      </c>
      <c r="F77">
        <v>1.0101</v>
      </c>
      <c r="G77">
        <v>1.0118</v>
      </c>
    </row>
    <row r="78" spans="1:7" hidden="1">
      <c r="A78" t="s">
        <v>614</v>
      </c>
      <c r="B78" t="s">
        <v>1614</v>
      </c>
      <c r="C78">
        <v>110</v>
      </c>
      <c r="D78" t="s">
        <v>1613</v>
      </c>
      <c r="E78" t="s">
        <v>1518</v>
      </c>
      <c r="F78">
        <v>1.0111000000000001</v>
      </c>
      <c r="G78">
        <v>1.0132000000000001</v>
      </c>
    </row>
    <row r="79" spans="1:7" hidden="1">
      <c r="A79" t="s">
        <v>353</v>
      </c>
      <c r="B79" t="s">
        <v>1617</v>
      </c>
      <c r="C79">
        <v>110</v>
      </c>
      <c r="D79" t="s">
        <v>1616</v>
      </c>
      <c r="E79" t="s">
        <v>1615</v>
      </c>
      <c r="F79">
        <v>1.0024</v>
      </c>
      <c r="G79">
        <v>1.0024</v>
      </c>
    </row>
    <row r="80" spans="1:7" hidden="1">
      <c r="A80" t="s">
        <v>607</v>
      </c>
      <c r="B80" t="s">
        <v>4339</v>
      </c>
      <c r="C80">
        <v>132</v>
      </c>
      <c r="D80" t="s">
        <v>1619</v>
      </c>
      <c r="E80" t="s">
        <v>1618</v>
      </c>
      <c r="F80">
        <v>0.96540000000000004</v>
      </c>
      <c r="G80">
        <v>0.96330000000000005</v>
      </c>
    </row>
    <row r="81" spans="1:7" hidden="1">
      <c r="A81" t="s">
        <v>609</v>
      </c>
      <c r="B81" t="s">
        <v>4340</v>
      </c>
      <c r="C81">
        <v>132</v>
      </c>
      <c r="D81" t="s">
        <v>1620</v>
      </c>
      <c r="E81" t="s">
        <v>1618</v>
      </c>
      <c r="F81">
        <v>0.96540000000000004</v>
      </c>
      <c r="G81">
        <v>0.96330000000000005</v>
      </c>
    </row>
    <row r="82" spans="1:7" hidden="1">
      <c r="A82" t="s">
        <v>645</v>
      </c>
      <c r="B82" t="s">
        <v>1623</v>
      </c>
      <c r="C82">
        <v>110</v>
      </c>
      <c r="D82" t="s">
        <v>1622</v>
      </c>
      <c r="E82" t="s">
        <v>1621</v>
      </c>
      <c r="F82">
        <v>1.0158</v>
      </c>
      <c r="G82">
        <v>1.0165999999999999</v>
      </c>
    </row>
    <row r="83" spans="1:7" hidden="1">
      <c r="A83" t="s">
        <v>647</v>
      </c>
      <c r="B83" t="s">
        <v>3988</v>
      </c>
      <c r="C83">
        <v>110</v>
      </c>
      <c r="D83" t="s">
        <v>3987</v>
      </c>
      <c r="E83" t="s">
        <v>1624</v>
      </c>
      <c r="F83">
        <v>1.0283</v>
      </c>
      <c r="G83">
        <v>1.0275000000000001</v>
      </c>
    </row>
    <row r="84" spans="1:7" hidden="1">
      <c r="A84" t="s">
        <v>677</v>
      </c>
      <c r="B84" t="s">
        <v>1627</v>
      </c>
      <c r="C84">
        <v>33</v>
      </c>
      <c r="D84" t="s">
        <v>1626</v>
      </c>
      <c r="E84" t="s">
        <v>1625</v>
      </c>
      <c r="F84">
        <v>1.0043</v>
      </c>
      <c r="G84">
        <v>1.0037</v>
      </c>
    </row>
    <row r="85" spans="1:7" hidden="1">
      <c r="A85" t="s">
        <v>737</v>
      </c>
      <c r="B85" t="s">
        <v>1630</v>
      </c>
      <c r="C85">
        <v>110</v>
      </c>
      <c r="D85" t="s">
        <v>1629</v>
      </c>
      <c r="E85" t="s">
        <v>4149</v>
      </c>
      <c r="F85">
        <v>1.0023</v>
      </c>
      <c r="G85">
        <v>1.0009999999999999</v>
      </c>
    </row>
    <row r="86" spans="1:7" hidden="1">
      <c r="A86" t="s">
        <v>735</v>
      </c>
      <c r="B86" t="s">
        <v>4341</v>
      </c>
      <c r="C86">
        <v>66</v>
      </c>
      <c r="D86" t="s">
        <v>1631</v>
      </c>
      <c r="E86" t="s">
        <v>1631</v>
      </c>
      <c r="F86">
        <v>1.131</v>
      </c>
      <c r="G86">
        <v>1.1259999999999999</v>
      </c>
    </row>
    <row r="87" spans="1:7" hidden="1">
      <c r="A87" t="s">
        <v>772</v>
      </c>
      <c r="B87" t="s">
        <v>1637</v>
      </c>
      <c r="C87">
        <v>66</v>
      </c>
      <c r="D87" t="s">
        <v>1636</v>
      </c>
      <c r="E87" t="s">
        <v>1635</v>
      </c>
      <c r="F87">
        <v>1.0504</v>
      </c>
      <c r="G87">
        <v>1.0309999999999999</v>
      </c>
    </row>
    <row r="88" spans="1:7" hidden="1">
      <c r="A88" t="s">
        <v>3133</v>
      </c>
      <c r="B88" t="s">
        <v>4392</v>
      </c>
      <c r="C88">
        <v>330</v>
      </c>
      <c r="D88" t="s">
        <v>4342</v>
      </c>
      <c r="E88" t="s">
        <v>1638</v>
      </c>
      <c r="F88">
        <v>0.95450000000000002</v>
      </c>
      <c r="G88">
        <v>0.95150000000000001</v>
      </c>
    </row>
    <row r="89" spans="1:7" hidden="1">
      <c r="A89" t="s">
        <v>278</v>
      </c>
      <c r="B89" t="s">
        <v>1640</v>
      </c>
      <c r="C89">
        <v>330</v>
      </c>
      <c r="D89" t="s">
        <v>1639</v>
      </c>
      <c r="E89" t="s">
        <v>1638</v>
      </c>
      <c r="F89">
        <v>0.95450000000000002</v>
      </c>
      <c r="G89">
        <v>0.95150000000000001</v>
      </c>
    </row>
    <row r="90" spans="1:7" hidden="1">
      <c r="A90" t="s">
        <v>281</v>
      </c>
      <c r="B90" t="s">
        <v>1642</v>
      </c>
      <c r="C90">
        <v>330</v>
      </c>
      <c r="D90" t="s">
        <v>1641</v>
      </c>
      <c r="E90" t="s">
        <v>1638</v>
      </c>
      <c r="F90">
        <v>0.95450000000000002</v>
      </c>
      <c r="G90">
        <v>0.95150000000000001</v>
      </c>
    </row>
    <row r="91" spans="1:7" hidden="1">
      <c r="A91" t="s">
        <v>282</v>
      </c>
      <c r="B91" t="s">
        <v>1645</v>
      </c>
      <c r="C91">
        <v>500</v>
      </c>
      <c r="D91" t="s">
        <v>1644</v>
      </c>
      <c r="E91" t="s">
        <v>1643</v>
      </c>
      <c r="F91">
        <v>0.95579999999999998</v>
      </c>
      <c r="G91">
        <v>0.95299999999999996</v>
      </c>
    </row>
    <row r="92" spans="1:7" hidden="1">
      <c r="A92" t="s">
        <v>283</v>
      </c>
      <c r="B92" t="s">
        <v>1647</v>
      </c>
      <c r="C92">
        <v>500</v>
      </c>
      <c r="D92" t="s">
        <v>1646</v>
      </c>
      <c r="E92" t="s">
        <v>1643</v>
      </c>
      <c r="F92">
        <v>0.95579999999999998</v>
      </c>
      <c r="G92">
        <v>0.95299999999999996</v>
      </c>
    </row>
    <row r="93" spans="1:7" hidden="1">
      <c r="A93" t="s">
        <v>241</v>
      </c>
      <c r="B93" t="s">
        <v>1650</v>
      </c>
      <c r="C93">
        <v>132</v>
      </c>
      <c r="D93" t="s">
        <v>1649</v>
      </c>
      <c r="E93" t="s">
        <v>1648</v>
      </c>
      <c r="F93">
        <v>1.0129999999999999</v>
      </c>
      <c r="G93">
        <v>1.0112000000000001</v>
      </c>
    </row>
    <row r="94" spans="1:7" hidden="1">
      <c r="A94" t="s">
        <v>241</v>
      </c>
      <c r="B94" t="s">
        <v>1650</v>
      </c>
      <c r="C94">
        <v>132</v>
      </c>
      <c r="D94" t="s">
        <v>1649</v>
      </c>
      <c r="E94" t="s">
        <v>1648</v>
      </c>
      <c r="F94">
        <v>1.0129999999999999</v>
      </c>
      <c r="G94">
        <v>1.0112000000000001</v>
      </c>
    </row>
    <row r="95" spans="1:7" hidden="1">
      <c r="A95" t="s">
        <v>3133</v>
      </c>
      <c r="B95" t="s">
        <v>4280</v>
      </c>
      <c r="C95">
        <v>132</v>
      </c>
      <c r="D95" t="s">
        <v>4155</v>
      </c>
      <c r="E95" t="s">
        <v>1648</v>
      </c>
      <c r="F95">
        <v>1.0129999999999999</v>
      </c>
      <c r="G95">
        <v>1.0112000000000001</v>
      </c>
    </row>
    <row r="96" spans="1:7" hidden="1">
      <c r="A96" t="s">
        <v>368</v>
      </c>
      <c r="B96" t="s">
        <v>1654</v>
      </c>
      <c r="C96">
        <v>22</v>
      </c>
      <c r="D96" t="s">
        <v>1653</v>
      </c>
      <c r="E96" t="s">
        <v>1652</v>
      </c>
      <c r="F96">
        <v>1.1426000000000001</v>
      </c>
      <c r="G96">
        <v>1.1027</v>
      </c>
    </row>
    <row r="97" spans="1:7" hidden="1">
      <c r="A97" t="s">
        <v>274</v>
      </c>
      <c r="B97" t="s">
        <v>1656</v>
      </c>
      <c r="C97">
        <v>132</v>
      </c>
      <c r="D97" t="s">
        <v>1655</v>
      </c>
      <c r="E97" t="s">
        <v>1655</v>
      </c>
      <c r="F97">
        <v>1.0106999999999999</v>
      </c>
      <c r="G97">
        <v>1.0116000000000001</v>
      </c>
    </row>
    <row r="98" spans="1:7" hidden="1">
      <c r="A98" t="s">
        <v>293</v>
      </c>
      <c r="B98" t="s">
        <v>1659</v>
      </c>
      <c r="C98">
        <v>330</v>
      </c>
      <c r="D98" t="s">
        <v>4343</v>
      </c>
      <c r="E98" t="s">
        <v>1657</v>
      </c>
      <c r="F98">
        <v>1.0012000000000001</v>
      </c>
      <c r="G98">
        <v>0.99199999999999999</v>
      </c>
    </row>
    <row r="99" spans="1:7" hidden="1">
      <c r="A99" t="s">
        <v>306</v>
      </c>
      <c r="B99" t="s">
        <v>1662</v>
      </c>
      <c r="C99">
        <v>330</v>
      </c>
      <c r="D99" t="s">
        <v>1661</v>
      </c>
      <c r="E99" t="s">
        <v>1660</v>
      </c>
      <c r="F99">
        <v>0.98109999999999997</v>
      </c>
      <c r="G99">
        <v>0.98629999999999995</v>
      </c>
    </row>
    <row r="100" spans="1:7" hidden="1">
      <c r="A100" t="s">
        <v>308</v>
      </c>
      <c r="B100" t="s">
        <v>1664</v>
      </c>
      <c r="C100">
        <v>330</v>
      </c>
      <c r="D100" t="s">
        <v>1663</v>
      </c>
      <c r="E100" t="s">
        <v>1660</v>
      </c>
      <c r="F100">
        <v>0.98109999999999997</v>
      </c>
      <c r="G100">
        <v>0.98629999999999995</v>
      </c>
    </row>
    <row r="101" spans="1:7" hidden="1">
      <c r="A101" t="s">
        <v>309</v>
      </c>
      <c r="B101" t="s">
        <v>1666</v>
      </c>
      <c r="C101">
        <v>330</v>
      </c>
      <c r="D101" t="s">
        <v>1665</v>
      </c>
      <c r="E101" t="s">
        <v>1660</v>
      </c>
      <c r="F101">
        <v>0.98109999999999997</v>
      </c>
      <c r="G101">
        <v>0.98629999999999995</v>
      </c>
    </row>
    <row r="102" spans="1:7" hidden="1">
      <c r="A102" t="s">
        <v>310</v>
      </c>
      <c r="B102" t="s">
        <v>1668</v>
      </c>
      <c r="C102">
        <v>330</v>
      </c>
      <c r="D102" t="s">
        <v>1667</v>
      </c>
      <c r="E102" t="s">
        <v>1660</v>
      </c>
      <c r="F102">
        <v>0.98109999999999997</v>
      </c>
      <c r="G102">
        <v>0.98629999999999995</v>
      </c>
    </row>
    <row r="103" spans="1:7" hidden="1">
      <c r="A103" t="s">
        <v>338</v>
      </c>
      <c r="B103" t="s">
        <v>1767</v>
      </c>
      <c r="C103">
        <v>132</v>
      </c>
      <c r="D103" t="s">
        <v>1766</v>
      </c>
      <c r="E103" t="s">
        <v>1765</v>
      </c>
      <c r="F103">
        <v>0.97499999999999998</v>
      </c>
      <c r="G103">
        <v>0.97260000000000002</v>
      </c>
    </row>
    <row r="104" spans="1:7" hidden="1">
      <c r="A104" t="s">
        <v>360</v>
      </c>
      <c r="B104" t="s">
        <v>1671</v>
      </c>
      <c r="C104">
        <v>330</v>
      </c>
      <c r="D104" t="s">
        <v>1670</v>
      </c>
      <c r="E104" t="s">
        <v>1669</v>
      </c>
      <c r="F104">
        <v>0.98570000000000002</v>
      </c>
      <c r="G104">
        <v>0.98650000000000004</v>
      </c>
    </row>
    <row r="105" spans="1:7" hidden="1">
      <c r="A105" t="s">
        <v>362</v>
      </c>
      <c r="B105" t="s">
        <v>1673</v>
      </c>
      <c r="C105">
        <v>330</v>
      </c>
      <c r="D105" t="s">
        <v>1672</v>
      </c>
      <c r="E105" t="s">
        <v>1669</v>
      </c>
      <c r="F105">
        <v>0.98570000000000002</v>
      </c>
      <c r="G105">
        <v>0.98650000000000004</v>
      </c>
    </row>
    <row r="106" spans="1:7" hidden="1">
      <c r="A106" t="s">
        <v>363</v>
      </c>
      <c r="B106" t="s">
        <v>1676</v>
      </c>
      <c r="C106">
        <v>500</v>
      </c>
      <c r="D106" t="s">
        <v>1675</v>
      </c>
      <c r="E106" t="s">
        <v>1674</v>
      </c>
      <c r="F106">
        <v>0.98750000000000004</v>
      </c>
      <c r="G106">
        <v>0.98819999999999997</v>
      </c>
    </row>
    <row r="107" spans="1:7" hidden="1">
      <c r="A107" t="s">
        <v>364</v>
      </c>
      <c r="B107" t="s">
        <v>1678</v>
      </c>
      <c r="C107">
        <v>500</v>
      </c>
      <c r="D107" t="s">
        <v>1677</v>
      </c>
      <c r="E107" t="s">
        <v>1674</v>
      </c>
      <c r="F107">
        <v>0.98750000000000004</v>
      </c>
      <c r="G107">
        <v>0.98819999999999997</v>
      </c>
    </row>
    <row r="108" spans="1:7" hidden="1">
      <c r="A108" t="s">
        <v>2483</v>
      </c>
      <c r="B108" t="s">
        <v>1680</v>
      </c>
      <c r="C108">
        <v>500</v>
      </c>
      <c r="D108" t="s">
        <v>1679</v>
      </c>
      <c r="E108" t="s">
        <v>1674</v>
      </c>
      <c r="F108">
        <v>0.98750000000000004</v>
      </c>
      <c r="G108">
        <v>0.98819999999999997</v>
      </c>
    </row>
    <row r="109" spans="1:7" hidden="1">
      <c r="A109" t="s">
        <v>392</v>
      </c>
      <c r="B109" t="s">
        <v>1785</v>
      </c>
      <c r="C109">
        <v>132</v>
      </c>
      <c r="D109" t="s">
        <v>1784</v>
      </c>
      <c r="E109" t="s">
        <v>1765</v>
      </c>
      <c r="F109">
        <v>0.97499999999999998</v>
      </c>
      <c r="G109">
        <v>0.97260000000000002</v>
      </c>
    </row>
    <row r="110" spans="1:7" hidden="1">
      <c r="A110" t="s">
        <v>4289</v>
      </c>
      <c r="B110" t="s">
        <v>1686</v>
      </c>
      <c r="C110">
        <v>132</v>
      </c>
      <c r="D110" t="s">
        <v>1684</v>
      </c>
      <c r="E110" t="s">
        <v>1684</v>
      </c>
      <c r="F110">
        <v>0.97160000000000002</v>
      </c>
      <c r="G110">
        <v>0.93989999999999996</v>
      </c>
    </row>
    <row r="111" spans="1:7" hidden="1">
      <c r="A111" t="s">
        <v>393</v>
      </c>
      <c r="B111" t="s">
        <v>1686</v>
      </c>
      <c r="C111">
        <v>132</v>
      </c>
      <c r="D111" t="s">
        <v>1685</v>
      </c>
      <c r="E111" t="s">
        <v>1684</v>
      </c>
      <c r="F111">
        <v>0.97160000000000002</v>
      </c>
      <c r="G111">
        <v>0.93989999999999996</v>
      </c>
    </row>
    <row r="112" spans="1:7" hidden="1">
      <c r="A112" t="s">
        <v>4290</v>
      </c>
      <c r="B112" t="s">
        <v>4169</v>
      </c>
      <c r="C112">
        <v>132</v>
      </c>
      <c r="D112" t="s">
        <v>4168</v>
      </c>
      <c r="E112" t="s">
        <v>1684</v>
      </c>
      <c r="F112">
        <v>0.97160000000000002</v>
      </c>
      <c r="G112">
        <v>0.93989999999999996</v>
      </c>
    </row>
    <row r="113" spans="1:7" hidden="1">
      <c r="A113" t="s">
        <v>407</v>
      </c>
      <c r="B113" t="s">
        <v>3990</v>
      </c>
      <c r="C113">
        <v>132</v>
      </c>
      <c r="D113" t="s">
        <v>1690</v>
      </c>
      <c r="E113" t="s">
        <v>1690</v>
      </c>
      <c r="F113">
        <v>1.0583</v>
      </c>
      <c r="G113">
        <v>0.99670000000000003</v>
      </c>
    </row>
    <row r="114" spans="1:7" hidden="1">
      <c r="A114" t="s">
        <v>620</v>
      </c>
      <c r="B114" t="s">
        <v>4344</v>
      </c>
      <c r="C114">
        <v>330</v>
      </c>
      <c r="D114" t="s">
        <v>1691</v>
      </c>
      <c r="E114" t="s">
        <v>1691</v>
      </c>
      <c r="F114">
        <v>1.0134000000000001</v>
      </c>
      <c r="G114">
        <v>0.96709999999999996</v>
      </c>
    </row>
    <row r="115" spans="1:7" hidden="1">
      <c r="A115" t="s">
        <v>623</v>
      </c>
      <c r="B115" t="s">
        <v>4345</v>
      </c>
      <c r="C115">
        <v>330</v>
      </c>
      <c r="D115" t="s">
        <v>1692</v>
      </c>
      <c r="E115" t="s">
        <v>1691</v>
      </c>
      <c r="F115">
        <v>1.0134000000000001</v>
      </c>
      <c r="G115">
        <v>1.0041</v>
      </c>
    </row>
    <row r="116" spans="1:7" hidden="1">
      <c r="A116" t="s">
        <v>2504</v>
      </c>
      <c r="B116" t="s">
        <v>1695</v>
      </c>
      <c r="C116">
        <v>330</v>
      </c>
      <c r="D116" t="s">
        <v>1694</v>
      </c>
      <c r="E116" t="s">
        <v>1693</v>
      </c>
      <c r="F116">
        <v>0.95409999999999995</v>
      </c>
      <c r="G116">
        <v>0.95179999999999998</v>
      </c>
    </row>
    <row r="117" spans="1:7" hidden="1">
      <c r="A117" t="s">
        <v>460</v>
      </c>
      <c r="B117" t="s">
        <v>1697</v>
      </c>
      <c r="C117">
        <v>330</v>
      </c>
      <c r="D117" t="s">
        <v>1696</v>
      </c>
      <c r="E117" t="s">
        <v>1693</v>
      </c>
      <c r="F117">
        <v>0.95409999999999995</v>
      </c>
      <c r="G117">
        <v>0.95179999999999998</v>
      </c>
    </row>
    <row r="118" spans="1:7" hidden="1">
      <c r="A118" t="s">
        <v>462</v>
      </c>
      <c r="B118" t="s">
        <v>1699</v>
      </c>
      <c r="C118">
        <v>330</v>
      </c>
      <c r="D118" t="s">
        <v>1698</v>
      </c>
      <c r="E118" t="s">
        <v>1693</v>
      </c>
      <c r="F118">
        <v>0.95409999999999995</v>
      </c>
      <c r="G118">
        <v>0.95179999999999998</v>
      </c>
    </row>
    <row r="119" spans="1:7" hidden="1">
      <c r="A119" t="s">
        <v>463</v>
      </c>
      <c r="B119" t="s">
        <v>1701</v>
      </c>
      <c r="C119">
        <v>330</v>
      </c>
      <c r="D119" t="s">
        <v>1700</v>
      </c>
      <c r="E119" t="s">
        <v>1693</v>
      </c>
      <c r="F119">
        <v>0.95409999999999995</v>
      </c>
      <c r="G119">
        <v>0.95179999999999998</v>
      </c>
    </row>
    <row r="120" spans="1:7" hidden="1">
      <c r="A120" t="s">
        <v>464</v>
      </c>
      <c r="B120" t="s">
        <v>1703</v>
      </c>
      <c r="C120">
        <v>330</v>
      </c>
      <c r="D120" t="s">
        <v>1702</v>
      </c>
      <c r="E120" t="s">
        <v>1693</v>
      </c>
      <c r="F120">
        <v>0.95409999999999995</v>
      </c>
      <c r="G120">
        <v>0.95179999999999998</v>
      </c>
    </row>
    <row r="121" spans="1:7" hidden="1">
      <c r="A121" t="s">
        <v>696</v>
      </c>
      <c r="B121" t="s">
        <v>4346</v>
      </c>
      <c r="C121">
        <v>330</v>
      </c>
      <c r="D121" t="s">
        <v>1705</v>
      </c>
      <c r="E121" t="s">
        <v>1704</v>
      </c>
      <c r="F121">
        <v>1.0092000000000001</v>
      </c>
      <c r="G121">
        <v>0.93220000000000003</v>
      </c>
    </row>
    <row r="122" spans="1:7" hidden="1">
      <c r="A122" t="s">
        <v>2518</v>
      </c>
      <c r="B122" t="s">
        <v>4347</v>
      </c>
      <c r="C122">
        <v>330</v>
      </c>
      <c r="D122" t="s">
        <v>1709</v>
      </c>
      <c r="E122" t="s">
        <v>1704</v>
      </c>
      <c r="F122">
        <v>1.0092000000000001</v>
      </c>
      <c r="G122">
        <v>1.0043</v>
      </c>
    </row>
    <row r="123" spans="1:7" hidden="1">
      <c r="A123" t="s">
        <v>2514</v>
      </c>
      <c r="B123" t="s">
        <v>1708</v>
      </c>
      <c r="C123">
        <v>66</v>
      </c>
      <c r="D123" t="s">
        <v>1707</v>
      </c>
      <c r="E123" t="s">
        <v>1706</v>
      </c>
      <c r="F123">
        <v>1.0339</v>
      </c>
      <c r="G123">
        <v>1.0392999999999999</v>
      </c>
    </row>
    <row r="124" spans="1:7" hidden="1">
      <c r="A124" t="s">
        <v>2521</v>
      </c>
      <c r="B124" t="s">
        <v>1711</v>
      </c>
      <c r="C124">
        <v>66</v>
      </c>
      <c r="D124" t="s">
        <v>1710</v>
      </c>
      <c r="E124" t="s">
        <v>1706</v>
      </c>
      <c r="F124">
        <v>1.0339</v>
      </c>
      <c r="G124">
        <v>1.0392999999999999</v>
      </c>
    </row>
    <row r="125" spans="1:7" hidden="1">
      <c r="A125" t="s">
        <v>2524</v>
      </c>
      <c r="B125" t="s">
        <v>1713</v>
      </c>
      <c r="C125">
        <v>66</v>
      </c>
      <c r="D125" t="s">
        <v>1712</v>
      </c>
      <c r="E125" t="s">
        <v>1706</v>
      </c>
      <c r="F125">
        <v>1.0339</v>
      </c>
      <c r="G125">
        <v>1.0392999999999999</v>
      </c>
    </row>
    <row r="126" spans="1:7" hidden="1">
      <c r="A126" t="s">
        <v>2527</v>
      </c>
      <c r="B126" t="s">
        <v>1716</v>
      </c>
      <c r="C126">
        <v>330</v>
      </c>
      <c r="D126" t="s">
        <v>1715</v>
      </c>
      <c r="E126" t="s">
        <v>1714</v>
      </c>
      <c r="F126">
        <v>0.97030000000000005</v>
      </c>
      <c r="G126">
        <v>0.96499999999999997</v>
      </c>
    </row>
    <row r="127" spans="1:7" hidden="1">
      <c r="A127" t="s">
        <v>529</v>
      </c>
      <c r="B127" t="s">
        <v>1718</v>
      </c>
      <c r="C127">
        <v>330</v>
      </c>
      <c r="D127" t="s">
        <v>1717</v>
      </c>
      <c r="E127" t="s">
        <v>1714</v>
      </c>
      <c r="F127">
        <v>0.97030000000000005</v>
      </c>
      <c r="G127">
        <v>0.96499999999999997</v>
      </c>
    </row>
    <row r="128" spans="1:7" hidden="1">
      <c r="A128" t="s">
        <v>531</v>
      </c>
      <c r="B128" t="s">
        <v>1720</v>
      </c>
      <c r="C128">
        <v>330</v>
      </c>
      <c r="D128" t="s">
        <v>1719</v>
      </c>
      <c r="E128" t="s">
        <v>1714</v>
      </c>
      <c r="F128">
        <v>0.97030000000000005</v>
      </c>
      <c r="G128">
        <v>0.96499999999999997</v>
      </c>
    </row>
    <row r="129" spans="1:7" hidden="1">
      <c r="A129" t="s">
        <v>4112</v>
      </c>
      <c r="B129" t="s">
        <v>3998</v>
      </c>
      <c r="C129">
        <v>330</v>
      </c>
      <c r="D129" t="s">
        <v>3997</v>
      </c>
      <c r="E129" t="s">
        <v>3996</v>
      </c>
      <c r="F129">
        <v>0.98640000000000005</v>
      </c>
      <c r="G129">
        <v>0.98919999999999997</v>
      </c>
    </row>
    <row r="130" spans="1:7" hidden="1">
      <c r="A130" t="s">
        <v>4291</v>
      </c>
      <c r="B130" t="s">
        <v>4181</v>
      </c>
      <c r="C130">
        <v>330</v>
      </c>
      <c r="D130" t="s">
        <v>4180</v>
      </c>
      <c r="E130" t="s">
        <v>3996</v>
      </c>
      <c r="F130">
        <v>0.98640000000000005</v>
      </c>
      <c r="G130">
        <v>0.98919999999999997</v>
      </c>
    </row>
    <row r="131" spans="1:7" hidden="1">
      <c r="A131" t="s">
        <v>4292</v>
      </c>
      <c r="B131" t="s">
        <v>4183</v>
      </c>
      <c r="C131">
        <v>330</v>
      </c>
      <c r="D131" t="s">
        <v>4182</v>
      </c>
      <c r="E131" t="s">
        <v>3996</v>
      </c>
      <c r="F131">
        <v>0.98640000000000005</v>
      </c>
      <c r="G131">
        <v>0.98919999999999997</v>
      </c>
    </row>
    <row r="132" spans="1:7" hidden="1">
      <c r="A132" t="s">
        <v>2299</v>
      </c>
      <c r="B132" t="s">
        <v>4281</v>
      </c>
      <c r="C132">
        <v>330</v>
      </c>
      <c r="D132" t="s">
        <v>4185</v>
      </c>
      <c r="E132" t="s">
        <v>4184</v>
      </c>
      <c r="F132">
        <v>0.99139999999999995</v>
      </c>
      <c r="G132">
        <v>0.99260000000000004</v>
      </c>
    </row>
    <row r="133" spans="1:7" hidden="1">
      <c r="A133" t="s">
        <v>2299</v>
      </c>
      <c r="B133" t="s">
        <v>4282</v>
      </c>
      <c r="C133">
        <v>330</v>
      </c>
      <c r="D133" t="s">
        <v>4186</v>
      </c>
      <c r="E133" t="s">
        <v>4184</v>
      </c>
      <c r="F133">
        <v>0.99139999999999995</v>
      </c>
      <c r="G133">
        <v>0.99260000000000004</v>
      </c>
    </row>
    <row r="134" spans="1:7" hidden="1">
      <c r="A134" t="s">
        <v>2299</v>
      </c>
      <c r="B134" t="s">
        <v>4283</v>
      </c>
      <c r="C134">
        <v>330</v>
      </c>
      <c r="D134" t="s">
        <v>4187</v>
      </c>
      <c r="E134" t="s">
        <v>4184</v>
      </c>
      <c r="F134">
        <v>0.99139999999999995</v>
      </c>
      <c r="G134">
        <v>0.99260000000000004</v>
      </c>
    </row>
    <row r="135" spans="1:7" hidden="1">
      <c r="A135" t="s">
        <v>2299</v>
      </c>
      <c r="B135" t="s">
        <v>2546</v>
      </c>
      <c r="C135">
        <v>330</v>
      </c>
      <c r="D135" t="s">
        <v>1722</v>
      </c>
      <c r="E135" t="s">
        <v>1722</v>
      </c>
      <c r="F135">
        <v>0.9768</v>
      </c>
      <c r="G135">
        <v>0.97089999999999999</v>
      </c>
    </row>
    <row r="136" spans="1:7" hidden="1">
      <c r="A136" t="s">
        <v>703</v>
      </c>
      <c r="B136" t="s">
        <v>1724</v>
      </c>
      <c r="C136">
        <v>330</v>
      </c>
      <c r="D136" t="s">
        <v>1723</v>
      </c>
      <c r="E136" t="s">
        <v>1722</v>
      </c>
      <c r="F136">
        <v>0.9768</v>
      </c>
      <c r="G136">
        <v>0.97089999999999999</v>
      </c>
    </row>
    <row r="137" spans="1:7" hidden="1">
      <c r="A137" t="s">
        <v>705</v>
      </c>
      <c r="B137" t="s">
        <v>1727</v>
      </c>
      <c r="C137">
        <v>132</v>
      </c>
      <c r="D137" t="s">
        <v>1726</v>
      </c>
      <c r="E137" t="s">
        <v>1725</v>
      </c>
      <c r="F137">
        <v>0.94059999999999999</v>
      </c>
      <c r="G137">
        <v>0.96519999999999995</v>
      </c>
    </row>
    <row r="138" spans="1:7" hidden="1">
      <c r="A138" t="s">
        <v>707</v>
      </c>
      <c r="B138" t="s">
        <v>1729</v>
      </c>
      <c r="C138">
        <v>132</v>
      </c>
      <c r="D138" t="s">
        <v>1728</v>
      </c>
      <c r="E138" t="s">
        <v>1725</v>
      </c>
      <c r="F138">
        <v>0.94059999999999999</v>
      </c>
      <c r="G138">
        <v>0.96519999999999995</v>
      </c>
    </row>
    <row r="139" spans="1:7" hidden="1">
      <c r="A139" t="s">
        <v>708</v>
      </c>
      <c r="B139" t="s">
        <v>1731</v>
      </c>
      <c r="C139">
        <v>132</v>
      </c>
      <c r="D139" t="s">
        <v>1730</v>
      </c>
      <c r="E139" t="s">
        <v>1725</v>
      </c>
      <c r="F139">
        <v>0.94059999999999999</v>
      </c>
      <c r="G139">
        <v>0.96519999999999995</v>
      </c>
    </row>
    <row r="140" spans="1:7" hidden="1">
      <c r="A140" t="s">
        <v>709</v>
      </c>
      <c r="B140" t="s">
        <v>1733</v>
      </c>
      <c r="C140">
        <v>132</v>
      </c>
      <c r="D140" t="s">
        <v>1732</v>
      </c>
      <c r="E140" t="s">
        <v>1725</v>
      </c>
      <c r="F140">
        <v>0.94059999999999999</v>
      </c>
      <c r="G140">
        <v>0.96519999999999995</v>
      </c>
    </row>
    <row r="141" spans="1:7" hidden="1">
      <c r="A141" t="s">
        <v>2554</v>
      </c>
      <c r="B141" t="s">
        <v>1736</v>
      </c>
      <c r="C141">
        <v>330</v>
      </c>
      <c r="D141" t="s">
        <v>1735</v>
      </c>
      <c r="E141" t="s">
        <v>1734</v>
      </c>
      <c r="F141">
        <v>0.98540000000000005</v>
      </c>
      <c r="G141">
        <v>0.98760000000000003</v>
      </c>
    </row>
    <row r="142" spans="1:7" hidden="1">
      <c r="A142" t="s">
        <v>710</v>
      </c>
      <c r="B142" t="s">
        <v>1738</v>
      </c>
      <c r="C142">
        <v>330</v>
      </c>
      <c r="D142" t="s">
        <v>1737</v>
      </c>
      <c r="E142" t="s">
        <v>1734</v>
      </c>
      <c r="F142">
        <v>0.98540000000000005</v>
      </c>
      <c r="G142">
        <v>0.98760000000000003</v>
      </c>
    </row>
    <row r="143" spans="1:7" hidden="1">
      <c r="A143" t="s">
        <v>712</v>
      </c>
      <c r="B143" t="s">
        <v>1740</v>
      </c>
      <c r="C143">
        <v>330</v>
      </c>
      <c r="D143" t="s">
        <v>1739</v>
      </c>
      <c r="E143" t="s">
        <v>1734</v>
      </c>
      <c r="F143">
        <v>0.98540000000000005</v>
      </c>
      <c r="G143">
        <v>0.98760000000000003</v>
      </c>
    </row>
    <row r="144" spans="1:7" hidden="1">
      <c r="A144" t="s">
        <v>4390</v>
      </c>
      <c r="B144" t="s">
        <v>4349</v>
      </c>
      <c r="C144">
        <v>330</v>
      </c>
      <c r="D144" t="s">
        <v>4348</v>
      </c>
      <c r="E144" t="s">
        <v>4195</v>
      </c>
      <c r="F144">
        <v>0.9718</v>
      </c>
      <c r="G144">
        <v>0.96630000000000005</v>
      </c>
    </row>
    <row r="145" spans="1:7" hidden="1">
      <c r="A145" t="s">
        <v>4293</v>
      </c>
      <c r="B145" t="s">
        <v>4350</v>
      </c>
      <c r="C145">
        <v>330</v>
      </c>
      <c r="D145" t="s">
        <v>4196</v>
      </c>
      <c r="E145" t="s">
        <v>4195</v>
      </c>
      <c r="F145">
        <v>0.9718</v>
      </c>
      <c r="G145">
        <v>0.96630000000000005</v>
      </c>
    </row>
    <row r="146" spans="1:7" hidden="1">
      <c r="A146" t="s">
        <v>4294</v>
      </c>
      <c r="B146" t="s">
        <v>4351</v>
      </c>
      <c r="C146">
        <v>330</v>
      </c>
      <c r="D146" t="s">
        <v>4198</v>
      </c>
      <c r="E146" t="s">
        <v>4195</v>
      </c>
      <c r="F146">
        <v>0.9718</v>
      </c>
      <c r="G146">
        <v>0.96630000000000005</v>
      </c>
    </row>
    <row r="147" spans="1:7" hidden="1">
      <c r="A147" t="s">
        <v>756</v>
      </c>
      <c r="B147" t="s">
        <v>1742</v>
      </c>
      <c r="C147">
        <v>330</v>
      </c>
      <c r="D147" t="s">
        <v>1741</v>
      </c>
      <c r="E147" t="s">
        <v>1657</v>
      </c>
      <c r="F147">
        <v>1.0012000000000001</v>
      </c>
      <c r="G147">
        <v>0.99199999999999999</v>
      </c>
    </row>
    <row r="148" spans="1:7" hidden="1">
      <c r="A148" t="s">
        <v>202</v>
      </c>
      <c r="B148" t="s">
        <v>1746</v>
      </c>
      <c r="C148">
        <v>132</v>
      </c>
      <c r="D148" t="s">
        <v>1745</v>
      </c>
      <c r="E148" t="s">
        <v>1744</v>
      </c>
      <c r="F148">
        <v>0.99319999999999997</v>
      </c>
      <c r="G148">
        <v>0.99470000000000003</v>
      </c>
    </row>
    <row r="149" spans="1:7" hidden="1">
      <c r="A149" t="s">
        <v>206</v>
      </c>
      <c r="B149" t="s">
        <v>4002</v>
      </c>
      <c r="C149">
        <v>132</v>
      </c>
      <c r="D149" t="s">
        <v>4001</v>
      </c>
      <c r="E149" t="s">
        <v>1800</v>
      </c>
      <c r="F149">
        <v>1.0052000000000001</v>
      </c>
      <c r="G149">
        <v>1.0043</v>
      </c>
    </row>
    <row r="150" spans="1:7" hidden="1">
      <c r="A150" t="s">
        <v>284</v>
      </c>
      <c r="B150" t="s">
        <v>1749</v>
      </c>
      <c r="C150">
        <v>66</v>
      </c>
      <c r="D150" t="s">
        <v>1748</v>
      </c>
      <c r="E150" t="s">
        <v>1747</v>
      </c>
      <c r="F150">
        <v>0.93969999999999998</v>
      </c>
      <c r="G150">
        <v>0.94299999999999995</v>
      </c>
    </row>
    <row r="151" spans="1:7" hidden="1">
      <c r="A151" t="s">
        <v>272</v>
      </c>
      <c r="B151" t="s">
        <v>1752</v>
      </c>
      <c r="C151">
        <v>66</v>
      </c>
      <c r="D151" t="s">
        <v>1751</v>
      </c>
      <c r="E151" t="s">
        <v>1750</v>
      </c>
      <c r="F151">
        <v>1.028</v>
      </c>
      <c r="G151">
        <v>1.0145999999999999</v>
      </c>
    </row>
    <row r="152" spans="1:7" hidden="1">
      <c r="A152" t="s">
        <v>731</v>
      </c>
      <c r="B152" t="s">
        <v>1758</v>
      </c>
      <c r="C152">
        <v>66</v>
      </c>
      <c r="D152" t="s">
        <v>1757</v>
      </c>
      <c r="E152" t="s">
        <v>1756</v>
      </c>
      <c r="F152">
        <v>1.0001</v>
      </c>
      <c r="G152">
        <v>0.99919999999999998</v>
      </c>
    </row>
    <row r="153" spans="1:7" hidden="1">
      <c r="A153" t="s">
        <v>326</v>
      </c>
      <c r="B153" t="s">
        <v>1761</v>
      </c>
      <c r="C153">
        <v>66</v>
      </c>
      <c r="D153" t="s">
        <v>1760</v>
      </c>
      <c r="E153" t="s">
        <v>1759</v>
      </c>
      <c r="F153">
        <v>0.97560000000000002</v>
      </c>
      <c r="G153">
        <v>0.98250000000000004</v>
      </c>
    </row>
    <row r="154" spans="1:7" hidden="1">
      <c r="A154" t="s">
        <v>4391</v>
      </c>
      <c r="B154" t="s">
        <v>4354</v>
      </c>
      <c r="C154">
        <v>132</v>
      </c>
      <c r="D154" t="s">
        <v>4353</v>
      </c>
      <c r="E154" t="s">
        <v>4352</v>
      </c>
      <c r="F154">
        <v>1.0021</v>
      </c>
      <c r="G154">
        <v>1.004</v>
      </c>
    </row>
    <row r="155" spans="1:7" hidden="1">
      <c r="A155" t="s">
        <v>351</v>
      </c>
      <c r="B155" t="s">
        <v>1770</v>
      </c>
      <c r="C155">
        <v>132</v>
      </c>
      <c r="D155" t="s">
        <v>1769</v>
      </c>
      <c r="E155" t="s">
        <v>1768</v>
      </c>
      <c r="F155">
        <v>1.0021</v>
      </c>
      <c r="G155">
        <v>1.004</v>
      </c>
    </row>
    <row r="156" spans="1:7" hidden="1">
      <c r="A156" t="s">
        <v>365</v>
      </c>
      <c r="B156" t="s">
        <v>1772</v>
      </c>
      <c r="C156">
        <v>330</v>
      </c>
      <c r="D156" t="s">
        <v>1771</v>
      </c>
      <c r="E156" t="s">
        <v>1669</v>
      </c>
      <c r="F156">
        <v>0.98570000000000002</v>
      </c>
      <c r="G156">
        <v>0.98650000000000004</v>
      </c>
    </row>
    <row r="157" spans="1:7" hidden="1">
      <c r="A157" t="s">
        <v>567</v>
      </c>
      <c r="B157" t="s">
        <v>1778</v>
      </c>
      <c r="C157">
        <v>66</v>
      </c>
      <c r="D157" t="s">
        <v>1777</v>
      </c>
      <c r="E157" t="s">
        <v>1776</v>
      </c>
      <c r="F157">
        <v>0.95530000000000004</v>
      </c>
      <c r="G157">
        <v>0.95450000000000002</v>
      </c>
    </row>
    <row r="158" spans="1:7" hidden="1">
      <c r="A158" t="s">
        <v>2606</v>
      </c>
      <c r="B158" t="s">
        <v>1780</v>
      </c>
      <c r="C158">
        <v>132</v>
      </c>
      <c r="D158" t="s">
        <v>1779</v>
      </c>
      <c r="E158" t="s">
        <v>1773</v>
      </c>
      <c r="F158">
        <v>0.9597</v>
      </c>
      <c r="G158">
        <v>0.95569999999999999</v>
      </c>
    </row>
    <row r="159" spans="1:7" hidden="1">
      <c r="A159" t="s">
        <v>381</v>
      </c>
      <c r="B159" t="s">
        <v>1783</v>
      </c>
      <c r="C159">
        <v>11</v>
      </c>
      <c r="D159" t="s">
        <v>1782</v>
      </c>
      <c r="E159" t="s">
        <v>1781</v>
      </c>
      <c r="F159">
        <v>0.99890000000000001</v>
      </c>
      <c r="G159">
        <v>0.99939999999999996</v>
      </c>
    </row>
    <row r="160" spans="1:7" hidden="1">
      <c r="A160" t="s">
        <v>4113</v>
      </c>
      <c r="B160" t="s">
        <v>4355</v>
      </c>
      <c r="C160">
        <v>33</v>
      </c>
      <c r="D160" t="s">
        <v>4006</v>
      </c>
      <c r="E160" t="s">
        <v>4005</v>
      </c>
      <c r="F160">
        <v>1.0043</v>
      </c>
      <c r="G160">
        <v>1.0065999999999999</v>
      </c>
    </row>
    <row r="161" spans="1:7" hidden="1">
      <c r="A161" t="s">
        <v>438</v>
      </c>
      <c r="B161" t="s">
        <v>1787</v>
      </c>
      <c r="C161">
        <v>132</v>
      </c>
      <c r="D161" t="s">
        <v>1786</v>
      </c>
      <c r="E161" t="s">
        <v>1750</v>
      </c>
      <c r="F161">
        <v>1.028</v>
      </c>
      <c r="G161">
        <v>1.0145999999999999</v>
      </c>
    </row>
    <row r="162" spans="1:7" hidden="1">
      <c r="A162" t="s">
        <v>440</v>
      </c>
      <c r="B162" t="s">
        <v>1789</v>
      </c>
      <c r="C162">
        <v>66</v>
      </c>
      <c r="D162" t="s">
        <v>1788</v>
      </c>
      <c r="E162" t="s">
        <v>1706</v>
      </c>
      <c r="F162">
        <v>1.0339</v>
      </c>
      <c r="G162">
        <v>1.0392999999999999</v>
      </c>
    </row>
    <row r="163" spans="1:7" hidden="1">
      <c r="A163" t="s">
        <v>448</v>
      </c>
      <c r="B163" t="s">
        <v>1791</v>
      </c>
      <c r="C163">
        <v>66</v>
      </c>
      <c r="D163" t="s">
        <v>1790</v>
      </c>
      <c r="E163" t="s">
        <v>1790</v>
      </c>
      <c r="F163">
        <v>0.99060000000000004</v>
      </c>
      <c r="G163">
        <v>0.98299999999999998</v>
      </c>
    </row>
    <row r="164" spans="1:7" hidden="1">
      <c r="A164" t="s">
        <v>409</v>
      </c>
      <c r="B164" t="s">
        <v>1797</v>
      </c>
      <c r="C164">
        <v>33</v>
      </c>
      <c r="D164" t="s">
        <v>1796</v>
      </c>
      <c r="E164" t="s">
        <v>1795</v>
      </c>
      <c r="F164">
        <v>0.95909999999999995</v>
      </c>
      <c r="G164">
        <v>0.95679999999999998</v>
      </c>
    </row>
    <row r="165" spans="1:7" hidden="1">
      <c r="A165" t="s">
        <v>425</v>
      </c>
      <c r="B165" t="s">
        <v>1799</v>
      </c>
      <c r="C165">
        <v>132</v>
      </c>
      <c r="D165" t="s">
        <v>1798</v>
      </c>
      <c r="E165" t="s">
        <v>1743</v>
      </c>
      <c r="F165">
        <v>1.002</v>
      </c>
      <c r="G165">
        <v>1.0014000000000001</v>
      </c>
    </row>
    <row r="166" spans="1:7" hidden="1">
      <c r="A166" t="s">
        <v>486</v>
      </c>
      <c r="B166" t="s">
        <v>1804</v>
      </c>
      <c r="C166">
        <v>132</v>
      </c>
      <c r="D166" t="s">
        <v>1803</v>
      </c>
      <c r="E166" t="s">
        <v>1800</v>
      </c>
      <c r="F166">
        <v>1.0052000000000001</v>
      </c>
      <c r="G166">
        <v>1.0043</v>
      </c>
    </row>
    <row r="167" spans="1:7" hidden="1">
      <c r="A167" t="s">
        <v>547</v>
      </c>
      <c r="B167" t="s">
        <v>1807</v>
      </c>
      <c r="C167">
        <v>132</v>
      </c>
      <c r="D167" t="s">
        <v>1806</v>
      </c>
      <c r="E167" t="s">
        <v>1805</v>
      </c>
      <c r="F167">
        <v>1.0087999999999999</v>
      </c>
      <c r="G167">
        <v>1.0095000000000001</v>
      </c>
    </row>
    <row r="168" spans="1:7" hidden="1">
      <c r="A168" t="s">
        <v>1183</v>
      </c>
      <c r="B168" t="s">
        <v>4011</v>
      </c>
      <c r="C168">
        <v>132</v>
      </c>
      <c r="D168" t="s">
        <v>4010</v>
      </c>
      <c r="E168" t="s">
        <v>4009</v>
      </c>
      <c r="F168">
        <v>0.95709999999999995</v>
      </c>
      <c r="G168">
        <v>0.95350000000000001</v>
      </c>
    </row>
    <row r="169" spans="1:7" hidden="1">
      <c r="A169" t="s">
        <v>625</v>
      </c>
      <c r="B169" t="s">
        <v>4012</v>
      </c>
      <c r="C169">
        <v>132</v>
      </c>
      <c r="D169" t="s">
        <v>1810</v>
      </c>
      <c r="E169" t="s">
        <v>1768</v>
      </c>
      <c r="F169">
        <v>1.0021</v>
      </c>
      <c r="G169">
        <v>1.004</v>
      </c>
    </row>
    <row r="170" spans="1:7" hidden="1">
      <c r="A170" t="s">
        <v>643</v>
      </c>
      <c r="B170" t="s">
        <v>1813</v>
      </c>
      <c r="C170">
        <v>33</v>
      </c>
      <c r="D170" t="s">
        <v>1812</v>
      </c>
      <c r="E170" t="s">
        <v>1811</v>
      </c>
      <c r="F170">
        <v>1.0121</v>
      </c>
      <c r="G170">
        <v>1.0109999999999999</v>
      </c>
    </row>
    <row r="171" spans="1:7" hidden="1">
      <c r="A171" t="s">
        <v>654</v>
      </c>
      <c r="B171" t="s">
        <v>1816</v>
      </c>
      <c r="C171">
        <v>132</v>
      </c>
      <c r="D171" t="s">
        <v>1815</v>
      </c>
      <c r="E171" t="s">
        <v>1814</v>
      </c>
      <c r="F171">
        <v>0.99460000000000004</v>
      </c>
      <c r="G171">
        <v>0.99619999999999997</v>
      </c>
    </row>
    <row r="172" spans="1:7" hidden="1">
      <c r="A172" t="s">
        <v>669</v>
      </c>
      <c r="B172" t="s">
        <v>670</v>
      </c>
      <c r="C172">
        <v>132</v>
      </c>
      <c r="D172" t="s">
        <v>1820</v>
      </c>
      <c r="E172" t="s">
        <v>1744</v>
      </c>
      <c r="F172">
        <v>0.99319999999999997</v>
      </c>
      <c r="G172">
        <v>0.99470000000000003</v>
      </c>
    </row>
    <row r="173" spans="1:7" hidden="1">
      <c r="A173" t="s">
        <v>174</v>
      </c>
      <c r="B173" t="s">
        <v>1826</v>
      </c>
      <c r="C173">
        <v>132</v>
      </c>
      <c r="D173" t="s">
        <v>1825</v>
      </c>
      <c r="E173" t="s">
        <v>1824</v>
      </c>
      <c r="F173">
        <v>1.0007999999999999</v>
      </c>
      <c r="G173">
        <v>0.99719999999999998</v>
      </c>
    </row>
    <row r="174" spans="1:7" hidden="1">
      <c r="A174" t="s">
        <v>733</v>
      </c>
      <c r="B174" t="s">
        <v>1828</v>
      </c>
      <c r="C174">
        <v>132</v>
      </c>
      <c r="D174" t="s">
        <v>1827</v>
      </c>
      <c r="E174" t="s">
        <v>1824</v>
      </c>
      <c r="F174">
        <v>1.0007999999999999</v>
      </c>
      <c r="G174">
        <v>0.99719999999999998</v>
      </c>
    </row>
    <row r="175" spans="1:7" hidden="1">
      <c r="A175" t="s">
        <v>729</v>
      </c>
      <c r="B175" t="s">
        <v>1835</v>
      </c>
      <c r="C175">
        <v>132</v>
      </c>
      <c r="D175" t="s">
        <v>1834</v>
      </c>
      <c r="E175" t="s">
        <v>1817</v>
      </c>
      <c r="F175">
        <v>0.99160000000000004</v>
      </c>
      <c r="G175">
        <v>0.98670000000000002</v>
      </c>
    </row>
    <row r="176" spans="1:7" hidden="1">
      <c r="A176" t="s">
        <v>764</v>
      </c>
      <c r="B176" t="s">
        <v>1839</v>
      </c>
      <c r="C176">
        <v>66</v>
      </c>
      <c r="D176" t="s">
        <v>1838</v>
      </c>
      <c r="E176" t="s">
        <v>1837</v>
      </c>
      <c r="F176">
        <v>1.0336000000000001</v>
      </c>
      <c r="G176">
        <v>1.0241</v>
      </c>
    </row>
    <row r="177" spans="1:7" hidden="1">
      <c r="A177" t="s">
        <v>766</v>
      </c>
      <c r="B177" t="s">
        <v>1841</v>
      </c>
      <c r="C177">
        <v>66</v>
      </c>
      <c r="D177" t="s">
        <v>1840</v>
      </c>
      <c r="E177" t="s">
        <v>1837</v>
      </c>
      <c r="F177">
        <v>1.0336000000000001</v>
      </c>
      <c r="G177">
        <v>1.0241</v>
      </c>
    </row>
    <row r="178" spans="1:7" hidden="1">
      <c r="A178" t="s">
        <v>2802</v>
      </c>
      <c r="B178" t="s">
        <v>1947</v>
      </c>
      <c r="C178">
        <v>220</v>
      </c>
      <c r="D178" t="s">
        <v>1936</v>
      </c>
      <c r="E178" t="s">
        <v>1935</v>
      </c>
      <c r="F178">
        <v>0.94710000000000005</v>
      </c>
      <c r="G178">
        <v>0.95120000000000005</v>
      </c>
    </row>
    <row r="179" spans="1:7" hidden="1">
      <c r="A179" t="s">
        <v>779</v>
      </c>
      <c r="B179" t="s">
        <v>1941</v>
      </c>
      <c r="C179">
        <v>220</v>
      </c>
      <c r="D179" t="s">
        <v>1940</v>
      </c>
      <c r="E179" t="s">
        <v>1935</v>
      </c>
      <c r="F179">
        <v>0.94710000000000005</v>
      </c>
      <c r="G179">
        <v>0.95120000000000005</v>
      </c>
    </row>
    <row r="180" spans="1:7" hidden="1">
      <c r="A180" t="s">
        <v>780</v>
      </c>
      <c r="B180" t="s">
        <v>1943</v>
      </c>
      <c r="C180">
        <v>220</v>
      </c>
      <c r="D180" t="s">
        <v>1942</v>
      </c>
      <c r="E180" t="s">
        <v>1935</v>
      </c>
      <c r="F180">
        <v>0.94710000000000005</v>
      </c>
      <c r="G180">
        <v>0.95120000000000005</v>
      </c>
    </row>
    <row r="181" spans="1:7" hidden="1">
      <c r="A181" t="s">
        <v>781</v>
      </c>
      <c r="B181" t="s">
        <v>1945</v>
      </c>
      <c r="C181">
        <v>220</v>
      </c>
      <c r="D181" t="s">
        <v>1944</v>
      </c>
      <c r="E181" t="s">
        <v>1935</v>
      </c>
      <c r="F181">
        <v>0.94710000000000005</v>
      </c>
      <c r="G181">
        <v>0.95120000000000005</v>
      </c>
    </row>
    <row r="182" spans="1:7" hidden="1">
      <c r="A182" t="s">
        <v>777</v>
      </c>
      <c r="B182" t="s">
        <v>1939</v>
      </c>
      <c r="C182">
        <v>220</v>
      </c>
      <c r="D182" t="s">
        <v>1938</v>
      </c>
      <c r="E182" t="s">
        <v>1937</v>
      </c>
      <c r="F182">
        <v>0.95820000000000005</v>
      </c>
      <c r="G182">
        <v>0.95609999999999995</v>
      </c>
    </row>
    <row r="183" spans="1:7" hidden="1">
      <c r="A183" t="s">
        <v>1080</v>
      </c>
      <c r="B183" t="s">
        <v>4046</v>
      </c>
      <c r="C183">
        <v>11</v>
      </c>
      <c r="D183" t="s">
        <v>4045</v>
      </c>
      <c r="E183" t="s">
        <v>4044</v>
      </c>
      <c r="F183">
        <v>0.96319999999999995</v>
      </c>
      <c r="G183">
        <v>0.9607</v>
      </c>
    </row>
    <row r="184" spans="1:7" hidden="1">
      <c r="A184" t="s">
        <v>1082</v>
      </c>
      <c r="B184" t="s">
        <v>4048</v>
      </c>
      <c r="C184">
        <v>11</v>
      </c>
      <c r="D184" t="s">
        <v>4047</v>
      </c>
      <c r="E184" t="s">
        <v>4044</v>
      </c>
      <c r="F184">
        <v>0.96319999999999995</v>
      </c>
      <c r="G184">
        <v>0.9607</v>
      </c>
    </row>
    <row r="185" spans="1:7" hidden="1">
      <c r="A185" t="s">
        <v>429</v>
      </c>
      <c r="B185" t="s">
        <v>1861</v>
      </c>
      <c r="C185">
        <v>220</v>
      </c>
      <c r="D185" t="s">
        <v>1860</v>
      </c>
      <c r="E185" t="s">
        <v>1859</v>
      </c>
      <c r="F185">
        <v>0.96589999999999998</v>
      </c>
      <c r="G185">
        <v>0.9617</v>
      </c>
    </row>
    <row r="186" spans="1:7" hidden="1">
      <c r="A186" t="s">
        <v>431</v>
      </c>
      <c r="B186" t="s">
        <v>1863</v>
      </c>
      <c r="C186">
        <v>220</v>
      </c>
      <c r="D186" t="s">
        <v>1862</v>
      </c>
      <c r="E186" t="s">
        <v>1859</v>
      </c>
      <c r="F186">
        <v>0.96589999999999998</v>
      </c>
      <c r="G186">
        <v>0.9617</v>
      </c>
    </row>
    <row r="187" spans="1:7" hidden="1">
      <c r="A187" t="s">
        <v>432</v>
      </c>
      <c r="B187" t="s">
        <v>1865</v>
      </c>
      <c r="C187">
        <v>220</v>
      </c>
      <c r="D187" t="s">
        <v>1864</v>
      </c>
      <c r="E187" t="s">
        <v>1859</v>
      </c>
      <c r="F187">
        <v>0.96589999999999998</v>
      </c>
      <c r="G187">
        <v>0.9617</v>
      </c>
    </row>
    <row r="188" spans="1:7" hidden="1">
      <c r="A188" t="s">
        <v>433</v>
      </c>
      <c r="B188" t="s">
        <v>1867</v>
      </c>
      <c r="C188">
        <v>220</v>
      </c>
      <c r="D188" t="s">
        <v>1866</v>
      </c>
      <c r="E188" t="s">
        <v>1859</v>
      </c>
      <c r="F188">
        <v>0.96589999999999998</v>
      </c>
      <c r="G188">
        <v>0.9617</v>
      </c>
    </row>
    <row r="189" spans="1:7" hidden="1">
      <c r="A189" t="s">
        <v>434</v>
      </c>
      <c r="B189" t="s">
        <v>1869</v>
      </c>
      <c r="C189">
        <v>220</v>
      </c>
      <c r="D189" t="s">
        <v>1868</v>
      </c>
      <c r="E189" t="s">
        <v>1859</v>
      </c>
      <c r="F189">
        <v>0.96589999999999998</v>
      </c>
      <c r="G189">
        <v>0.9617</v>
      </c>
    </row>
    <row r="190" spans="1:7" hidden="1">
      <c r="A190" t="s">
        <v>436</v>
      </c>
      <c r="B190" t="s">
        <v>1871</v>
      </c>
      <c r="C190">
        <v>220</v>
      </c>
      <c r="D190" t="s">
        <v>1870</v>
      </c>
      <c r="E190" t="s">
        <v>1859</v>
      </c>
      <c r="F190">
        <v>0.96589999999999998</v>
      </c>
      <c r="G190">
        <v>0.9617</v>
      </c>
    </row>
    <row r="191" spans="1:7" hidden="1">
      <c r="A191" t="s">
        <v>437</v>
      </c>
      <c r="B191" t="s">
        <v>1873</v>
      </c>
      <c r="C191">
        <v>220</v>
      </c>
      <c r="D191" t="s">
        <v>1872</v>
      </c>
      <c r="E191" t="s">
        <v>1859</v>
      </c>
      <c r="F191">
        <v>0.96589999999999998</v>
      </c>
      <c r="G191">
        <v>0.9617</v>
      </c>
    </row>
    <row r="192" spans="1:7" hidden="1">
      <c r="A192" t="s">
        <v>541</v>
      </c>
      <c r="B192" t="s">
        <v>1911</v>
      </c>
      <c r="C192">
        <v>330</v>
      </c>
      <c r="D192" t="s">
        <v>1910</v>
      </c>
      <c r="E192" t="s">
        <v>1721</v>
      </c>
      <c r="F192">
        <v>0.98</v>
      </c>
      <c r="G192">
        <v>0.96279999999999999</v>
      </c>
    </row>
    <row r="193" spans="1:7" hidden="1">
      <c r="A193" t="s">
        <v>3939</v>
      </c>
      <c r="B193" t="s">
        <v>4024</v>
      </c>
      <c r="C193">
        <v>220</v>
      </c>
      <c r="D193" t="s">
        <v>4023</v>
      </c>
      <c r="E193" t="s">
        <v>4022</v>
      </c>
      <c r="F193">
        <v>0.96909999999999996</v>
      </c>
      <c r="G193">
        <v>0.96699999999999997</v>
      </c>
    </row>
    <row r="194" spans="1:7" hidden="1">
      <c r="A194" t="s">
        <v>412</v>
      </c>
      <c r="B194" t="s">
        <v>4026</v>
      </c>
      <c r="C194">
        <v>220</v>
      </c>
      <c r="D194" t="s">
        <v>4025</v>
      </c>
      <c r="E194" t="s">
        <v>4022</v>
      </c>
      <c r="F194">
        <v>0.96909999999999996</v>
      </c>
      <c r="G194">
        <v>0.96699999999999997</v>
      </c>
    </row>
    <row r="195" spans="1:7" hidden="1">
      <c r="A195" t="s">
        <v>414</v>
      </c>
      <c r="B195" t="s">
        <v>4028</v>
      </c>
      <c r="C195">
        <v>220</v>
      </c>
      <c r="D195" t="s">
        <v>4027</v>
      </c>
      <c r="E195" t="s">
        <v>4022</v>
      </c>
      <c r="F195">
        <v>0.96909999999999996</v>
      </c>
      <c r="G195">
        <v>0.96699999999999997</v>
      </c>
    </row>
    <row r="196" spans="1:7" hidden="1">
      <c r="A196" t="s">
        <v>415</v>
      </c>
      <c r="B196" t="s">
        <v>4030</v>
      </c>
      <c r="C196">
        <v>220</v>
      </c>
      <c r="D196" t="s">
        <v>4029</v>
      </c>
      <c r="E196" t="s">
        <v>4022</v>
      </c>
      <c r="F196">
        <v>0.96909999999999996</v>
      </c>
      <c r="G196">
        <v>0.96699999999999997</v>
      </c>
    </row>
    <row r="197" spans="1:7" hidden="1">
      <c r="A197" t="s">
        <v>416</v>
      </c>
      <c r="B197" t="s">
        <v>4032</v>
      </c>
      <c r="C197">
        <v>220</v>
      </c>
      <c r="D197" t="s">
        <v>4031</v>
      </c>
      <c r="E197" t="s">
        <v>4022</v>
      </c>
      <c r="F197">
        <v>0.96909999999999996</v>
      </c>
      <c r="G197">
        <v>0.96699999999999997</v>
      </c>
    </row>
    <row r="198" spans="1:7" hidden="1">
      <c r="A198" t="s">
        <v>417</v>
      </c>
      <c r="B198" t="s">
        <v>4034</v>
      </c>
      <c r="C198">
        <v>220</v>
      </c>
      <c r="D198" t="s">
        <v>4033</v>
      </c>
      <c r="E198" t="s">
        <v>4022</v>
      </c>
      <c r="F198">
        <v>0.96909999999999996</v>
      </c>
      <c r="G198">
        <v>0.96699999999999997</v>
      </c>
    </row>
    <row r="199" spans="1:7" hidden="1">
      <c r="A199" t="s">
        <v>418</v>
      </c>
      <c r="B199" t="s">
        <v>4036</v>
      </c>
      <c r="C199">
        <v>220</v>
      </c>
      <c r="D199" t="s">
        <v>4035</v>
      </c>
      <c r="E199" t="s">
        <v>4022</v>
      </c>
      <c r="F199">
        <v>0.96909999999999996</v>
      </c>
      <c r="G199">
        <v>0.96699999999999997</v>
      </c>
    </row>
    <row r="200" spans="1:7" hidden="1">
      <c r="A200" t="s">
        <v>419</v>
      </c>
      <c r="B200" t="s">
        <v>4038</v>
      </c>
      <c r="C200">
        <v>220</v>
      </c>
      <c r="D200" t="s">
        <v>4037</v>
      </c>
      <c r="E200" t="s">
        <v>4022</v>
      </c>
      <c r="F200">
        <v>0.96909999999999996</v>
      </c>
      <c r="G200">
        <v>0.96699999999999997</v>
      </c>
    </row>
    <row r="201" spans="1:7" hidden="1">
      <c r="A201" t="s">
        <v>420</v>
      </c>
      <c r="B201" t="s">
        <v>4040</v>
      </c>
      <c r="C201">
        <v>220</v>
      </c>
      <c r="D201" t="s">
        <v>4039</v>
      </c>
      <c r="E201" t="s">
        <v>4022</v>
      </c>
      <c r="F201">
        <v>0.96909999999999996</v>
      </c>
      <c r="G201">
        <v>0.96699999999999997</v>
      </c>
    </row>
    <row r="202" spans="1:7" hidden="1">
      <c r="A202" t="s">
        <v>2750</v>
      </c>
      <c r="B202" t="s">
        <v>1883</v>
      </c>
      <c r="C202">
        <v>500</v>
      </c>
      <c r="D202" t="s">
        <v>1882</v>
      </c>
      <c r="E202" t="s">
        <v>1881</v>
      </c>
      <c r="F202">
        <v>0.97150000000000003</v>
      </c>
      <c r="G202">
        <v>0.96960000000000002</v>
      </c>
    </row>
    <row r="203" spans="1:7" hidden="1">
      <c r="A203" t="s">
        <v>489</v>
      </c>
      <c r="B203" t="s">
        <v>1885</v>
      </c>
      <c r="C203">
        <v>500</v>
      </c>
      <c r="D203" t="s">
        <v>1884</v>
      </c>
      <c r="E203" t="s">
        <v>1881</v>
      </c>
      <c r="F203">
        <v>0.97150000000000003</v>
      </c>
      <c r="G203">
        <v>0.96960000000000002</v>
      </c>
    </row>
    <row r="204" spans="1:7" hidden="1">
      <c r="A204" t="s">
        <v>491</v>
      </c>
      <c r="B204" t="s">
        <v>1887</v>
      </c>
      <c r="C204">
        <v>500</v>
      </c>
      <c r="D204" t="s">
        <v>1886</v>
      </c>
      <c r="E204" t="s">
        <v>1881</v>
      </c>
      <c r="F204">
        <v>0.97150000000000003</v>
      </c>
      <c r="G204">
        <v>0.96960000000000002</v>
      </c>
    </row>
    <row r="205" spans="1:7" hidden="1">
      <c r="A205" t="s">
        <v>492</v>
      </c>
      <c r="B205" t="s">
        <v>1889</v>
      </c>
      <c r="C205">
        <v>500</v>
      </c>
      <c r="D205" t="s">
        <v>1888</v>
      </c>
      <c r="E205" t="s">
        <v>1881</v>
      </c>
      <c r="F205">
        <v>0.97150000000000003</v>
      </c>
      <c r="G205">
        <v>0.96960000000000002</v>
      </c>
    </row>
    <row r="206" spans="1:7" hidden="1">
      <c r="A206" t="s">
        <v>493</v>
      </c>
      <c r="B206" t="s">
        <v>1891</v>
      </c>
      <c r="C206">
        <v>500</v>
      </c>
      <c r="D206" t="s">
        <v>1890</v>
      </c>
      <c r="E206" t="s">
        <v>1881</v>
      </c>
      <c r="F206">
        <v>0.97150000000000003</v>
      </c>
      <c r="G206">
        <v>0.96960000000000002</v>
      </c>
    </row>
    <row r="207" spans="1:7" hidden="1">
      <c r="A207" t="s">
        <v>483</v>
      </c>
      <c r="B207" t="s">
        <v>1893</v>
      </c>
      <c r="C207">
        <v>500</v>
      </c>
      <c r="D207" t="s">
        <v>1892</v>
      </c>
      <c r="E207" t="s">
        <v>1881</v>
      </c>
      <c r="F207">
        <v>0.97150000000000003</v>
      </c>
      <c r="G207">
        <v>0.96960000000000002</v>
      </c>
    </row>
    <row r="208" spans="1:7" hidden="1">
      <c r="A208" t="s">
        <v>485</v>
      </c>
      <c r="B208" t="s">
        <v>1895</v>
      </c>
      <c r="C208">
        <v>500</v>
      </c>
      <c r="D208" t="s">
        <v>1894</v>
      </c>
      <c r="E208" t="s">
        <v>1881</v>
      </c>
      <c r="F208">
        <v>0.97150000000000003</v>
      </c>
      <c r="G208">
        <v>0.96960000000000002</v>
      </c>
    </row>
    <row r="209" spans="1:7">
      <c r="A209" t="s">
        <v>713</v>
      </c>
      <c r="B209" t="s">
        <v>4356</v>
      </c>
      <c r="C209">
        <v>500</v>
      </c>
      <c r="D209" t="s">
        <v>4237</v>
      </c>
      <c r="E209" t="s">
        <v>1881</v>
      </c>
      <c r="F209">
        <v>0.97150000000000003</v>
      </c>
      <c r="G209">
        <v>0.96960000000000002</v>
      </c>
    </row>
    <row r="210" spans="1:7" hidden="1">
      <c r="A210" t="s">
        <v>4115</v>
      </c>
      <c r="B210" t="s">
        <v>4050</v>
      </c>
      <c r="C210">
        <v>11</v>
      </c>
      <c r="D210" t="s">
        <v>4049</v>
      </c>
      <c r="E210" t="s">
        <v>1952</v>
      </c>
      <c r="F210">
        <v>0.97189999999999999</v>
      </c>
      <c r="G210">
        <v>0.97030000000000005</v>
      </c>
    </row>
    <row r="211" spans="1:7" hidden="1">
      <c r="A211" t="s">
        <v>518</v>
      </c>
      <c r="B211" t="s">
        <v>4043</v>
      </c>
      <c r="C211">
        <v>11</v>
      </c>
      <c r="D211" t="s">
        <v>4042</v>
      </c>
      <c r="E211" t="s">
        <v>4041</v>
      </c>
      <c r="F211">
        <v>0.97160000000000002</v>
      </c>
      <c r="G211">
        <v>0.97040000000000004</v>
      </c>
    </row>
    <row r="212" spans="1:7" hidden="1">
      <c r="A212" t="s">
        <v>2708</v>
      </c>
      <c r="B212" t="s">
        <v>4357</v>
      </c>
      <c r="C212">
        <v>500</v>
      </c>
      <c r="D212" t="s">
        <v>1851</v>
      </c>
      <c r="E212" t="s">
        <v>1850</v>
      </c>
      <c r="F212">
        <v>0.97289999999999999</v>
      </c>
      <c r="G212">
        <v>0.97529999999999994</v>
      </c>
    </row>
    <row r="213" spans="1:7" hidden="1">
      <c r="A213" t="s">
        <v>501</v>
      </c>
      <c r="B213" t="s">
        <v>1901</v>
      </c>
      <c r="C213">
        <v>220</v>
      </c>
      <c r="D213" t="s">
        <v>1900</v>
      </c>
      <c r="E213" t="s">
        <v>1899</v>
      </c>
      <c r="F213">
        <v>0.99119999999999997</v>
      </c>
      <c r="G213">
        <v>0.98660000000000003</v>
      </c>
    </row>
    <row r="214" spans="1:7" hidden="1">
      <c r="A214" t="s">
        <v>355</v>
      </c>
      <c r="B214" t="s">
        <v>1856</v>
      </c>
      <c r="C214">
        <v>220</v>
      </c>
      <c r="D214" t="s">
        <v>1855</v>
      </c>
      <c r="E214" t="s">
        <v>1854</v>
      </c>
      <c r="F214">
        <v>0.99639999999999995</v>
      </c>
      <c r="G214">
        <v>0.995</v>
      </c>
    </row>
    <row r="215" spans="1:7" hidden="1">
      <c r="A215" t="s">
        <v>357</v>
      </c>
      <c r="B215" t="s">
        <v>1858</v>
      </c>
      <c r="C215">
        <v>220</v>
      </c>
      <c r="D215" t="s">
        <v>1857</v>
      </c>
      <c r="E215" t="s">
        <v>1854</v>
      </c>
      <c r="F215">
        <v>0.99639999999999995</v>
      </c>
      <c r="G215">
        <v>0.995</v>
      </c>
    </row>
    <row r="216" spans="1:7" hidden="1">
      <c r="A216" t="s">
        <v>549</v>
      </c>
      <c r="B216" t="s">
        <v>1913</v>
      </c>
      <c r="C216">
        <v>220</v>
      </c>
      <c r="D216" t="s">
        <v>1912</v>
      </c>
      <c r="E216" t="s">
        <v>1912</v>
      </c>
      <c r="F216">
        <v>0.99390000000000001</v>
      </c>
      <c r="G216">
        <v>0.995</v>
      </c>
    </row>
    <row r="217" spans="1:7" hidden="1">
      <c r="A217" t="s">
        <v>526</v>
      </c>
      <c r="B217" t="s">
        <v>1904</v>
      </c>
      <c r="C217">
        <v>500</v>
      </c>
      <c r="D217" t="s">
        <v>1903</v>
      </c>
      <c r="E217" t="s">
        <v>1902</v>
      </c>
      <c r="F217">
        <v>0.99770000000000003</v>
      </c>
      <c r="G217">
        <v>0.99750000000000005</v>
      </c>
    </row>
    <row r="218" spans="1:7" hidden="1">
      <c r="A218" t="s">
        <v>528</v>
      </c>
      <c r="B218" t="s">
        <v>1906</v>
      </c>
      <c r="C218">
        <v>500</v>
      </c>
      <c r="D218" t="s">
        <v>1905</v>
      </c>
      <c r="E218" t="s">
        <v>1902</v>
      </c>
      <c r="F218">
        <v>0.99770000000000003</v>
      </c>
      <c r="G218">
        <v>0.99750000000000005</v>
      </c>
    </row>
    <row r="219" spans="1:7" hidden="1">
      <c r="A219" t="s">
        <v>458</v>
      </c>
      <c r="B219" t="s">
        <v>4358</v>
      </c>
      <c r="C219">
        <v>220</v>
      </c>
      <c r="D219" t="s">
        <v>4216</v>
      </c>
      <c r="E219" t="s">
        <v>1876</v>
      </c>
      <c r="F219">
        <v>0.99609999999999999</v>
      </c>
      <c r="G219">
        <v>0.99790000000000001</v>
      </c>
    </row>
    <row r="220" spans="1:7" hidden="1">
      <c r="A220" t="s">
        <v>749</v>
      </c>
      <c r="B220" t="s">
        <v>1932</v>
      </c>
      <c r="C220">
        <v>220</v>
      </c>
      <c r="D220" t="s">
        <v>1931</v>
      </c>
      <c r="E220" t="s">
        <v>1930</v>
      </c>
      <c r="F220">
        <v>1.0073000000000001</v>
      </c>
      <c r="G220">
        <v>1.0103</v>
      </c>
    </row>
    <row r="221" spans="1:7" hidden="1">
      <c r="A221" t="s">
        <v>751</v>
      </c>
      <c r="B221" t="s">
        <v>1934</v>
      </c>
      <c r="C221">
        <v>220</v>
      </c>
      <c r="D221" t="s">
        <v>1933</v>
      </c>
      <c r="E221" t="s">
        <v>1930</v>
      </c>
      <c r="F221">
        <v>1.0073000000000001</v>
      </c>
      <c r="G221">
        <v>1.0103</v>
      </c>
    </row>
    <row r="222" spans="1:7" hidden="1">
      <c r="A222" t="s">
        <v>800</v>
      </c>
      <c r="B222" t="s">
        <v>4359</v>
      </c>
      <c r="C222">
        <v>500</v>
      </c>
      <c r="D222" t="s">
        <v>4224</v>
      </c>
      <c r="E222" t="s">
        <v>4223</v>
      </c>
      <c r="F222">
        <v>1.0064</v>
      </c>
      <c r="G222">
        <v>1.0121</v>
      </c>
    </row>
    <row r="223" spans="1:7" hidden="1">
      <c r="A223" t="s">
        <v>4295</v>
      </c>
      <c r="B223" t="s">
        <v>4360</v>
      </c>
      <c r="C223">
        <v>500</v>
      </c>
      <c r="D223" t="s">
        <v>4226</v>
      </c>
      <c r="E223" t="s">
        <v>4223</v>
      </c>
      <c r="F223">
        <v>1.0064</v>
      </c>
      <c r="G223">
        <v>1.0121</v>
      </c>
    </row>
    <row r="224" spans="1:7" hidden="1">
      <c r="A224" t="s">
        <v>4297</v>
      </c>
      <c r="B224" t="s">
        <v>4361</v>
      </c>
      <c r="C224">
        <v>220</v>
      </c>
      <c r="D224" t="s">
        <v>4231</v>
      </c>
      <c r="E224" t="s">
        <v>4018</v>
      </c>
      <c r="F224">
        <v>1.0114000000000001</v>
      </c>
      <c r="G224">
        <v>1.0121</v>
      </c>
    </row>
    <row r="225" spans="1:7" hidden="1">
      <c r="A225" t="s">
        <v>4298</v>
      </c>
      <c r="B225" t="s">
        <v>4362</v>
      </c>
      <c r="C225">
        <v>220</v>
      </c>
      <c r="D225" t="s">
        <v>4233</v>
      </c>
      <c r="E225" t="s">
        <v>4018</v>
      </c>
      <c r="F225">
        <v>1.0114000000000001</v>
      </c>
      <c r="G225">
        <v>1.0121</v>
      </c>
    </row>
    <row r="226" spans="1:7" hidden="1">
      <c r="A226" t="s">
        <v>4299</v>
      </c>
      <c r="B226" t="s">
        <v>4363</v>
      </c>
      <c r="C226">
        <v>220</v>
      </c>
      <c r="D226" t="s">
        <v>4235</v>
      </c>
      <c r="E226" t="s">
        <v>4018</v>
      </c>
      <c r="F226">
        <v>1.0114000000000001</v>
      </c>
      <c r="G226">
        <v>1.0121</v>
      </c>
    </row>
    <row r="227" spans="1:7" hidden="1">
      <c r="A227" t="s">
        <v>4296</v>
      </c>
      <c r="B227" t="s">
        <v>4229</v>
      </c>
      <c r="C227">
        <v>220</v>
      </c>
      <c r="D227" t="s">
        <v>4228</v>
      </c>
      <c r="E227" t="s">
        <v>4019</v>
      </c>
      <c r="F227">
        <v>1.0114000000000001</v>
      </c>
      <c r="G227">
        <v>1.0121</v>
      </c>
    </row>
    <row r="228" spans="1:7" hidden="1">
      <c r="A228" t="s">
        <v>208</v>
      </c>
      <c r="B228" t="s">
        <v>1849</v>
      </c>
      <c r="C228">
        <v>220</v>
      </c>
      <c r="D228" t="s">
        <v>1848</v>
      </c>
      <c r="E228" t="s">
        <v>1847</v>
      </c>
      <c r="F228">
        <v>1.0270999999999999</v>
      </c>
      <c r="G228">
        <v>1.0150999999999999</v>
      </c>
    </row>
    <row r="229" spans="1:7" hidden="1">
      <c r="A229" t="s">
        <v>342</v>
      </c>
      <c r="B229" t="s">
        <v>1853</v>
      </c>
      <c r="C229">
        <v>220</v>
      </c>
      <c r="D229" t="s">
        <v>1847</v>
      </c>
      <c r="E229" t="s">
        <v>1847</v>
      </c>
      <c r="F229">
        <v>1.0270999999999999</v>
      </c>
      <c r="G229">
        <v>1.0150999999999999</v>
      </c>
    </row>
    <row r="230" spans="1:7" hidden="1">
      <c r="A230" t="s">
        <v>727</v>
      </c>
      <c r="B230" t="s">
        <v>1929</v>
      </c>
      <c r="C230">
        <v>220</v>
      </c>
      <c r="D230" t="s">
        <v>1928</v>
      </c>
      <c r="E230" t="s">
        <v>1927</v>
      </c>
      <c r="F230">
        <v>1.0353000000000001</v>
      </c>
      <c r="G230">
        <v>1.0226</v>
      </c>
    </row>
    <row r="231" spans="1:7" hidden="1">
      <c r="A231" t="s">
        <v>2738</v>
      </c>
      <c r="B231" t="s">
        <v>1875</v>
      </c>
      <c r="C231">
        <v>132</v>
      </c>
      <c r="D231" t="s">
        <v>1874</v>
      </c>
      <c r="E231" t="s">
        <v>1874</v>
      </c>
      <c r="F231">
        <v>1.1097999999999999</v>
      </c>
      <c r="G231">
        <v>1.1322000000000001</v>
      </c>
    </row>
    <row r="232" spans="1:7" hidden="1">
      <c r="A232" t="s">
        <v>191</v>
      </c>
      <c r="B232" t="s">
        <v>4020</v>
      </c>
      <c r="C232">
        <v>220</v>
      </c>
      <c r="D232" t="s">
        <v>4019</v>
      </c>
      <c r="E232" t="s">
        <v>4019</v>
      </c>
      <c r="F232">
        <v>1.0114000000000001</v>
      </c>
      <c r="G232">
        <v>1.0121</v>
      </c>
    </row>
    <row r="233" spans="1:7" hidden="1">
      <c r="A233" t="s">
        <v>236</v>
      </c>
      <c r="B233" t="s">
        <v>4393</v>
      </c>
      <c r="C233">
        <v>66</v>
      </c>
      <c r="D233" t="s">
        <v>1949</v>
      </c>
      <c r="E233" t="s">
        <v>1948</v>
      </c>
      <c r="F233">
        <v>0.96830000000000005</v>
      </c>
      <c r="G233">
        <v>0.96799999999999997</v>
      </c>
    </row>
    <row r="234" spans="1:7" hidden="1">
      <c r="A234" t="s">
        <v>238</v>
      </c>
      <c r="B234" t="s">
        <v>4394</v>
      </c>
      <c r="C234">
        <v>66</v>
      </c>
      <c r="D234" t="s">
        <v>1950</v>
      </c>
      <c r="E234" t="s">
        <v>1948</v>
      </c>
      <c r="F234">
        <v>0.96830000000000005</v>
      </c>
      <c r="G234">
        <v>0.96799999999999997</v>
      </c>
    </row>
    <row r="235" spans="1:7" hidden="1">
      <c r="A235" t="s">
        <v>228</v>
      </c>
      <c r="B235" t="s">
        <v>4364</v>
      </c>
      <c r="C235">
        <v>66</v>
      </c>
      <c r="D235" t="s">
        <v>1954</v>
      </c>
      <c r="E235" t="s">
        <v>1946</v>
      </c>
      <c r="F235">
        <v>1.0339</v>
      </c>
      <c r="G235">
        <v>1.0306</v>
      </c>
    </row>
    <row r="236" spans="1:7" hidden="1">
      <c r="A236" t="s">
        <v>269</v>
      </c>
      <c r="B236" t="s">
        <v>4365</v>
      </c>
      <c r="C236">
        <v>22</v>
      </c>
      <c r="D236" t="s">
        <v>1956</v>
      </c>
      <c r="E236" t="s">
        <v>1955</v>
      </c>
      <c r="F236">
        <v>1.0052000000000001</v>
      </c>
      <c r="G236">
        <v>1.0074000000000001</v>
      </c>
    </row>
    <row r="237" spans="1:7" hidden="1">
      <c r="A237" t="s">
        <v>324</v>
      </c>
      <c r="B237" t="s">
        <v>1961</v>
      </c>
      <c r="C237">
        <v>66</v>
      </c>
      <c r="D237" t="s">
        <v>1960</v>
      </c>
      <c r="E237" t="s">
        <v>1914</v>
      </c>
      <c r="F237">
        <v>1.0421</v>
      </c>
      <c r="G237">
        <v>1.0356000000000001</v>
      </c>
    </row>
    <row r="238" spans="1:7" hidden="1">
      <c r="A238" t="s">
        <v>405</v>
      </c>
      <c r="B238" t="s">
        <v>1970</v>
      </c>
      <c r="C238">
        <v>66</v>
      </c>
      <c r="D238" t="s">
        <v>1969</v>
      </c>
      <c r="E238" t="s">
        <v>1968</v>
      </c>
      <c r="F238">
        <v>0.99229999999999996</v>
      </c>
      <c r="G238">
        <v>0.99170000000000003</v>
      </c>
    </row>
    <row r="239" spans="1:7" hidden="1">
      <c r="A239" t="s">
        <v>2852</v>
      </c>
      <c r="B239" t="s">
        <v>4366</v>
      </c>
      <c r="C239">
        <v>66</v>
      </c>
      <c r="D239" t="s">
        <v>1974</v>
      </c>
      <c r="E239" t="s">
        <v>1974</v>
      </c>
      <c r="F239">
        <v>1.0126999999999999</v>
      </c>
      <c r="G239">
        <v>1.0082</v>
      </c>
    </row>
    <row r="240" spans="1:7" hidden="1">
      <c r="A240" t="s">
        <v>479</v>
      </c>
      <c r="B240" t="s">
        <v>1977</v>
      </c>
      <c r="C240">
        <v>66</v>
      </c>
      <c r="D240" t="s">
        <v>1976</v>
      </c>
      <c r="E240" t="s">
        <v>1952</v>
      </c>
      <c r="F240">
        <v>0.97189999999999999</v>
      </c>
      <c r="G240">
        <v>0.97030000000000005</v>
      </c>
    </row>
    <row r="241" spans="1:7" hidden="1">
      <c r="A241" t="s">
        <v>524</v>
      </c>
      <c r="B241" t="s">
        <v>4060</v>
      </c>
      <c r="C241">
        <v>66</v>
      </c>
      <c r="D241" t="s">
        <v>4059</v>
      </c>
      <c r="E241" t="s">
        <v>4058</v>
      </c>
      <c r="F241">
        <v>0.99180000000000001</v>
      </c>
      <c r="G241">
        <v>0.99250000000000005</v>
      </c>
    </row>
    <row r="242" spans="1:7" hidden="1">
      <c r="A242" t="s">
        <v>182</v>
      </c>
      <c r="B242" t="s">
        <v>4367</v>
      </c>
      <c r="C242">
        <v>66</v>
      </c>
      <c r="D242" t="s">
        <v>1986</v>
      </c>
      <c r="E242" t="s">
        <v>1985</v>
      </c>
      <c r="F242">
        <v>0.99429999999999996</v>
      </c>
      <c r="G242">
        <v>0.99390000000000001</v>
      </c>
    </row>
    <row r="243" spans="1:7" hidden="1">
      <c r="A243" t="s">
        <v>4396</v>
      </c>
      <c r="B243" t="s">
        <v>4395</v>
      </c>
      <c r="C243">
        <v>66</v>
      </c>
      <c r="D243" t="s">
        <v>4369</v>
      </c>
      <c r="E243" t="s">
        <v>4368</v>
      </c>
      <c r="F243">
        <v>1.0009999999999999</v>
      </c>
      <c r="G243">
        <v>1.0025999999999999</v>
      </c>
    </row>
    <row r="244" spans="1:7" hidden="1">
      <c r="A244" t="s">
        <v>4397</v>
      </c>
      <c r="B244" t="s">
        <v>4372</v>
      </c>
      <c r="C244">
        <v>66</v>
      </c>
      <c r="D244" t="s">
        <v>4371</v>
      </c>
      <c r="E244" t="s">
        <v>4370</v>
      </c>
      <c r="F244">
        <v>1.0023</v>
      </c>
      <c r="G244">
        <v>1.0036</v>
      </c>
    </row>
    <row r="245" spans="1:7" hidden="1">
      <c r="A245" t="s">
        <v>681</v>
      </c>
      <c r="B245" t="s">
        <v>4373</v>
      </c>
      <c r="C245">
        <v>66</v>
      </c>
      <c r="D245" t="s">
        <v>1992</v>
      </c>
      <c r="E245" t="s">
        <v>1952</v>
      </c>
      <c r="F245">
        <v>0.97189999999999999</v>
      </c>
      <c r="G245">
        <v>0.97030000000000005</v>
      </c>
    </row>
    <row r="246" spans="1:7" hidden="1">
      <c r="A246" t="s">
        <v>754</v>
      </c>
      <c r="B246" t="s">
        <v>2000</v>
      </c>
      <c r="C246">
        <v>22</v>
      </c>
      <c r="D246" t="s">
        <v>1999</v>
      </c>
      <c r="E246" t="s">
        <v>1952</v>
      </c>
      <c r="F246">
        <v>0.97189999999999999</v>
      </c>
      <c r="G246">
        <v>0.97030000000000005</v>
      </c>
    </row>
    <row r="247" spans="1:7" hidden="1">
      <c r="A247" t="s">
        <v>768</v>
      </c>
      <c r="B247" t="s">
        <v>4066</v>
      </c>
      <c r="C247">
        <v>66</v>
      </c>
      <c r="D247" t="s">
        <v>4065</v>
      </c>
      <c r="E247" t="s">
        <v>4064</v>
      </c>
      <c r="F247">
        <v>1.0016</v>
      </c>
      <c r="G247">
        <v>1.0081</v>
      </c>
    </row>
    <row r="248" spans="1:7" hidden="1">
      <c r="A248" t="s">
        <v>773</v>
      </c>
      <c r="B248" t="s">
        <v>774</v>
      </c>
      <c r="C248">
        <v>66</v>
      </c>
      <c r="D248" t="s">
        <v>2001</v>
      </c>
      <c r="E248" t="s">
        <v>1914</v>
      </c>
      <c r="F248">
        <v>1.0421</v>
      </c>
      <c r="G248">
        <v>1.0356000000000001</v>
      </c>
    </row>
    <row r="249" spans="1:7" hidden="1">
      <c r="A249" t="s">
        <v>297</v>
      </c>
      <c r="B249" t="s">
        <v>2004</v>
      </c>
      <c r="C249">
        <v>132</v>
      </c>
      <c r="D249" t="s">
        <v>2003</v>
      </c>
      <c r="E249" t="s">
        <v>2003</v>
      </c>
      <c r="F249">
        <v>0.88270000000000004</v>
      </c>
      <c r="G249">
        <v>0.8982</v>
      </c>
    </row>
    <row r="250" spans="1:7" hidden="1">
      <c r="A250" t="s">
        <v>316</v>
      </c>
      <c r="B250" t="s">
        <v>2007</v>
      </c>
      <c r="C250">
        <v>132</v>
      </c>
      <c r="D250" t="s">
        <v>2006</v>
      </c>
      <c r="E250" t="s">
        <v>2005</v>
      </c>
      <c r="F250">
        <v>0.96440000000000003</v>
      </c>
      <c r="G250">
        <v>0.95899999999999996</v>
      </c>
    </row>
    <row r="251" spans="1:7" hidden="1">
      <c r="A251" t="s">
        <v>347</v>
      </c>
      <c r="B251" t="s">
        <v>2010</v>
      </c>
      <c r="C251">
        <v>66</v>
      </c>
      <c r="D251" t="s">
        <v>2009</v>
      </c>
      <c r="E251" t="s">
        <v>2008</v>
      </c>
      <c r="F251">
        <v>1.0072000000000001</v>
      </c>
      <c r="G251">
        <v>1.0066999999999999</v>
      </c>
    </row>
    <row r="252" spans="1:7" hidden="1">
      <c r="A252" t="s">
        <v>349</v>
      </c>
      <c r="B252" t="s">
        <v>2012</v>
      </c>
      <c r="C252">
        <v>66</v>
      </c>
      <c r="D252" t="s">
        <v>2011</v>
      </c>
      <c r="E252" t="s">
        <v>2008</v>
      </c>
      <c r="F252">
        <v>1.0072000000000001</v>
      </c>
      <c r="G252">
        <v>1.0066999999999999</v>
      </c>
    </row>
    <row r="253" spans="1:7" hidden="1">
      <c r="A253" t="s">
        <v>350</v>
      </c>
      <c r="B253" t="s">
        <v>2014</v>
      </c>
      <c r="C253">
        <v>66</v>
      </c>
      <c r="D253" t="s">
        <v>2013</v>
      </c>
      <c r="E253" t="s">
        <v>2008</v>
      </c>
      <c r="F253">
        <v>1.0072000000000001</v>
      </c>
      <c r="G253">
        <v>1.0066999999999999</v>
      </c>
    </row>
    <row r="254" spans="1:7" hidden="1">
      <c r="A254" t="s">
        <v>397</v>
      </c>
      <c r="B254" t="s">
        <v>4374</v>
      </c>
      <c r="C254">
        <v>275</v>
      </c>
      <c r="D254" t="s">
        <v>2018</v>
      </c>
      <c r="E254" t="s">
        <v>2015</v>
      </c>
      <c r="F254">
        <v>0.97460000000000002</v>
      </c>
      <c r="G254">
        <v>0.97219999999999995</v>
      </c>
    </row>
    <row r="255" spans="1:7" hidden="1">
      <c r="A255" t="s">
        <v>399</v>
      </c>
      <c r="B255" t="s">
        <v>4375</v>
      </c>
      <c r="C255">
        <v>275</v>
      </c>
      <c r="D255" t="s">
        <v>2020</v>
      </c>
      <c r="E255" t="s">
        <v>2019</v>
      </c>
      <c r="F255">
        <v>0.97629999999999995</v>
      </c>
      <c r="G255">
        <v>0.9758</v>
      </c>
    </row>
    <row r="256" spans="1:7" hidden="1">
      <c r="A256" t="s">
        <v>164</v>
      </c>
      <c r="B256" t="s">
        <v>4069</v>
      </c>
      <c r="C256">
        <v>275</v>
      </c>
      <c r="D256" t="s">
        <v>2016</v>
      </c>
      <c r="E256" t="s">
        <v>2015</v>
      </c>
      <c r="F256">
        <v>0.97460000000000002</v>
      </c>
      <c r="G256">
        <v>0.97219999999999995</v>
      </c>
    </row>
    <row r="257" spans="1:7" hidden="1">
      <c r="A257" t="s">
        <v>455</v>
      </c>
      <c r="B257" t="s">
        <v>2023</v>
      </c>
      <c r="C257">
        <v>132</v>
      </c>
      <c r="D257" t="s">
        <v>2022</v>
      </c>
      <c r="E257" t="s">
        <v>2021</v>
      </c>
      <c r="F257">
        <v>0.97409999999999997</v>
      </c>
      <c r="G257">
        <v>0.996</v>
      </c>
    </row>
    <row r="258" spans="1:7" hidden="1">
      <c r="A258" t="s">
        <v>457</v>
      </c>
      <c r="B258" t="s">
        <v>2025</v>
      </c>
      <c r="C258">
        <v>132</v>
      </c>
      <c r="D258" t="s">
        <v>2024</v>
      </c>
      <c r="E258" t="s">
        <v>2021</v>
      </c>
      <c r="F258">
        <v>0.97409999999999997</v>
      </c>
      <c r="G258">
        <v>0.996</v>
      </c>
    </row>
    <row r="259" spans="1:7" hidden="1">
      <c r="A259" t="s">
        <v>471</v>
      </c>
      <c r="B259" t="s">
        <v>2028</v>
      </c>
      <c r="C259">
        <v>33</v>
      </c>
      <c r="D259" t="s">
        <v>2027</v>
      </c>
      <c r="E259" t="s">
        <v>2026</v>
      </c>
      <c r="F259">
        <v>0.93879999999999997</v>
      </c>
      <c r="G259">
        <v>0.98680000000000001</v>
      </c>
    </row>
    <row r="260" spans="1:7" hidden="1">
      <c r="A260" t="s">
        <v>473</v>
      </c>
      <c r="B260" t="s">
        <v>2030</v>
      </c>
      <c r="C260">
        <v>33</v>
      </c>
      <c r="D260" t="s">
        <v>2029</v>
      </c>
      <c r="E260" t="s">
        <v>2026</v>
      </c>
      <c r="F260">
        <v>0.93879999999999997</v>
      </c>
      <c r="G260">
        <v>0.98680000000000001</v>
      </c>
    </row>
    <row r="261" spans="1:7" hidden="1">
      <c r="A261" t="s">
        <v>475</v>
      </c>
      <c r="B261" t="s">
        <v>2032</v>
      </c>
      <c r="C261">
        <v>33</v>
      </c>
      <c r="D261" t="s">
        <v>2031</v>
      </c>
      <c r="E261" t="s">
        <v>2026</v>
      </c>
      <c r="F261">
        <v>0.93879999999999997</v>
      </c>
      <c r="G261">
        <v>0.98680000000000001</v>
      </c>
    </row>
    <row r="262" spans="1:7" hidden="1">
      <c r="A262" t="s">
        <v>4116</v>
      </c>
      <c r="B262" t="s">
        <v>4073</v>
      </c>
      <c r="C262">
        <v>33</v>
      </c>
      <c r="D262" t="s">
        <v>4072</v>
      </c>
      <c r="E262" t="s">
        <v>4071</v>
      </c>
      <c r="F262">
        <v>1.0099</v>
      </c>
      <c r="G262">
        <v>1.0022</v>
      </c>
    </row>
    <row r="263" spans="1:7" hidden="1">
      <c r="A263" t="s">
        <v>511</v>
      </c>
      <c r="B263" t="s">
        <v>2034</v>
      </c>
      <c r="C263">
        <v>132</v>
      </c>
      <c r="D263" t="s">
        <v>2033</v>
      </c>
      <c r="E263" t="s">
        <v>2033</v>
      </c>
      <c r="F263">
        <v>0.9819</v>
      </c>
      <c r="G263">
        <v>0.97309999999999997</v>
      </c>
    </row>
    <row r="264" spans="1:7" hidden="1">
      <c r="A264" t="s">
        <v>539</v>
      </c>
      <c r="B264" t="s">
        <v>2037</v>
      </c>
      <c r="C264">
        <v>33</v>
      </c>
      <c r="D264" t="s">
        <v>2036</v>
      </c>
      <c r="E264" t="s">
        <v>2035</v>
      </c>
      <c r="F264">
        <v>0.89729999999999999</v>
      </c>
      <c r="G264">
        <v>0.9425</v>
      </c>
    </row>
    <row r="265" spans="1:7" hidden="1">
      <c r="A265" t="s">
        <v>545</v>
      </c>
      <c r="B265" t="s">
        <v>2040</v>
      </c>
      <c r="C265">
        <v>275</v>
      </c>
      <c r="D265" t="s">
        <v>2039</v>
      </c>
      <c r="E265" t="s">
        <v>2038</v>
      </c>
      <c r="F265">
        <v>0.96589999999999998</v>
      </c>
      <c r="G265">
        <v>0.97629999999999995</v>
      </c>
    </row>
    <row r="266" spans="1:7" hidden="1">
      <c r="A266" t="s">
        <v>551</v>
      </c>
      <c r="B266" t="s">
        <v>4076</v>
      </c>
      <c r="C266">
        <v>275</v>
      </c>
      <c r="D266" t="s">
        <v>4075</v>
      </c>
      <c r="E266" t="s">
        <v>4074</v>
      </c>
      <c r="F266">
        <v>0.96550000000000002</v>
      </c>
      <c r="G266">
        <v>0.96009999999999995</v>
      </c>
    </row>
    <row r="267" spans="1:7" hidden="1">
      <c r="A267" t="s">
        <v>553</v>
      </c>
      <c r="B267" t="s">
        <v>4078</v>
      </c>
      <c r="C267">
        <v>275</v>
      </c>
      <c r="D267" t="s">
        <v>4077</v>
      </c>
      <c r="E267" t="s">
        <v>4074</v>
      </c>
      <c r="F267">
        <v>0.96550000000000002</v>
      </c>
      <c r="G267">
        <v>0.96009999999999995</v>
      </c>
    </row>
    <row r="268" spans="1:7" hidden="1">
      <c r="A268" t="s">
        <v>561</v>
      </c>
      <c r="B268" t="s">
        <v>2043</v>
      </c>
      <c r="C268">
        <v>66</v>
      </c>
      <c r="D268" t="s">
        <v>2042</v>
      </c>
      <c r="E268" t="s">
        <v>2041</v>
      </c>
      <c r="F268">
        <v>0.99980000000000002</v>
      </c>
      <c r="G268">
        <v>1.0003</v>
      </c>
    </row>
    <row r="269" spans="1:7" hidden="1">
      <c r="A269" t="s">
        <v>581</v>
      </c>
      <c r="B269" t="s">
        <v>2045</v>
      </c>
      <c r="C269">
        <v>275</v>
      </c>
      <c r="D269" t="s">
        <v>2044</v>
      </c>
      <c r="E269" t="s">
        <v>2044</v>
      </c>
      <c r="F269">
        <v>0.99880000000000002</v>
      </c>
      <c r="G269">
        <v>0.99950000000000006</v>
      </c>
    </row>
    <row r="270" spans="1:7" hidden="1">
      <c r="A270" t="s">
        <v>4117</v>
      </c>
      <c r="B270" t="s">
        <v>4081</v>
      </c>
      <c r="C270">
        <v>33</v>
      </c>
      <c r="D270" t="s">
        <v>4080</v>
      </c>
      <c r="E270" t="s">
        <v>4079</v>
      </c>
      <c r="F270">
        <v>0.96970000000000001</v>
      </c>
      <c r="G270">
        <v>0.96440000000000003</v>
      </c>
    </row>
    <row r="271" spans="1:7" hidden="1">
      <c r="A271" t="s">
        <v>818</v>
      </c>
      <c r="B271" t="s">
        <v>4084</v>
      </c>
      <c r="C271">
        <v>275</v>
      </c>
      <c r="D271" t="s">
        <v>4083</v>
      </c>
      <c r="E271" t="s">
        <v>4082</v>
      </c>
      <c r="F271">
        <v>0.9677</v>
      </c>
      <c r="G271">
        <v>0.96440000000000003</v>
      </c>
    </row>
    <row r="272" spans="1:7" hidden="1">
      <c r="A272" t="s">
        <v>576</v>
      </c>
      <c r="B272" t="s">
        <v>2048</v>
      </c>
      <c r="C272">
        <v>33</v>
      </c>
      <c r="D272" t="s">
        <v>2047</v>
      </c>
      <c r="E272" t="s">
        <v>2046</v>
      </c>
      <c r="F272">
        <v>0.86329999999999996</v>
      </c>
      <c r="G272">
        <v>0.89329999999999998</v>
      </c>
    </row>
    <row r="273" spans="1:7" hidden="1">
      <c r="A273" t="s">
        <v>574</v>
      </c>
      <c r="B273" t="s">
        <v>2051</v>
      </c>
      <c r="C273">
        <v>132</v>
      </c>
      <c r="D273" t="s">
        <v>2050</v>
      </c>
      <c r="E273" t="s">
        <v>2049</v>
      </c>
      <c r="F273">
        <v>0.86539999999999995</v>
      </c>
      <c r="G273">
        <v>0.88560000000000005</v>
      </c>
    </row>
    <row r="274" spans="1:7" hidden="1">
      <c r="A274" t="s">
        <v>590</v>
      </c>
      <c r="B274" t="s">
        <v>2054</v>
      </c>
      <c r="C274">
        <v>66</v>
      </c>
      <c r="D274" t="s">
        <v>2053</v>
      </c>
      <c r="E274" t="s">
        <v>2052</v>
      </c>
      <c r="F274">
        <v>1</v>
      </c>
      <c r="G274">
        <v>1</v>
      </c>
    </row>
    <row r="275" spans="1:7" hidden="1">
      <c r="A275" t="s">
        <v>592</v>
      </c>
      <c r="B275" t="s">
        <v>2056</v>
      </c>
      <c r="C275">
        <v>66</v>
      </c>
      <c r="D275" t="s">
        <v>2055</v>
      </c>
      <c r="E275" t="s">
        <v>2052</v>
      </c>
      <c r="F275">
        <v>1</v>
      </c>
      <c r="G275">
        <v>1</v>
      </c>
    </row>
    <row r="276" spans="1:7" hidden="1">
      <c r="A276" t="s">
        <v>593</v>
      </c>
      <c r="B276" t="s">
        <v>2058</v>
      </c>
      <c r="C276">
        <v>66</v>
      </c>
      <c r="D276" t="s">
        <v>2057</v>
      </c>
      <c r="E276" t="s">
        <v>2052</v>
      </c>
      <c r="F276">
        <v>1</v>
      </c>
      <c r="G276">
        <v>1</v>
      </c>
    </row>
    <row r="277" spans="1:7" hidden="1">
      <c r="A277" t="s">
        <v>594</v>
      </c>
      <c r="B277" t="s">
        <v>2060</v>
      </c>
      <c r="C277">
        <v>66</v>
      </c>
      <c r="D277" t="s">
        <v>2059</v>
      </c>
      <c r="E277" t="s">
        <v>2052</v>
      </c>
      <c r="F277">
        <v>1</v>
      </c>
      <c r="G277">
        <v>1</v>
      </c>
    </row>
    <row r="278" spans="1:7" hidden="1">
      <c r="A278" t="s">
        <v>595</v>
      </c>
      <c r="B278" t="s">
        <v>2062</v>
      </c>
      <c r="C278">
        <v>66</v>
      </c>
      <c r="D278" t="s">
        <v>2061</v>
      </c>
      <c r="E278" t="s">
        <v>2052</v>
      </c>
      <c r="F278">
        <v>1</v>
      </c>
      <c r="G278">
        <v>1</v>
      </c>
    </row>
    <row r="279" spans="1:7" hidden="1">
      <c r="A279" t="s">
        <v>631</v>
      </c>
      <c r="B279" t="s">
        <v>2068</v>
      </c>
      <c r="C279">
        <v>33</v>
      </c>
      <c r="D279" t="s">
        <v>2067</v>
      </c>
      <c r="E279" t="s">
        <v>2066</v>
      </c>
      <c r="F279">
        <v>0.92830000000000001</v>
      </c>
      <c r="G279">
        <v>0.9163</v>
      </c>
    </row>
    <row r="280" spans="1:7" hidden="1">
      <c r="A280" t="s">
        <v>634</v>
      </c>
      <c r="B280" t="s">
        <v>4376</v>
      </c>
      <c r="C280">
        <v>132</v>
      </c>
      <c r="D280" t="s">
        <v>2070</v>
      </c>
      <c r="E280" t="s">
        <v>2069</v>
      </c>
      <c r="F280">
        <v>0.94969999999999999</v>
      </c>
      <c r="G280">
        <v>0.94320000000000004</v>
      </c>
    </row>
    <row r="281" spans="1:7" hidden="1">
      <c r="A281" t="s">
        <v>4300</v>
      </c>
      <c r="B281" t="s">
        <v>4377</v>
      </c>
      <c r="C281">
        <v>132</v>
      </c>
      <c r="D281" t="s">
        <v>4267</v>
      </c>
      <c r="E281" t="s">
        <v>2069</v>
      </c>
      <c r="F281">
        <v>0.94969999999999999</v>
      </c>
      <c r="G281">
        <v>0.94320000000000004</v>
      </c>
    </row>
    <row r="282" spans="1:7" hidden="1">
      <c r="A282" t="s">
        <v>4301</v>
      </c>
      <c r="B282" t="s">
        <v>4378</v>
      </c>
      <c r="C282">
        <v>132</v>
      </c>
      <c r="D282" t="s">
        <v>4269</v>
      </c>
      <c r="E282" t="s">
        <v>2069</v>
      </c>
      <c r="F282">
        <v>0.94969999999999999</v>
      </c>
      <c r="G282">
        <v>0.94320000000000004</v>
      </c>
    </row>
    <row r="283" spans="1:7" hidden="1">
      <c r="A283" t="s">
        <v>682</v>
      </c>
      <c r="B283" t="s">
        <v>2075</v>
      </c>
      <c r="C283">
        <v>275</v>
      </c>
      <c r="D283" t="s">
        <v>2074</v>
      </c>
      <c r="E283" t="s">
        <v>2073</v>
      </c>
      <c r="F283">
        <v>0.99980000000000002</v>
      </c>
      <c r="G283">
        <v>1.0006999999999999</v>
      </c>
    </row>
    <row r="284" spans="1:7" hidden="1">
      <c r="A284" t="s">
        <v>684</v>
      </c>
      <c r="B284" t="s">
        <v>2077</v>
      </c>
      <c r="C284">
        <v>275</v>
      </c>
      <c r="D284" t="s">
        <v>2076</v>
      </c>
      <c r="E284" t="s">
        <v>2073</v>
      </c>
      <c r="F284">
        <v>0.99980000000000002</v>
      </c>
      <c r="G284">
        <v>1.0006999999999999</v>
      </c>
    </row>
    <row r="285" spans="1:7" hidden="1">
      <c r="A285" t="s">
        <v>685</v>
      </c>
      <c r="B285" t="s">
        <v>2079</v>
      </c>
      <c r="C285">
        <v>275</v>
      </c>
      <c r="D285" t="s">
        <v>2078</v>
      </c>
      <c r="E285" t="s">
        <v>2073</v>
      </c>
      <c r="F285">
        <v>0.99980000000000002</v>
      </c>
      <c r="G285">
        <v>1.0006999999999999</v>
      </c>
    </row>
    <row r="286" spans="1:7" hidden="1">
      <c r="A286" t="s">
        <v>686</v>
      </c>
      <c r="B286" t="s">
        <v>2081</v>
      </c>
      <c r="C286">
        <v>275</v>
      </c>
      <c r="D286" t="s">
        <v>2080</v>
      </c>
      <c r="E286" t="s">
        <v>2073</v>
      </c>
      <c r="F286">
        <v>0.99980000000000002</v>
      </c>
      <c r="G286">
        <v>1.0006999999999999</v>
      </c>
    </row>
    <row r="287" spans="1:7" hidden="1">
      <c r="A287" t="s">
        <v>687</v>
      </c>
      <c r="B287" t="s">
        <v>2083</v>
      </c>
      <c r="C287">
        <v>275</v>
      </c>
      <c r="D287" t="s">
        <v>2082</v>
      </c>
      <c r="E287" t="s">
        <v>2073</v>
      </c>
      <c r="F287">
        <v>0.99980000000000002</v>
      </c>
      <c r="G287">
        <v>1.0006999999999999</v>
      </c>
    </row>
    <row r="288" spans="1:7" hidden="1">
      <c r="A288" t="s">
        <v>689</v>
      </c>
      <c r="B288" t="s">
        <v>2085</v>
      </c>
      <c r="C288">
        <v>275</v>
      </c>
      <c r="D288" t="s">
        <v>2084</v>
      </c>
      <c r="E288" t="s">
        <v>2073</v>
      </c>
      <c r="F288">
        <v>0.99980000000000002</v>
      </c>
      <c r="G288">
        <v>1.0006999999999999</v>
      </c>
    </row>
    <row r="289" spans="1:7" hidden="1">
      <c r="A289" t="s">
        <v>690</v>
      </c>
      <c r="B289" t="s">
        <v>2087</v>
      </c>
      <c r="C289">
        <v>275</v>
      </c>
      <c r="D289" t="s">
        <v>2086</v>
      </c>
      <c r="E289" t="s">
        <v>2073</v>
      </c>
      <c r="F289">
        <v>0.99980000000000002</v>
      </c>
      <c r="G289">
        <v>1.0006999999999999</v>
      </c>
    </row>
    <row r="290" spans="1:7" hidden="1">
      <c r="A290" t="s">
        <v>691</v>
      </c>
      <c r="B290" t="s">
        <v>2089</v>
      </c>
      <c r="C290">
        <v>275</v>
      </c>
      <c r="D290" t="s">
        <v>2088</v>
      </c>
      <c r="E290" t="s">
        <v>2073</v>
      </c>
      <c r="F290">
        <v>0.99980000000000002</v>
      </c>
      <c r="G290">
        <v>1.0006999999999999</v>
      </c>
    </row>
    <row r="291" spans="1:7" hidden="1">
      <c r="A291" t="s">
        <v>2974</v>
      </c>
      <c r="B291" t="s">
        <v>2092</v>
      </c>
      <c r="C291">
        <v>275</v>
      </c>
      <c r="D291" t="s">
        <v>2091</v>
      </c>
      <c r="E291" t="s">
        <v>2073</v>
      </c>
      <c r="F291">
        <v>0.99980000000000002</v>
      </c>
      <c r="G291">
        <v>1.0006999999999999</v>
      </c>
    </row>
    <row r="292" spans="1:7" hidden="1">
      <c r="A292" t="s">
        <v>725</v>
      </c>
      <c r="B292" t="s">
        <v>2095</v>
      </c>
      <c r="C292">
        <v>132</v>
      </c>
      <c r="D292" t="s">
        <v>2094</v>
      </c>
      <c r="E292" t="s">
        <v>2093</v>
      </c>
      <c r="F292">
        <v>0.97760000000000002</v>
      </c>
      <c r="G292">
        <v>0.97409999999999997</v>
      </c>
    </row>
    <row r="293" spans="1:7" hidden="1">
      <c r="A293" t="s">
        <v>762</v>
      </c>
      <c r="B293" t="s">
        <v>2098</v>
      </c>
      <c r="C293">
        <v>132</v>
      </c>
      <c r="D293" t="s">
        <v>2097</v>
      </c>
      <c r="E293" t="s">
        <v>2096</v>
      </c>
      <c r="F293">
        <v>0.84360000000000002</v>
      </c>
      <c r="G293">
        <v>0.82540000000000002</v>
      </c>
    </row>
    <row r="294" spans="1:7" hidden="1">
      <c r="A294" t="s">
        <v>3960</v>
      </c>
      <c r="B294" t="s">
        <v>4090</v>
      </c>
      <c r="C294">
        <v>11</v>
      </c>
      <c r="D294" t="s">
        <v>4089</v>
      </c>
      <c r="E294" t="s">
        <v>4088</v>
      </c>
      <c r="F294">
        <v>1.014</v>
      </c>
      <c r="G294">
        <v>1.0073000000000001</v>
      </c>
    </row>
    <row r="295" spans="1:7" hidden="1">
      <c r="A295" t="s">
        <v>186</v>
      </c>
      <c r="B295" t="s">
        <v>2101</v>
      </c>
      <c r="C295">
        <v>33</v>
      </c>
      <c r="D295" t="s">
        <v>2100</v>
      </c>
      <c r="E295" t="s">
        <v>2099</v>
      </c>
      <c r="F295">
        <v>0.95050000000000001</v>
      </c>
      <c r="G295">
        <v>0.91690000000000005</v>
      </c>
    </row>
    <row r="296" spans="1:7" hidden="1">
      <c r="A296" t="s">
        <v>189</v>
      </c>
      <c r="B296" t="s">
        <v>2101</v>
      </c>
      <c r="C296">
        <v>33</v>
      </c>
      <c r="D296" t="s">
        <v>4092</v>
      </c>
      <c r="E296" t="s">
        <v>2099</v>
      </c>
      <c r="F296">
        <v>0.95050000000000001</v>
      </c>
      <c r="G296">
        <v>0.91690000000000005</v>
      </c>
    </row>
    <row r="297" spans="1:7" hidden="1">
      <c r="A297" t="s">
        <v>481</v>
      </c>
      <c r="B297" t="s">
        <v>4379</v>
      </c>
      <c r="C297">
        <v>66</v>
      </c>
      <c r="D297" t="s">
        <v>2105</v>
      </c>
      <c r="E297" t="s">
        <v>2104</v>
      </c>
      <c r="F297">
        <v>1.0089999999999999</v>
      </c>
      <c r="G297">
        <v>1.0115000000000001</v>
      </c>
    </row>
    <row r="298" spans="1:7" hidden="1">
      <c r="A298" t="s">
        <v>4119</v>
      </c>
      <c r="B298" t="s">
        <v>4102</v>
      </c>
      <c r="C298">
        <v>66</v>
      </c>
      <c r="D298" t="s">
        <v>2107</v>
      </c>
      <c r="E298" t="s">
        <v>2104</v>
      </c>
      <c r="F298">
        <v>1.0089999999999999</v>
      </c>
      <c r="G298">
        <v>1.0115000000000001</v>
      </c>
    </row>
    <row r="299" spans="1:7" hidden="1">
      <c r="A299" t="s">
        <v>4120</v>
      </c>
      <c r="B299" t="s">
        <v>4104</v>
      </c>
      <c r="C299">
        <v>66</v>
      </c>
      <c r="D299" t="s">
        <v>4103</v>
      </c>
      <c r="E299" t="s">
        <v>2104</v>
      </c>
      <c r="F299">
        <v>1.0089999999999999</v>
      </c>
      <c r="G299">
        <v>1.0115000000000001</v>
      </c>
    </row>
    <row r="300" spans="1:7" hidden="1">
      <c r="A300" t="s">
        <v>641</v>
      </c>
      <c r="B300" t="s">
        <v>2109</v>
      </c>
      <c r="C300">
        <v>66</v>
      </c>
      <c r="D300" t="s">
        <v>2108</v>
      </c>
      <c r="E300" t="s">
        <v>2104</v>
      </c>
      <c r="F300">
        <v>1.0089999999999999</v>
      </c>
      <c r="G300">
        <v>1.0115000000000001</v>
      </c>
    </row>
    <row r="301" spans="1:7" hidden="1">
      <c r="A301" t="s">
        <v>665</v>
      </c>
      <c r="B301" t="s">
        <v>2112</v>
      </c>
      <c r="C301">
        <v>33</v>
      </c>
      <c r="D301" t="s">
        <v>2111</v>
      </c>
      <c r="E301" t="s">
        <v>2110</v>
      </c>
      <c r="F301">
        <v>1.0095000000000001</v>
      </c>
      <c r="G301">
        <v>1.0257000000000001</v>
      </c>
    </row>
    <row r="302" spans="1:7" hidden="1">
      <c r="A302" t="s">
        <v>671</v>
      </c>
      <c r="B302" t="s">
        <v>4276</v>
      </c>
      <c r="C302">
        <v>11</v>
      </c>
      <c r="D302" t="s">
        <v>4107</v>
      </c>
      <c r="E302" t="s">
        <v>4097</v>
      </c>
      <c r="F302">
        <v>1.0037</v>
      </c>
      <c r="G302">
        <v>1.0049999999999999</v>
      </c>
    </row>
    <row r="303" spans="1:7" hidden="1">
      <c r="A303" t="s">
        <v>3013</v>
      </c>
      <c r="B303" t="s">
        <v>2121</v>
      </c>
      <c r="C303">
        <v>220</v>
      </c>
      <c r="D303" t="s">
        <v>2120</v>
      </c>
      <c r="E303" t="s">
        <v>2119</v>
      </c>
      <c r="F303">
        <v>1</v>
      </c>
      <c r="G303">
        <v>1</v>
      </c>
    </row>
    <row r="304" spans="1:7" hidden="1">
      <c r="A304" t="s">
        <v>225</v>
      </c>
      <c r="B304" t="s">
        <v>2124</v>
      </c>
      <c r="C304">
        <v>220</v>
      </c>
      <c r="D304" t="s">
        <v>2123</v>
      </c>
      <c r="E304" t="s">
        <v>2122</v>
      </c>
      <c r="F304">
        <v>0.96179999999999999</v>
      </c>
      <c r="G304">
        <v>0.9516</v>
      </c>
    </row>
    <row r="305" spans="1:7" hidden="1">
      <c r="A305" t="s">
        <v>232</v>
      </c>
      <c r="B305" t="s">
        <v>4109</v>
      </c>
      <c r="C305">
        <v>110</v>
      </c>
      <c r="D305" t="s">
        <v>2126</v>
      </c>
      <c r="E305" t="s">
        <v>2125</v>
      </c>
      <c r="F305">
        <v>0.99960000000000004</v>
      </c>
      <c r="G305">
        <v>0.99790000000000001</v>
      </c>
    </row>
    <row r="306" spans="1:7" hidden="1">
      <c r="A306" t="s">
        <v>234</v>
      </c>
      <c r="B306" t="s">
        <v>4109</v>
      </c>
      <c r="C306">
        <v>110</v>
      </c>
      <c r="D306" t="s">
        <v>2127</v>
      </c>
      <c r="E306" t="s">
        <v>2125</v>
      </c>
      <c r="F306">
        <v>0.99960000000000004</v>
      </c>
      <c r="G306">
        <v>0.99790000000000001</v>
      </c>
    </row>
    <row r="307" spans="1:7" hidden="1">
      <c r="A307" t="s">
        <v>235</v>
      </c>
      <c r="B307" t="s">
        <v>4109</v>
      </c>
      <c r="C307">
        <v>110</v>
      </c>
      <c r="D307" t="s">
        <v>2128</v>
      </c>
      <c r="E307" t="s">
        <v>2125</v>
      </c>
      <c r="F307">
        <v>0.99960000000000004</v>
      </c>
      <c r="G307">
        <v>0.99790000000000001</v>
      </c>
    </row>
    <row r="308" spans="1:7" hidden="1">
      <c r="A308" t="s">
        <v>758</v>
      </c>
      <c r="B308" t="s">
        <v>2131</v>
      </c>
      <c r="C308">
        <v>110</v>
      </c>
      <c r="D308" t="s">
        <v>2130</v>
      </c>
      <c r="E308" t="s">
        <v>2129</v>
      </c>
      <c r="F308">
        <v>0.91749999999999998</v>
      </c>
      <c r="G308">
        <v>0.90720000000000001</v>
      </c>
    </row>
    <row r="309" spans="1:7" hidden="1">
      <c r="A309" t="s">
        <v>276</v>
      </c>
      <c r="B309" t="s">
        <v>2134</v>
      </c>
      <c r="C309">
        <v>110</v>
      </c>
      <c r="D309" t="s">
        <v>2133</v>
      </c>
      <c r="E309" t="s">
        <v>2132</v>
      </c>
      <c r="F309">
        <v>0.96220000000000006</v>
      </c>
      <c r="G309">
        <v>0.97699999999999998</v>
      </c>
    </row>
    <row r="310" spans="1:7" hidden="1">
      <c r="A310" t="s">
        <v>467</v>
      </c>
      <c r="B310" t="s">
        <v>2137</v>
      </c>
      <c r="C310">
        <v>220</v>
      </c>
      <c r="D310" t="s">
        <v>2136</v>
      </c>
      <c r="E310" t="s">
        <v>2135</v>
      </c>
      <c r="F310">
        <v>1.024</v>
      </c>
      <c r="G310">
        <v>1.0203</v>
      </c>
    </row>
    <row r="311" spans="1:7" hidden="1">
      <c r="A311" t="s">
        <v>304</v>
      </c>
      <c r="B311" t="s">
        <v>2140</v>
      </c>
      <c r="C311">
        <v>220</v>
      </c>
      <c r="D311" t="s">
        <v>2139</v>
      </c>
      <c r="E311" t="s">
        <v>2138</v>
      </c>
      <c r="F311">
        <v>0.97670000000000001</v>
      </c>
      <c r="G311">
        <v>0.9698</v>
      </c>
    </row>
    <row r="312" spans="1:7" hidden="1">
      <c r="A312" t="s">
        <v>320</v>
      </c>
      <c r="B312" t="s">
        <v>2143</v>
      </c>
      <c r="C312">
        <v>220</v>
      </c>
      <c r="D312" t="s">
        <v>2142</v>
      </c>
      <c r="E312" t="s">
        <v>2141</v>
      </c>
      <c r="F312">
        <v>1.0283</v>
      </c>
      <c r="G312">
        <v>1.0230999999999999</v>
      </c>
    </row>
    <row r="313" spans="1:7" hidden="1">
      <c r="A313" t="s">
        <v>345</v>
      </c>
      <c r="B313" t="s">
        <v>2146</v>
      </c>
      <c r="C313">
        <v>110</v>
      </c>
      <c r="D313" t="s">
        <v>2145</v>
      </c>
      <c r="E313" t="s">
        <v>2144</v>
      </c>
      <c r="F313">
        <v>0.98040000000000005</v>
      </c>
      <c r="G313">
        <v>0.97350000000000003</v>
      </c>
    </row>
    <row r="314" spans="1:7" hidden="1">
      <c r="A314" t="s">
        <v>366</v>
      </c>
      <c r="B314" t="s">
        <v>2149</v>
      </c>
      <c r="C314">
        <v>220</v>
      </c>
      <c r="D314" t="s">
        <v>2148</v>
      </c>
      <c r="E314" t="s">
        <v>2147</v>
      </c>
      <c r="F314">
        <v>0.97950000000000004</v>
      </c>
      <c r="G314">
        <v>0.97350000000000003</v>
      </c>
    </row>
    <row r="315" spans="1:7" hidden="1">
      <c r="A315" t="s">
        <v>379</v>
      </c>
      <c r="B315" t="s">
        <v>2152</v>
      </c>
      <c r="C315">
        <v>220</v>
      </c>
      <c r="D315" t="s">
        <v>2151</v>
      </c>
      <c r="E315" t="s">
        <v>2150</v>
      </c>
      <c r="F315">
        <v>1.0069999999999999</v>
      </c>
      <c r="G315">
        <v>1.0029999999999999</v>
      </c>
    </row>
    <row r="316" spans="1:7" hidden="1">
      <c r="A316" t="s">
        <v>427</v>
      </c>
      <c r="B316" t="s">
        <v>2155</v>
      </c>
      <c r="C316">
        <v>220</v>
      </c>
      <c r="D316" t="s">
        <v>2154</v>
      </c>
      <c r="E316" t="s">
        <v>2153</v>
      </c>
      <c r="F316">
        <v>0.95609999999999995</v>
      </c>
      <c r="G316">
        <v>0.94479999999999997</v>
      </c>
    </row>
    <row r="317" spans="1:7" hidden="1">
      <c r="A317" t="s">
        <v>469</v>
      </c>
      <c r="B317" t="s">
        <v>2158</v>
      </c>
      <c r="C317">
        <v>110</v>
      </c>
      <c r="D317" t="s">
        <v>2157</v>
      </c>
      <c r="E317" t="s">
        <v>2156</v>
      </c>
      <c r="F317">
        <v>0.99329999999999996</v>
      </c>
      <c r="G317">
        <v>0.97440000000000004</v>
      </c>
    </row>
    <row r="318" spans="1:7" hidden="1">
      <c r="A318" t="s">
        <v>465</v>
      </c>
      <c r="B318" t="s">
        <v>2161</v>
      </c>
      <c r="C318">
        <v>220</v>
      </c>
      <c r="D318" t="s">
        <v>2160</v>
      </c>
      <c r="E318" t="s">
        <v>2159</v>
      </c>
      <c r="F318">
        <v>0.98299999999999998</v>
      </c>
      <c r="G318">
        <v>0.9768</v>
      </c>
    </row>
    <row r="319" spans="1:7" hidden="1">
      <c r="A319" t="s">
        <v>467</v>
      </c>
      <c r="B319" t="s">
        <v>2162</v>
      </c>
      <c r="C319">
        <v>220</v>
      </c>
      <c r="D319" t="s">
        <v>2136</v>
      </c>
      <c r="E319" t="s">
        <v>2135</v>
      </c>
      <c r="F319">
        <v>1.024</v>
      </c>
      <c r="G319">
        <v>1.0203</v>
      </c>
    </row>
    <row r="320" spans="1:7" hidden="1">
      <c r="A320" t="s">
        <v>497</v>
      </c>
      <c r="B320" t="s">
        <v>2165</v>
      </c>
      <c r="C320">
        <v>110</v>
      </c>
      <c r="D320" t="s">
        <v>2164</v>
      </c>
      <c r="E320" t="s">
        <v>2163</v>
      </c>
      <c r="F320">
        <v>0.95189999999999997</v>
      </c>
      <c r="G320">
        <v>0.94099999999999995</v>
      </c>
    </row>
    <row r="321" spans="1:7" hidden="1">
      <c r="A321" t="s">
        <v>505</v>
      </c>
      <c r="B321" t="s">
        <v>2168</v>
      </c>
      <c r="C321">
        <v>110</v>
      </c>
      <c r="D321" t="s">
        <v>2167</v>
      </c>
      <c r="E321" t="s">
        <v>2166</v>
      </c>
      <c r="F321">
        <v>1.0188999999999999</v>
      </c>
      <c r="G321">
        <v>1.0138</v>
      </c>
    </row>
    <row r="322" spans="1:7" hidden="1">
      <c r="A322" t="s">
        <v>563</v>
      </c>
      <c r="B322" t="s">
        <v>2174</v>
      </c>
      <c r="C322">
        <v>110</v>
      </c>
      <c r="D322" t="s">
        <v>2173</v>
      </c>
      <c r="E322" t="s">
        <v>2172</v>
      </c>
      <c r="F322">
        <v>0.98350000000000004</v>
      </c>
      <c r="G322">
        <v>0.97519999999999996</v>
      </c>
    </row>
    <row r="323" spans="1:7" hidden="1">
      <c r="A323" t="s">
        <v>573</v>
      </c>
      <c r="B323" t="s">
        <v>2177</v>
      </c>
      <c r="C323">
        <v>220</v>
      </c>
      <c r="D323" t="s">
        <v>2176</v>
      </c>
      <c r="E323" t="s">
        <v>2175</v>
      </c>
      <c r="F323">
        <v>1.004</v>
      </c>
      <c r="G323">
        <v>1.0071000000000001</v>
      </c>
    </row>
    <row r="324" spans="1:7" hidden="1">
      <c r="A324" t="s">
        <v>571</v>
      </c>
      <c r="B324" t="s">
        <v>2177</v>
      </c>
      <c r="C324">
        <v>110</v>
      </c>
      <c r="D324" t="s">
        <v>2179</v>
      </c>
      <c r="E324" t="s">
        <v>2178</v>
      </c>
      <c r="F324">
        <v>0.99119999999999997</v>
      </c>
      <c r="G324">
        <v>0.99619999999999997</v>
      </c>
    </row>
    <row r="325" spans="1:7" hidden="1">
      <c r="A325" t="s">
        <v>598</v>
      </c>
      <c r="B325" t="s">
        <v>2182</v>
      </c>
      <c r="C325">
        <v>220</v>
      </c>
      <c r="D325" t="s">
        <v>2181</v>
      </c>
      <c r="E325" t="s">
        <v>2180</v>
      </c>
      <c r="F325">
        <v>0.95499999999999996</v>
      </c>
      <c r="G325">
        <v>0.94510000000000005</v>
      </c>
    </row>
    <row r="326" spans="1:7" hidden="1">
      <c r="A326" t="s">
        <v>600</v>
      </c>
      <c r="B326" t="s">
        <v>2185</v>
      </c>
      <c r="C326">
        <v>220</v>
      </c>
      <c r="D326" t="s">
        <v>2184</v>
      </c>
      <c r="E326" t="s">
        <v>2183</v>
      </c>
      <c r="F326">
        <v>0.95389999999999997</v>
      </c>
      <c r="G326">
        <v>0.93959999999999999</v>
      </c>
    </row>
    <row r="327" spans="1:7" hidden="1">
      <c r="A327" t="s">
        <v>603</v>
      </c>
      <c r="B327" t="s">
        <v>2187</v>
      </c>
      <c r="C327">
        <v>220</v>
      </c>
      <c r="D327" t="s">
        <v>2186</v>
      </c>
      <c r="E327" t="s">
        <v>2141</v>
      </c>
      <c r="F327">
        <v>1.0283</v>
      </c>
      <c r="G327">
        <v>1.0230999999999999</v>
      </c>
    </row>
    <row r="328" spans="1:7" hidden="1">
      <c r="A328" t="s">
        <v>610</v>
      </c>
      <c r="B328" t="s">
        <v>2189</v>
      </c>
      <c r="C328">
        <v>220</v>
      </c>
      <c r="D328" t="s">
        <v>2188</v>
      </c>
      <c r="E328" t="s">
        <v>2147</v>
      </c>
      <c r="F328">
        <v>0.97950000000000004</v>
      </c>
      <c r="G328">
        <v>0.97350000000000003</v>
      </c>
    </row>
    <row r="329" spans="1:7" hidden="1">
      <c r="A329" t="s">
        <v>699</v>
      </c>
      <c r="B329" t="s">
        <v>2192</v>
      </c>
      <c r="C329">
        <v>220</v>
      </c>
      <c r="D329" t="s">
        <v>2191</v>
      </c>
      <c r="E329" t="s">
        <v>2190</v>
      </c>
      <c r="F329">
        <v>0.99929999999999997</v>
      </c>
      <c r="G329">
        <v>0.99880000000000002</v>
      </c>
    </row>
    <row r="330" spans="1:7" hidden="1">
      <c r="A330" t="s">
        <v>701</v>
      </c>
      <c r="B330" t="s">
        <v>2194</v>
      </c>
      <c r="C330">
        <v>110</v>
      </c>
      <c r="D330" t="s">
        <v>2193</v>
      </c>
      <c r="E330" t="s">
        <v>2125</v>
      </c>
      <c r="F330">
        <v>0.99960000000000004</v>
      </c>
      <c r="G330">
        <v>0.99790000000000001</v>
      </c>
    </row>
    <row r="331" spans="1:7" hidden="1">
      <c r="A331" t="s">
        <v>663</v>
      </c>
      <c r="B331" t="s">
        <v>2197</v>
      </c>
      <c r="C331">
        <v>110</v>
      </c>
      <c r="D331" t="s">
        <v>2196</v>
      </c>
      <c r="E331" t="s">
        <v>2195</v>
      </c>
      <c r="F331">
        <v>0.97030000000000005</v>
      </c>
      <c r="G331">
        <v>0.98350000000000004</v>
      </c>
    </row>
    <row r="332" spans="1:7" hidden="1">
      <c r="A332" t="s">
        <v>692</v>
      </c>
      <c r="B332" t="s">
        <v>2200</v>
      </c>
      <c r="C332">
        <v>110</v>
      </c>
      <c r="D332" t="s">
        <v>2199</v>
      </c>
      <c r="E332" t="s">
        <v>2198</v>
      </c>
      <c r="F332">
        <v>1.0097</v>
      </c>
      <c r="G332">
        <v>1.0096000000000001</v>
      </c>
    </row>
    <row r="333" spans="1:7" hidden="1">
      <c r="A333" t="s">
        <v>694</v>
      </c>
      <c r="B333" t="s">
        <v>2203</v>
      </c>
      <c r="C333">
        <v>220</v>
      </c>
      <c r="D333" t="s">
        <v>2202</v>
      </c>
      <c r="E333" t="s">
        <v>2201</v>
      </c>
      <c r="F333">
        <v>0.95640000000000003</v>
      </c>
      <c r="G333">
        <v>0.93910000000000005</v>
      </c>
    </row>
    <row r="334" spans="1:7" hidden="1">
      <c r="A334" t="s">
        <v>697</v>
      </c>
      <c r="B334" t="s">
        <v>2206</v>
      </c>
      <c r="C334">
        <v>110</v>
      </c>
      <c r="D334" t="s">
        <v>2205</v>
      </c>
      <c r="E334" t="s">
        <v>2204</v>
      </c>
      <c r="F334">
        <v>0.9617</v>
      </c>
      <c r="G334">
        <v>0.96719999999999995</v>
      </c>
    </row>
    <row r="335" spans="1:7" hidden="1">
      <c r="A335" t="s">
        <v>467</v>
      </c>
      <c r="B335" t="s">
        <v>2207</v>
      </c>
      <c r="C335">
        <v>220</v>
      </c>
      <c r="D335" t="s">
        <v>2136</v>
      </c>
      <c r="E335" t="s">
        <v>2135</v>
      </c>
      <c r="F335">
        <v>1.024</v>
      </c>
      <c r="G335">
        <v>1.0203</v>
      </c>
    </row>
    <row r="336" spans="1:7" hidden="1">
      <c r="A336" t="s">
        <v>465</v>
      </c>
      <c r="B336" t="s">
        <v>2208</v>
      </c>
      <c r="C336">
        <v>22</v>
      </c>
      <c r="D336" t="s">
        <v>2160</v>
      </c>
      <c r="E336" t="s">
        <v>2159</v>
      </c>
      <c r="F336">
        <v>0.98299999999999998</v>
      </c>
      <c r="G336">
        <v>0.9768</v>
      </c>
    </row>
    <row r="337" spans="1:7" hidden="1">
      <c r="A337" t="s">
        <v>601</v>
      </c>
      <c r="B337" t="s">
        <v>2215</v>
      </c>
      <c r="C337">
        <v>22</v>
      </c>
      <c r="D337" t="s">
        <v>2213</v>
      </c>
      <c r="E337" t="s">
        <v>4277</v>
      </c>
      <c r="F337">
        <v>1.0156000000000001</v>
      </c>
      <c r="G337">
        <v>1.0169999999999999</v>
      </c>
    </row>
  </sheetData>
  <autoFilter ref="A1:G337">
    <filterColumn colId="1">
      <filters>
        <filter val="Valley Power PS"/>
      </filters>
    </filterColumn>
  </autoFilter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 enableFormatConditionsCalculation="0">
    <tabColor theme="1"/>
  </sheetPr>
  <dimension ref="A1:G336"/>
  <sheetViews>
    <sheetView workbookViewId="0">
      <selection activeCell="G218" sqref="F218:G218"/>
    </sheetView>
  </sheetViews>
  <sheetFormatPr baseColWidth="10" defaultRowHeight="15" x14ac:dyDescent="0"/>
  <sheetData>
    <row r="1" spans="1:7">
      <c r="A1" t="s">
        <v>1459</v>
      </c>
      <c r="B1" t="s">
        <v>1457</v>
      </c>
      <c r="C1" t="s">
        <v>1458</v>
      </c>
      <c r="D1" t="s">
        <v>1588</v>
      </c>
      <c r="E1" t="s">
        <v>1460</v>
      </c>
      <c r="F1" t="s">
        <v>4308</v>
      </c>
      <c r="G1" t="s">
        <v>4309</v>
      </c>
    </row>
    <row r="2" spans="1:7" hidden="1">
      <c r="A2" t="s">
        <v>221</v>
      </c>
      <c r="B2" t="s">
        <v>3976</v>
      </c>
      <c r="C2">
        <v>132</v>
      </c>
      <c r="D2" t="s">
        <v>1536</v>
      </c>
      <c r="E2" t="s">
        <v>1535</v>
      </c>
      <c r="F2">
        <v>1.1134999999999999</v>
      </c>
      <c r="G2">
        <v>1.0924</v>
      </c>
    </row>
    <row r="3" spans="1:7" hidden="1">
      <c r="A3" t="s">
        <v>224</v>
      </c>
      <c r="B3" t="s">
        <v>1538</v>
      </c>
      <c r="C3">
        <v>132</v>
      </c>
      <c r="D3" t="s">
        <v>1537</v>
      </c>
      <c r="E3" t="s">
        <v>1535</v>
      </c>
      <c r="F3">
        <v>1.1134999999999999</v>
      </c>
      <c r="G3">
        <v>1.0924</v>
      </c>
    </row>
    <row r="4" spans="1:7" hidden="1">
      <c r="A4" t="s">
        <v>255</v>
      </c>
      <c r="B4" t="s">
        <v>1541</v>
      </c>
      <c r="C4">
        <v>275</v>
      </c>
      <c r="D4" t="s">
        <v>1540</v>
      </c>
      <c r="E4" t="s">
        <v>1539</v>
      </c>
      <c r="F4">
        <v>0.94710000000000005</v>
      </c>
      <c r="G4">
        <v>0.95330000000000004</v>
      </c>
    </row>
    <row r="5" spans="1:7" hidden="1">
      <c r="A5" t="s">
        <v>258</v>
      </c>
      <c r="B5" t="s">
        <v>1543</v>
      </c>
      <c r="C5">
        <v>275</v>
      </c>
      <c r="D5" t="s">
        <v>1542</v>
      </c>
      <c r="E5" t="s">
        <v>1539</v>
      </c>
      <c r="F5">
        <v>0.94710000000000005</v>
      </c>
      <c r="G5">
        <v>0.95330000000000004</v>
      </c>
    </row>
    <row r="6" spans="1:7" hidden="1">
      <c r="A6" t="s">
        <v>259</v>
      </c>
      <c r="B6" t="s">
        <v>1545</v>
      </c>
      <c r="C6">
        <v>275</v>
      </c>
      <c r="D6" t="s">
        <v>1544</v>
      </c>
      <c r="E6" t="s">
        <v>1539</v>
      </c>
      <c r="F6">
        <v>0.94710000000000005</v>
      </c>
      <c r="G6">
        <v>0.95330000000000004</v>
      </c>
    </row>
    <row r="7" spans="1:7" hidden="1">
      <c r="A7" t="s">
        <v>260</v>
      </c>
      <c r="B7" t="s">
        <v>1547</v>
      </c>
      <c r="C7">
        <v>275</v>
      </c>
      <c r="D7" t="s">
        <v>1546</v>
      </c>
      <c r="E7" t="s">
        <v>1539</v>
      </c>
      <c r="F7">
        <v>0.94710000000000005</v>
      </c>
      <c r="G7">
        <v>0.95330000000000004</v>
      </c>
    </row>
    <row r="8" spans="1:7" hidden="1">
      <c r="A8" t="s">
        <v>262</v>
      </c>
      <c r="B8" t="s">
        <v>1549</v>
      </c>
      <c r="C8">
        <v>275</v>
      </c>
      <c r="D8" t="s">
        <v>1548</v>
      </c>
      <c r="E8" t="s">
        <v>1539</v>
      </c>
      <c r="F8">
        <v>0.94710000000000005</v>
      </c>
      <c r="G8">
        <v>0.95330000000000004</v>
      </c>
    </row>
    <row r="9" spans="1:7" hidden="1">
      <c r="A9" t="s">
        <v>263</v>
      </c>
      <c r="B9" t="s">
        <v>1551</v>
      </c>
      <c r="C9">
        <v>275</v>
      </c>
      <c r="D9" t="s">
        <v>1550</v>
      </c>
      <c r="E9" t="s">
        <v>1539</v>
      </c>
      <c r="F9">
        <v>0.94710000000000005</v>
      </c>
      <c r="G9">
        <v>0.95330000000000004</v>
      </c>
    </row>
    <row r="10" spans="1:7" hidden="1">
      <c r="A10" t="s">
        <v>2232</v>
      </c>
      <c r="B10" t="s">
        <v>1553</v>
      </c>
      <c r="C10">
        <v>132</v>
      </c>
      <c r="D10" t="s">
        <v>1552</v>
      </c>
      <c r="E10" t="s">
        <v>1552</v>
      </c>
      <c r="F10">
        <v>0.93830000000000002</v>
      </c>
      <c r="G10">
        <v>0.93959999999999999</v>
      </c>
    </row>
    <row r="11" spans="1:7" hidden="1">
      <c r="A11" t="s">
        <v>288</v>
      </c>
      <c r="B11" t="s">
        <v>1556</v>
      </c>
      <c r="C11">
        <v>132</v>
      </c>
      <c r="D11" t="s">
        <v>1555</v>
      </c>
      <c r="E11" t="s">
        <v>1554</v>
      </c>
      <c r="F11">
        <v>0.9446</v>
      </c>
      <c r="G11">
        <v>0.93300000000000005</v>
      </c>
    </row>
    <row r="12" spans="1:7" hidden="1">
      <c r="A12" t="s">
        <v>1346</v>
      </c>
      <c r="B12" t="s">
        <v>1558</v>
      </c>
      <c r="C12">
        <v>132</v>
      </c>
      <c r="D12" t="s">
        <v>1557</v>
      </c>
      <c r="E12" t="s">
        <v>1554</v>
      </c>
      <c r="F12">
        <v>0.9446</v>
      </c>
      <c r="G12">
        <v>0.93300000000000005</v>
      </c>
    </row>
    <row r="13" spans="1:7" hidden="1">
      <c r="A13" t="s">
        <v>290</v>
      </c>
      <c r="B13" t="s">
        <v>1561</v>
      </c>
      <c r="C13">
        <v>275</v>
      </c>
      <c r="D13" t="s">
        <v>1560</v>
      </c>
      <c r="E13" t="s">
        <v>1559</v>
      </c>
      <c r="F13">
        <v>0.94710000000000005</v>
      </c>
      <c r="G13">
        <v>0.95269999999999999</v>
      </c>
    </row>
    <row r="14" spans="1:7" hidden="1">
      <c r="A14" t="s">
        <v>292</v>
      </c>
      <c r="B14" t="s">
        <v>1563</v>
      </c>
      <c r="C14">
        <v>275</v>
      </c>
      <c r="D14" t="s">
        <v>1562</v>
      </c>
      <c r="E14" t="s">
        <v>1559</v>
      </c>
      <c r="F14">
        <v>0.94710000000000005</v>
      </c>
      <c r="G14">
        <v>0.95269999999999999</v>
      </c>
    </row>
    <row r="15" spans="1:7" hidden="1">
      <c r="A15" t="s">
        <v>332</v>
      </c>
      <c r="B15" t="s">
        <v>1566</v>
      </c>
      <c r="C15">
        <v>275</v>
      </c>
      <c r="D15" t="s">
        <v>1565</v>
      </c>
      <c r="E15" t="s">
        <v>1564</v>
      </c>
      <c r="F15">
        <v>0.9476</v>
      </c>
      <c r="G15">
        <v>0.95150000000000001</v>
      </c>
    </row>
    <row r="16" spans="1:7" hidden="1">
      <c r="A16" t="s">
        <v>335</v>
      </c>
      <c r="B16" t="s">
        <v>1568</v>
      </c>
      <c r="C16">
        <v>275</v>
      </c>
      <c r="D16" t="s">
        <v>1567</v>
      </c>
      <c r="E16" t="s">
        <v>1564</v>
      </c>
      <c r="F16">
        <v>0.9476</v>
      </c>
      <c r="G16">
        <v>0.95150000000000001</v>
      </c>
    </row>
    <row r="17" spans="1:7" hidden="1">
      <c r="A17" t="s">
        <v>3133</v>
      </c>
      <c r="B17" t="s">
        <v>4278</v>
      </c>
      <c r="C17">
        <v>132</v>
      </c>
      <c r="D17" t="s">
        <v>4122</v>
      </c>
      <c r="E17" t="s">
        <v>4122</v>
      </c>
      <c r="F17">
        <v>1.0388999999999999</v>
      </c>
      <c r="G17">
        <v>1.0713999999999999</v>
      </c>
    </row>
    <row r="18" spans="1:7" hidden="1">
      <c r="A18" t="s">
        <v>3133</v>
      </c>
      <c r="B18" t="s">
        <v>4124</v>
      </c>
      <c r="C18">
        <v>132</v>
      </c>
      <c r="D18" t="s">
        <v>4123</v>
      </c>
      <c r="E18" t="s">
        <v>4123</v>
      </c>
      <c r="F18">
        <v>1.0388999999999999</v>
      </c>
      <c r="G18">
        <v>1.0713999999999999</v>
      </c>
    </row>
    <row r="19" spans="1:7" hidden="1">
      <c r="A19" t="s">
        <v>336</v>
      </c>
      <c r="B19" t="s">
        <v>4125</v>
      </c>
      <c r="C19">
        <v>132</v>
      </c>
      <c r="D19" t="s">
        <v>1570</v>
      </c>
      <c r="E19" t="s">
        <v>1569</v>
      </c>
      <c r="F19">
        <v>0.88949999999999996</v>
      </c>
      <c r="G19">
        <v>0.95430000000000004</v>
      </c>
    </row>
    <row r="20" spans="1:7" hidden="1">
      <c r="A20" t="s">
        <v>344</v>
      </c>
      <c r="B20" t="s">
        <v>4126</v>
      </c>
      <c r="C20">
        <v>275</v>
      </c>
      <c r="D20" t="s">
        <v>1571</v>
      </c>
      <c r="E20" t="s">
        <v>1539</v>
      </c>
      <c r="F20">
        <v>0.94710000000000005</v>
      </c>
      <c r="G20">
        <v>0.95330000000000004</v>
      </c>
    </row>
    <row r="21" spans="1:7" hidden="1">
      <c r="A21" t="s">
        <v>386</v>
      </c>
      <c r="B21" t="s">
        <v>1575</v>
      </c>
      <c r="C21">
        <v>132</v>
      </c>
      <c r="D21" t="s">
        <v>1574</v>
      </c>
      <c r="E21" t="s">
        <v>1573</v>
      </c>
      <c r="F21">
        <v>0.98850000000000005</v>
      </c>
      <c r="G21">
        <v>0.97609999999999997</v>
      </c>
    </row>
    <row r="22" spans="1:7" hidden="1">
      <c r="A22" t="s">
        <v>387</v>
      </c>
      <c r="B22" t="s">
        <v>1577</v>
      </c>
      <c r="C22">
        <v>132</v>
      </c>
      <c r="D22" t="s">
        <v>1576</v>
      </c>
      <c r="E22" t="s">
        <v>1573</v>
      </c>
      <c r="F22">
        <v>0.98850000000000005</v>
      </c>
      <c r="G22">
        <v>0.97609999999999997</v>
      </c>
    </row>
    <row r="23" spans="1:7" hidden="1">
      <c r="A23" t="s">
        <v>383</v>
      </c>
      <c r="B23" t="s">
        <v>1581</v>
      </c>
      <c r="C23">
        <v>275</v>
      </c>
      <c r="D23" t="s">
        <v>1580</v>
      </c>
      <c r="E23" t="s">
        <v>1579</v>
      </c>
      <c r="F23">
        <v>0.9919</v>
      </c>
      <c r="G23">
        <v>0.98209999999999997</v>
      </c>
    </row>
    <row r="24" spans="1:7" hidden="1">
      <c r="A24" t="s">
        <v>385</v>
      </c>
      <c r="B24" t="s">
        <v>1583</v>
      </c>
      <c r="C24">
        <v>275</v>
      </c>
      <c r="D24" t="s">
        <v>1582</v>
      </c>
      <c r="E24" t="s">
        <v>1579</v>
      </c>
      <c r="F24">
        <v>0.9919</v>
      </c>
      <c r="G24">
        <v>0.98209999999999997</v>
      </c>
    </row>
    <row r="25" spans="1:7" hidden="1">
      <c r="A25" t="s">
        <v>388</v>
      </c>
      <c r="B25" t="s">
        <v>1585</v>
      </c>
      <c r="C25">
        <v>275</v>
      </c>
      <c r="D25" t="s">
        <v>1584</v>
      </c>
      <c r="E25" t="s">
        <v>1579</v>
      </c>
      <c r="F25">
        <v>0.9919</v>
      </c>
      <c r="G25">
        <v>0.98209999999999997</v>
      </c>
    </row>
    <row r="26" spans="1:7" hidden="1">
      <c r="A26" t="s">
        <v>389</v>
      </c>
      <c r="B26" t="s">
        <v>1587</v>
      </c>
      <c r="C26">
        <v>275</v>
      </c>
      <c r="D26" t="s">
        <v>1586</v>
      </c>
      <c r="E26" t="s">
        <v>1579</v>
      </c>
      <c r="F26">
        <v>0.9919</v>
      </c>
      <c r="G26">
        <v>0.98209999999999997</v>
      </c>
    </row>
    <row r="27" spans="1:7" hidden="1">
      <c r="A27" t="s">
        <v>3133</v>
      </c>
      <c r="B27" t="s">
        <v>4279</v>
      </c>
      <c r="C27">
        <v>132</v>
      </c>
      <c r="D27" t="s">
        <v>1573</v>
      </c>
      <c r="E27" t="s">
        <v>1573</v>
      </c>
      <c r="F27">
        <v>0.98850000000000005</v>
      </c>
      <c r="G27">
        <v>0.97609999999999997</v>
      </c>
    </row>
    <row r="28" spans="1:7" hidden="1">
      <c r="A28" t="s">
        <v>442</v>
      </c>
      <c r="B28" t="s">
        <v>1466</v>
      </c>
      <c r="C28">
        <v>132</v>
      </c>
      <c r="D28" t="s">
        <v>1495</v>
      </c>
      <c r="E28" t="s">
        <v>1494</v>
      </c>
      <c r="F28">
        <v>1.1144000000000001</v>
      </c>
      <c r="G28">
        <v>1.0884</v>
      </c>
    </row>
    <row r="29" spans="1:7" hidden="1">
      <c r="A29" t="s">
        <v>444</v>
      </c>
      <c r="B29" t="s">
        <v>1467</v>
      </c>
      <c r="C29">
        <v>132</v>
      </c>
      <c r="D29" t="s">
        <v>1496</v>
      </c>
      <c r="E29" t="s">
        <v>1494</v>
      </c>
      <c r="F29">
        <v>1.1144000000000001</v>
      </c>
      <c r="G29">
        <v>1.0884</v>
      </c>
    </row>
    <row r="30" spans="1:7" hidden="1">
      <c r="A30" t="s">
        <v>445</v>
      </c>
      <c r="B30" t="s">
        <v>1468</v>
      </c>
      <c r="C30">
        <v>132</v>
      </c>
      <c r="D30" t="s">
        <v>1497</v>
      </c>
      <c r="E30" t="s">
        <v>1494</v>
      </c>
      <c r="F30">
        <v>1.1144000000000001</v>
      </c>
      <c r="G30">
        <v>1.0884</v>
      </c>
    </row>
    <row r="31" spans="1:7" hidden="1">
      <c r="A31" t="s">
        <v>446</v>
      </c>
      <c r="B31" t="s">
        <v>1469</v>
      </c>
      <c r="C31">
        <v>132</v>
      </c>
      <c r="D31" t="s">
        <v>1498</v>
      </c>
      <c r="E31" t="s">
        <v>1494</v>
      </c>
      <c r="F31">
        <v>1.1144000000000001</v>
      </c>
      <c r="G31">
        <v>1.0884</v>
      </c>
    </row>
    <row r="32" spans="1:7" hidden="1">
      <c r="A32" t="s">
        <v>453</v>
      </c>
      <c r="B32" t="s">
        <v>1470</v>
      </c>
      <c r="C32">
        <v>275</v>
      </c>
      <c r="D32" t="s">
        <v>1500</v>
      </c>
      <c r="E32" t="s">
        <v>1499</v>
      </c>
      <c r="F32">
        <v>0.94640000000000002</v>
      </c>
      <c r="G32">
        <v>0.9516</v>
      </c>
    </row>
    <row r="33" spans="1:7" hidden="1">
      <c r="A33" t="s">
        <v>447</v>
      </c>
      <c r="B33" t="s">
        <v>1471</v>
      </c>
      <c r="C33">
        <v>132</v>
      </c>
      <c r="D33" t="s">
        <v>1501</v>
      </c>
      <c r="E33" t="s">
        <v>1494</v>
      </c>
      <c r="F33">
        <v>1.1144000000000001</v>
      </c>
      <c r="G33">
        <v>1.0884</v>
      </c>
    </row>
    <row r="34" spans="1:7" hidden="1">
      <c r="A34" t="s">
        <v>495</v>
      </c>
      <c r="B34" t="s">
        <v>1603</v>
      </c>
      <c r="C34">
        <v>33</v>
      </c>
      <c r="D34" t="s">
        <v>1602</v>
      </c>
      <c r="E34" t="s">
        <v>1602</v>
      </c>
      <c r="F34">
        <v>1.0673999999999999</v>
      </c>
      <c r="G34">
        <v>1.0491999999999999</v>
      </c>
    </row>
    <row r="35" spans="1:7" hidden="1">
      <c r="A35" t="s">
        <v>532</v>
      </c>
      <c r="B35" t="s">
        <v>4127</v>
      </c>
      <c r="C35">
        <v>330</v>
      </c>
      <c r="D35" t="s">
        <v>1503</v>
      </c>
      <c r="E35" t="s">
        <v>1502</v>
      </c>
      <c r="F35">
        <v>0.95779999999999998</v>
      </c>
      <c r="G35">
        <v>0.96120000000000005</v>
      </c>
    </row>
    <row r="36" spans="1:7" hidden="1">
      <c r="A36" t="s">
        <v>534</v>
      </c>
      <c r="B36" t="s">
        <v>4128</v>
      </c>
      <c r="C36">
        <v>330</v>
      </c>
      <c r="D36" t="s">
        <v>1504</v>
      </c>
      <c r="E36" t="s">
        <v>1502</v>
      </c>
      <c r="F36">
        <v>0.95779999999999998</v>
      </c>
      <c r="G36">
        <v>0.96120000000000005</v>
      </c>
    </row>
    <row r="37" spans="1:7" hidden="1">
      <c r="A37" t="s">
        <v>535</v>
      </c>
      <c r="B37" t="s">
        <v>1472</v>
      </c>
      <c r="C37">
        <v>132</v>
      </c>
      <c r="D37" t="s">
        <v>1506</v>
      </c>
      <c r="E37" t="s">
        <v>1505</v>
      </c>
      <c r="F37">
        <v>0.98129999999999995</v>
      </c>
      <c r="G37">
        <v>1.0421</v>
      </c>
    </row>
    <row r="38" spans="1:7" hidden="1">
      <c r="A38" t="s">
        <v>537</v>
      </c>
      <c r="B38" t="s">
        <v>1473</v>
      </c>
      <c r="C38">
        <v>132</v>
      </c>
      <c r="D38" t="s">
        <v>1507</v>
      </c>
      <c r="E38" t="s">
        <v>1505</v>
      </c>
      <c r="F38">
        <v>0.98129999999999995</v>
      </c>
      <c r="G38">
        <v>1.0421</v>
      </c>
    </row>
    <row r="39" spans="1:7" hidden="1">
      <c r="A39" t="s">
        <v>538</v>
      </c>
      <c r="B39" t="s">
        <v>1474</v>
      </c>
      <c r="C39">
        <v>132</v>
      </c>
      <c r="D39" t="s">
        <v>1508</v>
      </c>
      <c r="E39" t="s">
        <v>1505</v>
      </c>
      <c r="F39">
        <v>0.98129999999999995</v>
      </c>
      <c r="G39">
        <v>1.0421</v>
      </c>
    </row>
    <row r="40" spans="1:7" hidden="1">
      <c r="A40" t="s">
        <v>556</v>
      </c>
      <c r="B40" t="s">
        <v>4129</v>
      </c>
      <c r="C40">
        <v>110</v>
      </c>
      <c r="D40" t="s">
        <v>1510</v>
      </c>
      <c r="E40" t="s">
        <v>1509</v>
      </c>
      <c r="F40">
        <v>0.9395</v>
      </c>
      <c r="G40">
        <v>0.94720000000000004</v>
      </c>
    </row>
    <row r="41" spans="1:7" hidden="1">
      <c r="A41" t="s">
        <v>558</v>
      </c>
      <c r="B41" t="s">
        <v>4130</v>
      </c>
      <c r="C41">
        <v>110</v>
      </c>
      <c r="D41" t="s">
        <v>1511</v>
      </c>
      <c r="E41" t="s">
        <v>1509</v>
      </c>
      <c r="F41">
        <v>0.9395</v>
      </c>
      <c r="G41">
        <v>0.94720000000000004</v>
      </c>
    </row>
    <row r="42" spans="1:7" hidden="1">
      <c r="A42" t="s">
        <v>2318</v>
      </c>
      <c r="B42" t="s">
        <v>1477</v>
      </c>
      <c r="C42">
        <v>132</v>
      </c>
      <c r="D42" t="s">
        <v>1512</v>
      </c>
      <c r="E42" t="s">
        <v>1512</v>
      </c>
      <c r="F42">
        <v>0.98760000000000003</v>
      </c>
      <c r="G42">
        <v>0.97399999999999998</v>
      </c>
    </row>
    <row r="43" spans="1:7" hidden="1">
      <c r="A43" t="s">
        <v>636</v>
      </c>
      <c r="B43" t="s">
        <v>1478</v>
      </c>
      <c r="C43">
        <v>275</v>
      </c>
      <c r="D43" t="s">
        <v>1514</v>
      </c>
      <c r="E43" t="s">
        <v>1513</v>
      </c>
      <c r="F43">
        <v>0.98760000000000003</v>
      </c>
      <c r="G43">
        <v>0.97399999999999998</v>
      </c>
    </row>
    <row r="44" spans="1:7" hidden="1">
      <c r="A44" t="s">
        <v>638</v>
      </c>
      <c r="B44" t="s">
        <v>1479</v>
      </c>
      <c r="C44">
        <v>275</v>
      </c>
      <c r="D44" t="s">
        <v>1515</v>
      </c>
      <c r="E44" t="s">
        <v>1513</v>
      </c>
      <c r="F44">
        <v>0.98760000000000003</v>
      </c>
      <c r="G44">
        <v>0.97399999999999998</v>
      </c>
    </row>
    <row r="45" spans="1:7" hidden="1">
      <c r="A45" t="s">
        <v>639</v>
      </c>
      <c r="B45" t="s">
        <v>1480</v>
      </c>
      <c r="C45">
        <v>275</v>
      </c>
      <c r="D45" t="s">
        <v>1516</v>
      </c>
      <c r="E45" t="s">
        <v>1513</v>
      </c>
      <c r="F45">
        <v>0.98760000000000003</v>
      </c>
      <c r="G45">
        <v>0.97399999999999998</v>
      </c>
    </row>
    <row r="46" spans="1:7" hidden="1">
      <c r="A46" t="s">
        <v>640</v>
      </c>
      <c r="B46" t="s">
        <v>1481</v>
      </c>
      <c r="C46">
        <v>275</v>
      </c>
      <c r="D46" t="s">
        <v>1517</v>
      </c>
      <c r="E46" t="s">
        <v>1513</v>
      </c>
      <c r="F46">
        <v>0.98760000000000003</v>
      </c>
      <c r="G46">
        <v>0.97399999999999998</v>
      </c>
    </row>
    <row r="47" spans="1:7" hidden="1">
      <c r="A47" t="s">
        <v>4286</v>
      </c>
      <c r="B47" t="s">
        <v>4133</v>
      </c>
      <c r="C47">
        <v>275</v>
      </c>
      <c r="D47" t="s">
        <v>4132</v>
      </c>
      <c r="E47" t="s">
        <v>4131</v>
      </c>
      <c r="F47">
        <v>1.0011000000000001</v>
      </c>
      <c r="G47">
        <v>0.99590000000000001</v>
      </c>
    </row>
    <row r="48" spans="1:7" hidden="1">
      <c r="A48" t="s">
        <v>4287</v>
      </c>
      <c r="B48" t="s">
        <v>4135</v>
      </c>
      <c r="C48">
        <v>275</v>
      </c>
      <c r="D48" t="s">
        <v>4134</v>
      </c>
      <c r="E48" t="s">
        <v>4131</v>
      </c>
      <c r="F48">
        <v>1.0011000000000001</v>
      </c>
      <c r="G48">
        <v>0.99590000000000001</v>
      </c>
    </row>
    <row r="49" spans="1:7" hidden="1">
      <c r="A49" t="s">
        <v>652</v>
      </c>
      <c r="B49" t="s">
        <v>1482</v>
      </c>
      <c r="C49">
        <v>275</v>
      </c>
      <c r="D49" t="s">
        <v>1519</v>
      </c>
      <c r="E49" t="s">
        <v>1519</v>
      </c>
      <c r="F49">
        <v>0.99629999999999996</v>
      </c>
      <c r="G49">
        <v>0.99629999999999996</v>
      </c>
    </row>
    <row r="50" spans="1:7" hidden="1">
      <c r="A50" t="s">
        <v>4288</v>
      </c>
      <c r="B50" t="s">
        <v>4137</v>
      </c>
      <c r="C50">
        <v>275</v>
      </c>
      <c r="D50" t="s">
        <v>4136</v>
      </c>
      <c r="E50" t="s">
        <v>4131</v>
      </c>
      <c r="F50">
        <v>1.0011000000000001</v>
      </c>
      <c r="G50">
        <v>0.99590000000000001</v>
      </c>
    </row>
    <row r="51" spans="1:7" hidden="1">
      <c r="A51" t="s">
        <v>679</v>
      </c>
      <c r="B51" t="s">
        <v>1483</v>
      </c>
      <c r="C51">
        <v>275</v>
      </c>
      <c r="D51" t="s">
        <v>1520</v>
      </c>
      <c r="E51" t="s">
        <v>1520</v>
      </c>
      <c r="F51">
        <v>0.96330000000000005</v>
      </c>
      <c r="G51">
        <v>0.96919999999999995</v>
      </c>
    </row>
    <row r="52" spans="1:7" hidden="1">
      <c r="A52" t="s">
        <v>658</v>
      </c>
      <c r="B52" t="s">
        <v>1484</v>
      </c>
      <c r="C52">
        <v>275</v>
      </c>
      <c r="D52" t="s">
        <v>1522</v>
      </c>
      <c r="E52" t="s">
        <v>1521</v>
      </c>
      <c r="F52">
        <v>0.96309999999999996</v>
      </c>
      <c r="G52">
        <v>0.96970000000000001</v>
      </c>
    </row>
    <row r="53" spans="1:7" hidden="1">
      <c r="A53" t="s">
        <v>660</v>
      </c>
      <c r="B53" t="s">
        <v>1485</v>
      </c>
      <c r="C53">
        <v>275</v>
      </c>
      <c r="D53" t="s">
        <v>1523</v>
      </c>
      <c r="E53" t="s">
        <v>1521</v>
      </c>
      <c r="F53">
        <v>0.96309999999999996</v>
      </c>
      <c r="G53">
        <v>0.96970000000000001</v>
      </c>
    </row>
    <row r="54" spans="1:7" hidden="1">
      <c r="A54" t="s">
        <v>661</v>
      </c>
      <c r="B54" t="s">
        <v>1486</v>
      </c>
      <c r="C54">
        <v>275</v>
      </c>
      <c r="D54" t="s">
        <v>1524</v>
      </c>
      <c r="E54" t="s">
        <v>1521</v>
      </c>
      <c r="F54">
        <v>0.96309999999999996</v>
      </c>
      <c r="G54">
        <v>0.96970000000000001</v>
      </c>
    </row>
    <row r="55" spans="1:7" hidden="1">
      <c r="A55" t="s">
        <v>662</v>
      </c>
      <c r="B55" t="s">
        <v>1487</v>
      </c>
      <c r="C55">
        <v>275</v>
      </c>
      <c r="D55" t="s">
        <v>1525</v>
      </c>
      <c r="E55" t="s">
        <v>1521</v>
      </c>
      <c r="F55">
        <v>0.96309999999999996</v>
      </c>
      <c r="G55">
        <v>0.96970000000000001</v>
      </c>
    </row>
    <row r="56" spans="1:7" hidden="1">
      <c r="A56" t="s">
        <v>721</v>
      </c>
      <c r="B56" t="s">
        <v>4138</v>
      </c>
      <c r="C56">
        <v>275</v>
      </c>
      <c r="D56" t="s">
        <v>1527</v>
      </c>
      <c r="E56" t="s">
        <v>1526</v>
      </c>
      <c r="F56">
        <v>0.98709999999999998</v>
      </c>
      <c r="G56">
        <v>0.98880000000000001</v>
      </c>
    </row>
    <row r="57" spans="1:7" hidden="1">
      <c r="A57" t="s">
        <v>724</v>
      </c>
      <c r="B57" t="s">
        <v>4139</v>
      </c>
      <c r="C57">
        <v>275</v>
      </c>
      <c r="D57" t="s">
        <v>1528</v>
      </c>
      <c r="E57" t="s">
        <v>1526</v>
      </c>
      <c r="F57">
        <v>0.98709999999999998</v>
      </c>
      <c r="G57">
        <v>0.98880000000000001</v>
      </c>
    </row>
    <row r="58" spans="1:7" hidden="1">
      <c r="A58" t="s">
        <v>585</v>
      </c>
      <c r="B58" t="s">
        <v>1490</v>
      </c>
      <c r="C58">
        <v>275</v>
      </c>
      <c r="D58" t="s">
        <v>1530</v>
      </c>
      <c r="E58" t="s">
        <v>1529</v>
      </c>
      <c r="F58">
        <v>0.99329999999999996</v>
      </c>
      <c r="G58">
        <v>0.99419999999999997</v>
      </c>
    </row>
    <row r="59" spans="1:7" hidden="1">
      <c r="A59" t="s">
        <v>588</v>
      </c>
      <c r="B59" t="s">
        <v>1491</v>
      </c>
      <c r="C59">
        <v>275</v>
      </c>
      <c r="D59" t="s">
        <v>1531</v>
      </c>
      <c r="E59" t="s">
        <v>1529</v>
      </c>
      <c r="F59">
        <v>0.99329999999999996</v>
      </c>
      <c r="G59">
        <v>0.99419999999999997</v>
      </c>
    </row>
    <row r="60" spans="1:7" hidden="1">
      <c r="A60" t="s">
        <v>2438</v>
      </c>
      <c r="B60" t="s">
        <v>1634</v>
      </c>
      <c r="C60">
        <v>110</v>
      </c>
      <c r="D60" t="s">
        <v>1633</v>
      </c>
      <c r="E60" t="s">
        <v>1632</v>
      </c>
      <c r="F60">
        <v>0.99670000000000003</v>
      </c>
      <c r="G60">
        <v>0.99480000000000002</v>
      </c>
    </row>
    <row r="61" spans="1:7" hidden="1">
      <c r="A61" t="s">
        <v>770</v>
      </c>
      <c r="B61" t="s">
        <v>4140</v>
      </c>
      <c r="C61">
        <v>132</v>
      </c>
      <c r="D61" t="s">
        <v>1532</v>
      </c>
      <c r="E61" t="s">
        <v>1532</v>
      </c>
      <c r="F61">
        <v>1.0524</v>
      </c>
      <c r="G61">
        <v>1.0368999999999999</v>
      </c>
    </row>
    <row r="62" spans="1:7" hidden="1">
      <c r="A62" t="s">
        <v>775</v>
      </c>
      <c r="B62" t="s">
        <v>4141</v>
      </c>
      <c r="C62">
        <v>132</v>
      </c>
      <c r="D62" t="s">
        <v>1534</v>
      </c>
      <c r="E62" t="s">
        <v>1533</v>
      </c>
      <c r="F62">
        <v>0.99339999999999995</v>
      </c>
      <c r="G62">
        <v>0.98719999999999997</v>
      </c>
    </row>
    <row r="63" spans="1:7" hidden="1">
      <c r="A63" t="s">
        <v>213</v>
      </c>
      <c r="B63" t="s">
        <v>4142</v>
      </c>
      <c r="C63">
        <v>132</v>
      </c>
      <c r="D63" t="s">
        <v>1591</v>
      </c>
      <c r="E63" t="s">
        <v>1591</v>
      </c>
      <c r="F63">
        <v>1.0235000000000001</v>
      </c>
      <c r="G63">
        <v>0.99850000000000005</v>
      </c>
    </row>
    <row r="64" spans="1:7" hidden="1">
      <c r="A64" t="s">
        <v>252</v>
      </c>
      <c r="B64" t="s">
        <v>1593</v>
      </c>
      <c r="C64">
        <v>110</v>
      </c>
      <c r="D64" t="s">
        <v>1592</v>
      </c>
      <c r="E64" t="s">
        <v>1518</v>
      </c>
      <c r="F64">
        <v>1.0048999999999999</v>
      </c>
      <c r="G64">
        <v>1.0051000000000001</v>
      </c>
    </row>
    <row r="65" spans="1:7" hidden="1">
      <c r="A65" t="s">
        <v>340</v>
      </c>
      <c r="B65" t="s">
        <v>1596</v>
      </c>
      <c r="C65">
        <v>110</v>
      </c>
      <c r="D65" t="s">
        <v>1595</v>
      </c>
      <c r="E65" t="s">
        <v>1594</v>
      </c>
      <c r="F65">
        <v>0.94679999999999997</v>
      </c>
      <c r="G65">
        <v>0.96730000000000005</v>
      </c>
    </row>
    <row r="66" spans="1:7" hidden="1">
      <c r="A66" t="s">
        <v>373</v>
      </c>
      <c r="B66" t="s">
        <v>1599</v>
      </c>
      <c r="C66">
        <v>66</v>
      </c>
      <c r="D66" t="s">
        <v>1598</v>
      </c>
      <c r="E66" t="s">
        <v>1597</v>
      </c>
      <c r="F66">
        <v>1.0426</v>
      </c>
      <c r="G66">
        <v>1.0425</v>
      </c>
    </row>
    <row r="67" spans="1:7" hidden="1">
      <c r="A67" t="s">
        <v>421</v>
      </c>
      <c r="B67" t="s">
        <v>2217</v>
      </c>
      <c r="C67">
        <v>132</v>
      </c>
      <c r="D67" t="s">
        <v>1601</v>
      </c>
      <c r="E67" t="s">
        <v>1600</v>
      </c>
      <c r="F67">
        <v>1.0161</v>
      </c>
      <c r="G67">
        <v>1.012</v>
      </c>
    </row>
    <row r="68" spans="1:7" hidden="1">
      <c r="A68" t="s">
        <v>520</v>
      </c>
      <c r="B68" t="s">
        <v>3983</v>
      </c>
      <c r="C68">
        <v>11</v>
      </c>
      <c r="D68" t="s">
        <v>1605</v>
      </c>
      <c r="E68" t="s">
        <v>1604</v>
      </c>
      <c r="F68">
        <v>1.1112</v>
      </c>
      <c r="G68">
        <v>1.1234999999999999</v>
      </c>
    </row>
    <row r="69" spans="1:7" hidden="1">
      <c r="A69" t="s">
        <v>499</v>
      </c>
      <c r="B69" t="s">
        <v>1608</v>
      </c>
      <c r="C69">
        <v>66</v>
      </c>
      <c r="D69" t="s">
        <v>1607</v>
      </c>
      <c r="E69" t="s">
        <v>1606</v>
      </c>
      <c r="F69">
        <v>1.1206</v>
      </c>
      <c r="G69">
        <v>1.1317999999999999</v>
      </c>
    </row>
    <row r="70" spans="1:7" hidden="1">
      <c r="A70" t="s">
        <v>2401</v>
      </c>
      <c r="B70" t="s">
        <v>4143</v>
      </c>
      <c r="C70">
        <v>66</v>
      </c>
      <c r="D70" t="s">
        <v>1609</v>
      </c>
      <c r="E70" t="s">
        <v>1597</v>
      </c>
      <c r="F70">
        <v>1.0426</v>
      </c>
      <c r="G70">
        <v>1.0425</v>
      </c>
    </row>
    <row r="71" spans="1:7" hidden="1">
      <c r="A71" t="s">
        <v>605</v>
      </c>
      <c r="B71" t="s">
        <v>1612</v>
      </c>
      <c r="C71">
        <v>110</v>
      </c>
      <c r="D71" t="s">
        <v>1611</v>
      </c>
      <c r="E71" t="s">
        <v>1610</v>
      </c>
      <c r="F71">
        <v>1.0087999999999999</v>
      </c>
      <c r="G71">
        <v>1.0057</v>
      </c>
    </row>
    <row r="72" spans="1:7" hidden="1">
      <c r="A72" t="s">
        <v>614</v>
      </c>
      <c r="B72" t="s">
        <v>4144</v>
      </c>
      <c r="C72">
        <v>110</v>
      </c>
      <c r="D72" t="s">
        <v>1613</v>
      </c>
      <c r="E72" t="s">
        <v>1518</v>
      </c>
      <c r="F72">
        <v>1.0048999999999999</v>
      </c>
      <c r="G72">
        <v>1.0051000000000001</v>
      </c>
    </row>
    <row r="73" spans="1:7" hidden="1">
      <c r="A73" t="s">
        <v>353</v>
      </c>
      <c r="B73" t="s">
        <v>1617</v>
      </c>
      <c r="C73">
        <v>110</v>
      </c>
      <c r="D73" t="s">
        <v>1616</v>
      </c>
      <c r="E73" t="s">
        <v>1615</v>
      </c>
      <c r="F73">
        <v>1.0056</v>
      </c>
      <c r="G73">
        <v>1.006</v>
      </c>
    </row>
    <row r="74" spans="1:7" hidden="1">
      <c r="A74" t="s">
        <v>607</v>
      </c>
      <c r="B74" t="s">
        <v>4145</v>
      </c>
      <c r="C74">
        <v>132</v>
      </c>
      <c r="D74" t="s">
        <v>1619</v>
      </c>
      <c r="E74" t="s">
        <v>1618</v>
      </c>
      <c r="F74">
        <v>0.86399999999999999</v>
      </c>
      <c r="G74">
        <v>0.93469999999999998</v>
      </c>
    </row>
    <row r="75" spans="1:7" hidden="1">
      <c r="A75" t="s">
        <v>609</v>
      </c>
      <c r="B75" t="s">
        <v>4146</v>
      </c>
      <c r="C75">
        <v>132</v>
      </c>
      <c r="D75" t="s">
        <v>1620</v>
      </c>
      <c r="E75" t="s">
        <v>1618</v>
      </c>
      <c r="F75">
        <v>0.86399999999999999</v>
      </c>
      <c r="G75">
        <v>0.93469999999999998</v>
      </c>
    </row>
    <row r="76" spans="1:7" hidden="1">
      <c r="A76" t="s">
        <v>645</v>
      </c>
      <c r="B76" t="s">
        <v>1623</v>
      </c>
      <c r="C76">
        <v>110</v>
      </c>
      <c r="D76" t="s">
        <v>1622</v>
      </c>
      <c r="E76" t="s">
        <v>1621</v>
      </c>
      <c r="F76">
        <v>1.0150999999999999</v>
      </c>
      <c r="G76">
        <v>1.0164</v>
      </c>
    </row>
    <row r="77" spans="1:7" hidden="1">
      <c r="A77" t="s">
        <v>647</v>
      </c>
      <c r="B77" t="s">
        <v>4147</v>
      </c>
      <c r="C77">
        <v>110</v>
      </c>
      <c r="D77" t="s">
        <v>3987</v>
      </c>
      <c r="E77" t="s">
        <v>1624</v>
      </c>
      <c r="F77">
        <v>1.0271999999999999</v>
      </c>
      <c r="G77">
        <v>1.0269999999999999</v>
      </c>
    </row>
    <row r="78" spans="1:7" hidden="1">
      <c r="A78" t="s">
        <v>677</v>
      </c>
      <c r="B78" t="s">
        <v>4148</v>
      </c>
      <c r="C78">
        <v>33</v>
      </c>
      <c r="D78" t="s">
        <v>1626</v>
      </c>
      <c r="E78" t="s">
        <v>1625</v>
      </c>
      <c r="F78">
        <v>0.99860000000000004</v>
      </c>
      <c r="G78">
        <v>0.99680000000000002</v>
      </c>
    </row>
    <row r="79" spans="1:7" hidden="1">
      <c r="A79" t="s">
        <v>737</v>
      </c>
      <c r="B79" t="s">
        <v>1630</v>
      </c>
      <c r="C79">
        <v>110</v>
      </c>
      <c r="D79" t="s">
        <v>1629</v>
      </c>
      <c r="E79" t="s">
        <v>4149</v>
      </c>
      <c r="F79">
        <v>1.0011000000000001</v>
      </c>
      <c r="G79">
        <v>0.99409999999999998</v>
      </c>
    </row>
    <row r="80" spans="1:7" hidden="1">
      <c r="A80" t="s">
        <v>735</v>
      </c>
      <c r="B80" t="s">
        <v>4150</v>
      </c>
      <c r="C80">
        <v>66</v>
      </c>
      <c r="D80" t="s">
        <v>1631</v>
      </c>
      <c r="E80" t="s">
        <v>1631</v>
      </c>
      <c r="F80">
        <v>1.1524000000000001</v>
      </c>
      <c r="G80">
        <v>1.137</v>
      </c>
    </row>
    <row r="81" spans="1:7" hidden="1">
      <c r="A81" t="s">
        <v>772</v>
      </c>
      <c r="B81" t="s">
        <v>1492</v>
      </c>
      <c r="C81">
        <v>66</v>
      </c>
      <c r="D81" t="s">
        <v>1636</v>
      </c>
      <c r="E81" t="s">
        <v>1635</v>
      </c>
      <c r="F81">
        <v>1.0633999999999999</v>
      </c>
      <c r="G81">
        <v>1.0444</v>
      </c>
    </row>
    <row r="82" spans="1:7" hidden="1">
      <c r="A82" t="s">
        <v>278</v>
      </c>
      <c r="B82" t="s">
        <v>4151</v>
      </c>
      <c r="C82">
        <v>330</v>
      </c>
      <c r="D82" t="s">
        <v>1639</v>
      </c>
      <c r="E82" t="s">
        <v>1638</v>
      </c>
      <c r="F82">
        <v>0.95520000000000005</v>
      </c>
      <c r="G82">
        <v>0.95840000000000003</v>
      </c>
    </row>
    <row r="83" spans="1:7" hidden="1">
      <c r="A83" t="s">
        <v>281</v>
      </c>
      <c r="B83" t="s">
        <v>4152</v>
      </c>
      <c r="C83">
        <v>330</v>
      </c>
      <c r="D83" t="s">
        <v>1641</v>
      </c>
      <c r="E83" t="s">
        <v>1638</v>
      </c>
      <c r="F83">
        <v>0.95520000000000005</v>
      </c>
      <c r="G83">
        <v>0.95840000000000003</v>
      </c>
    </row>
    <row r="84" spans="1:7" hidden="1">
      <c r="A84" t="s">
        <v>282</v>
      </c>
      <c r="B84" t="s">
        <v>4153</v>
      </c>
      <c r="C84">
        <v>500</v>
      </c>
      <c r="D84" t="s">
        <v>1644</v>
      </c>
      <c r="E84" t="s">
        <v>1643</v>
      </c>
      <c r="F84">
        <v>0.95579999999999998</v>
      </c>
      <c r="G84">
        <v>0.9587</v>
      </c>
    </row>
    <row r="85" spans="1:7" hidden="1">
      <c r="A85" t="s">
        <v>283</v>
      </c>
      <c r="B85" t="s">
        <v>4154</v>
      </c>
      <c r="C85">
        <v>500</v>
      </c>
      <c r="D85" t="s">
        <v>1646</v>
      </c>
      <c r="E85" t="s">
        <v>1643</v>
      </c>
      <c r="F85">
        <v>0.95579999999999998</v>
      </c>
      <c r="G85">
        <v>0.9587</v>
      </c>
    </row>
    <row r="86" spans="1:7" hidden="1">
      <c r="A86" t="s">
        <v>241</v>
      </c>
      <c r="B86" t="s">
        <v>1650</v>
      </c>
      <c r="C86">
        <v>132</v>
      </c>
      <c r="D86" t="s">
        <v>1649</v>
      </c>
      <c r="E86" t="s">
        <v>1648</v>
      </c>
      <c r="F86">
        <v>0.97089999999999999</v>
      </c>
      <c r="G86">
        <v>0.98480000000000001</v>
      </c>
    </row>
    <row r="87" spans="1:7" hidden="1">
      <c r="A87" t="s">
        <v>3133</v>
      </c>
      <c r="B87" t="s">
        <v>4280</v>
      </c>
      <c r="C87">
        <v>132</v>
      </c>
      <c r="D87" t="s">
        <v>4155</v>
      </c>
      <c r="E87" t="s">
        <v>1648</v>
      </c>
      <c r="F87">
        <v>0.97089999999999999</v>
      </c>
      <c r="G87">
        <v>0.98480000000000001</v>
      </c>
    </row>
    <row r="88" spans="1:7" hidden="1">
      <c r="A88" t="s">
        <v>368</v>
      </c>
      <c r="B88" t="s">
        <v>1654</v>
      </c>
      <c r="C88">
        <v>22</v>
      </c>
      <c r="D88" t="s">
        <v>1653</v>
      </c>
      <c r="E88" t="s">
        <v>1652</v>
      </c>
      <c r="F88">
        <v>1.1026</v>
      </c>
      <c r="G88">
        <v>1.0806</v>
      </c>
    </row>
    <row r="89" spans="1:7" hidden="1">
      <c r="A89" t="s">
        <v>274</v>
      </c>
      <c r="B89" t="s">
        <v>4156</v>
      </c>
      <c r="C89">
        <v>132</v>
      </c>
      <c r="D89" t="s">
        <v>1655</v>
      </c>
      <c r="E89" t="s">
        <v>1655</v>
      </c>
      <c r="F89">
        <v>0.98160000000000003</v>
      </c>
      <c r="G89">
        <v>0.99019999999999997</v>
      </c>
    </row>
    <row r="90" spans="1:7" hidden="1">
      <c r="A90" t="s">
        <v>293</v>
      </c>
      <c r="B90" t="s">
        <v>4157</v>
      </c>
      <c r="C90">
        <v>330</v>
      </c>
      <c r="D90" t="s">
        <v>1658</v>
      </c>
      <c r="E90" t="s">
        <v>1657</v>
      </c>
      <c r="F90">
        <v>0.98450000000000004</v>
      </c>
      <c r="G90">
        <v>0.98799999999999999</v>
      </c>
    </row>
    <row r="91" spans="1:7" hidden="1">
      <c r="A91" t="s">
        <v>306</v>
      </c>
      <c r="B91" t="s">
        <v>4158</v>
      </c>
      <c r="C91">
        <v>330</v>
      </c>
      <c r="D91" t="s">
        <v>1661</v>
      </c>
      <c r="E91" t="s">
        <v>1660</v>
      </c>
      <c r="F91">
        <v>0.98599999999999999</v>
      </c>
      <c r="G91">
        <v>0.98960000000000004</v>
      </c>
    </row>
    <row r="92" spans="1:7" hidden="1">
      <c r="A92" t="s">
        <v>308</v>
      </c>
      <c r="B92" t="s">
        <v>4159</v>
      </c>
      <c r="C92">
        <v>330</v>
      </c>
      <c r="D92" t="s">
        <v>1663</v>
      </c>
      <c r="E92" t="s">
        <v>1660</v>
      </c>
      <c r="F92">
        <v>0.98599999999999999</v>
      </c>
      <c r="G92">
        <v>0.98960000000000004</v>
      </c>
    </row>
    <row r="93" spans="1:7" hidden="1">
      <c r="A93" t="s">
        <v>309</v>
      </c>
      <c r="B93" t="s">
        <v>4160</v>
      </c>
      <c r="C93">
        <v>330</v>
      </c>
      <c r="D93" t="s">
        <v>1665</v>
      </c>
      <c r="E93" t="s">
        <v>1660</v>
      </c>
      <c r="F93">
        <v>0.98599999999999999</v>
      </c>
      <c r="G93">
        <v>0.98960000000000004</v>
      </c>
    </row>
    <row r="94" spans="1:7" hidden="1">
      <c r="A94" t="s">
        <v>310</v>
      </c>
      <c r="B94" t="s">
        <v>4161</v>
      </c>
      <c r="C94">
        <v>330</v>
      </c>
      <c r="D94" t="s">
        <v>1667</v>
      </c>
      <c r="E94" t="s">
        <v>1660</v>
      </c>
      <c r="F94">
        <v>0.98599999999999999</v>
      </c>
      <c r="G94">
        <v>0.98960000000000004</v>
      </c>
    </row>
    <row r="95" spans="1:7" hidden="1">
      <c r="A95" t="s">
        <v>338</v>
      </c>
      <c r="B95" t="s">
        <v>4162</v>
      </c>
      <c r="C95">
        <v>132</v>
      </c>
      <c r="D95" t="s">
        <v>1766</v>
      </c>
      <c r="E95" t="s">
        <v>1765</v>
      </c>
      <c r="F95">
        <v>0.98519999999999996</v>
      </c>
      <c r="G95">
        <v>0.98599999999999999</v>
      </c>
    </row>
    <row r="96" spans="1:7" hidden="1">
      <c r="A96" t="s">
        <v>2483</v>
      </c>
      <c r="B96" t="s">
        <v>1680</v>
      </c>
      <c r="C96">
        <v>500</v>
      </c>
      <c r="D96" t="s">
        <v>1679</v>
      </c>
      <c r="E96" t="s">
        <v>1674</v>
      </c>
      <c r="F96">
        <v>0.9859</v>
      </c>
      <c r="G96">
        <v>0.98750000000000004</v>
      </c>
    </row>
    <row r="97" spans="1:7" hidden="1">
      <c r="A97" t="s">
        <v>360</v>
      </c>
      <c r="B97" t="s">
        <v>4163</v>
      </c>
      <c r="C97">
        <v>330</v>
      </c>
      <c r="D97" t="s">
        <v>1670</v>
      </c>
      <c r="E97" t="s">
        <v>1669</v>
      </c>
      <c r="F97">
        <v>0.9859</v>
      </c>
      <c r="G97">
        <v>0.98629999999999995</v>
      </c>
    </row>
    <row r="98" spans="1:7" hidden="1">
      <c r="A98" t="s">
        <v>362</v>
      </c>
      <c r="B98" t="s">
        <v>4164</v>
      </c>
      <c r="C98">
        <v>330</v>
      </c>
      <c r="D98" t="s">
        <v>1672</v>
      </c>
      <c r="E98" t="s">
        <v>1669</v>
      </c>
      <c r="F98">
        <v>0.9859</v>
      </c>
      <c r="G98">
        <v>0.98629999999999995</v>
      </c>
    </row>
    <row r="99" spans="1:7" hidden="1">
      <c r="A99" t="s">
        <v>363</v>
      </c>
      <c r="B99" t="s">
        <v>4165</v>
      </c>
      <c r="C99">
        <v>500</v>
      </c>
      <c r="D99" t="s">
        <v>1675</v>
      </c>
      <c r="E99" t="s">
        <v>1674</v>
      </c>
      <c r="F99">
        <v>0.9859</v>
      </c>
      <c r="G99">
        <v>0.98750000000000004</v>
      </c>
    </row>
    <row r="100" spans="1:7" hidden="1">
      <c r="A100" t="s">
        <v>364</v>
      </c>
      <c r="B100" t="s">
        <v>4166</v>
      </c>
      <c r="C100">
        <v>500</v>
      </c>
      <c r="D100" t="s">
        <v>1677</v>
      </c>
      <c r="E100" t="s">
        <v>1674</v>
      </c>
      <c r="F100">
        <v>0.9859</v>
      </c>
      <c r="G100">
        <v>0.98750000000000004</v>
      </c>
    </row>
    <row r="101" spans="1:7" hidden="1">
      <c r="A101" t="s">
        <v>392</v>
      </c>
      <c r="B101" t="s">
        <v>4167</v>
      </c>
      <c r="C101">
        <v>132</v>
      </c>
      <c r="D101" t="s">
        <v>1784</v>
      </c>
      <c r="E101" t="s">
        <v>1765</v>
      </c>
      <c r="F101">
        <v>0.98519999999999996</v>
      </c>
      <c r="G101">
        <v>0.98599999999999999</v>
      </c>
    </row>
    <row r="102" spans="1:7" hidden="1">
      <c r="A102" t="s">
        <v>4289</v>
      </c>
      <c r="B102" t="s">
        <v>1686</v>
      </c>
      <c r="C102">
        <v>132</v>
      </c>
      <c r="D102" t="s">
        <v>1684</v>
      </c>
      <c r="E102" t="s">
        <v>1684</v>
      </c>
      <c r="F102">
        <v>0.94840000000000002</v>
      </c>
      <c r="G102">
        <v>0.94279999999999997</v>
      </c>
    </row>
    <row r="103" spans="1:7" hidden="1">
      <c r="A103" t="s">
        <v>393</v>
      </c>
      <c r="B103" t="s">
        <v>1686</v>
      </c>
      <c r="C103">
        <v>132</v>
      </c>
      <c r="D103" t="s">
        <v>1685</v>
      </c>
      <c r="E103" t="s">
        <v>1684</v>
      </c>
      <c r="F103">
        <v>0.94840000000000002</v>
      </c>
      <c r="G103">
        <v>0.94279999999999997</v>
      </c>
    </row>
    <row r="104" spans="1:7" hidden="1">
      <c r="A104" t="s">
        <v>4290</v>
      </c>
      <c r="B104" t="s">
        <v>4169</v>
      </c>
      <c r="C104">
        <v>132</v>
      </c>
      <c r="D104" t="s">
        <v>4168</v>
      </c>
      <c r="E104" t="s">
        <v>1684</v>
      </c>
      <c r="F104">
        <v>0.94840000000000002</v>
      </c>
      <c r="G104">
        <v>0.94279999999999997</v>
      </c>
    </row>
    <row r="105" spans="1:7" hidden="1">
      <c r="A105" t="s">
        <v>407</v>
      </c>
      <c r="B105" t="s">
        <v>3990</v>
      </c>
      <c r="C105">
        <v>132</v>
      </c>
      <c r="D105" t="s">
        <v>1690</v>
      </c>
      <c r="E105" t="s">
        <v>1690</v>
      </c>
      <c r="F105">
        <v>0.97040000000000004</v>
      </c>
      <c r="G105">
        <v>0.98809999999999998</v>
      </c>
    </row>
    <row r="106" spans="1:7" hidden="1">
      <c r="A106" t="s">
        <v>620</v>
      </c>
      <c r="B106" t="s">
        <v>4170</v>
      </c>
      <c r="C106">
        <v>330</v>
      </c>
      <c r="D106" t="s">
        <v>1691</v>
      </c>
      <c r="E106" t="s">
        <v>1691</v>
      </c>
      <c r="F106">
        <v>0.9798</v>
      </c>
      <c r="G106">
        <v>0.98380000000000001</v>
      </c>
    </row>
    <row r="107" spans="1:7" hidden="1">
      <c r="A107" t="s">
        <v>623</v>
      </c>
      <c r="B107" t="s">
        <v>4171</v>
      </c>
      <c r="C107">
        <v>330</v>
      </c>
      <c r="D107" t="s">
        <v>1692</v>
      </c>
      <c r="E107" t="s">
        <v>1691</v>
      </c>
      <c r="F107">
        <v>1.0017</v>
      </c>
      <c r="G107">
        <v>0.99519999999999997</v>
      </c>
    </row>
    <row r="108" spans="1:7" hidden="1">
      <c r="A108" t="s">
        <v>2504</v>
      </c>
      <c r="B108" t="s">
        <v>4172</v>
      </c>
      <c r="C108">
        <v>330</v>
      </c>
      <c r="D108" t="s">
        <v>1694</v>
      </c>
      <c r="E108" t="s">
        <v>1693</v>
      </c>
      <c r="F108">
        <v>0.9556</v>
      </c>
      <c r="G108">
        <v>0.95879999999999999</v>
      </c>
    </row>
    <row r="109" spans="1:7" hidden="1">
      <c r="A109" t="s">
        <v>460</v>
      </c>
      <c r="B109" t="s">
        <v>4173</v>
      </c>
      <c r="C109">
        <v>330</v>
      </c>
      <c r="D109" t="s">
        <v>1696</v>
      </c>
      <c r="E109" t="s">
        <v>1693</v>
      </c>
      <c r="F109">
        <v>0.9556</v>
      </c>
      <c r="G109">
        <v>0.95879999999999999</v>
      </c>
    </row>
    <row r="110" spans="1:7" hidden="1">
      <c r="A110" t="s">
        <v>462</v>
      </c>
      <c r="B110" t="s">
        <v>4174</v>
      </c>
      <c r="C110">
        <v>330</v>
      </c>
      <c r="D110" t="s">
        <v>1698</v>
      </c>
      <c r="E110" t="s">
        <v>1693</v>
      </c>
      <c r="F110">
        <v>0.9556</v>
      </c>
      <c r="G110">
        <v>0.95879999999999999</v>
      </c>
    </row>
    <row r="111" spans="1:7" hidden="1">
      <c r="A111" t="s">
        <v>463</v>
      </c>
      <c r="B111" t="s">
        <v>4175</v>
      </c>
      <c r="C111">
        <v>330</v>
      </c>
      <c r="D111" t="s">
        <v>1700</v>
      </c>
      <c r="E111" t="s">
        <v>1693</v>
      </c>
      <c r="F111">
        <v>0.9556</v>
      </c>
      <c r="G111">
        <v>0.95879999999999999</v>
      </c>
    </row>
    <row r="112" spans="1:7" hidden="1">
      <c r="A112" t="s">
        <v>464</v>
      </c>
      <c r="B112" t="s">
        <v>4176</v>
      </c>
      <c r="C112">
        <v>330</v>
      </c>
      <c r="D112" t="s">
        <v>1702</v>
      </c>
      <c r="E112" t="s">
        <v>1693</v>
      </c>
      <c r="F112">
        <v>0.9556</v>
      </c>
      <c r="G112">
        <v>0.95879999999999999</v>
      </c>
    </row>
    <row r="113" spans="1:7" hidden="1">
      <c r="A113" t="s">
        <v>696</v>
      </c>
      <c r="B113" t="s">
        <v>4177</v>
      </c>
      <c r="C113">
        <v>330</v>
      </c>
      <c r="D113" t="s">
        <v>1705</v>
      </c>
      <c r="E113" t="s">
        <v>1704</v>
      </c>
      <c r="F113">
        <v>0.92330000000000001</v>
      </c>
      <c r="G113">
        <v>0.97289999999999999</v>
      </c>
    </row>
    <row r="114" spans="1:7" hidden="1">
      <c r="A114" t="s">
        <v>2514</v>
      </c>
      <c r="B114" t="s">
        <v>1708</v>
      </c>
      <c r="C114">
        <v>66</v>
      </c>
      <c r="D114" t="s">
        <v>1707</v>
      </c>
      <c r="E114" t="s">
        <v>1706</v>
      </c>
      <c r="F114">
        <v>1.0209999999999999</v>
      </c>
      <c r="G114">
        <v>1.0137</v>
      </c>
    </row>
    <row r="115" spans="1:7" hidden="1">
      <c r="A115" t="s">
        <v>2518</v>
      </c>
      <c r="B115" t="s">
        <v>4178</v>
      </c>
      <c r="C115">
        <v>330</v>
      </c>
      <c r="D115" t="s">
        <v>1709</v>
      </c>
      <c r="E115" t="s">
        <v>1704</v>
      </c>
      <c r="F115">
        <v>1.0068999999999999</v>
      </c>
      <c r="G115">
        <v>0.98750000000000004</v>
      </c>
    </row>
    <row r="116" spans="1:7" hidden="1">
      <c r="A116" t="s">
        <v>2521</v>
      </c>
      <c r="B116" t="s">
        <v>1711</v>
      </c>
      <c r="C116">
        <v>66</v>
      </c>
      <c r="D116" t="s">
        <v>1710</v>
      </c>
      <c r="E116" t="s">
        <v>1706</v>
      </c>
      <c r="F116">
        <v>1.0209999999999999</v>
      </c>
      <c r="G116">
        <v>1.0137</v>
      </c>
    </row>
    <row r="117" spans="1:7" hidden="1">
      <c r="A117" t="s">
        <v>2524</v>
      </c>
      <c r="B117" t="s">
        <v>1713</v>
      </c>
      <c r="C117">
        <v>66</v>
      </c>
      <c r="D117" t="s">
        <v>1712</v>
      </c>
      <c r="E117" t="s">
        <v>1706</v>
      </c>
      <c r="F117">
        <v>1.0209999999999999</v>
      </c>
      <c r="G117">
        <v>1.0137</v>
      </c>
    </row>
    <row r="118" spans="1:7" hidden="1">
      <c r="A118" t="s">
        <v>2527</v>
      </c>
      <c r="B118" t="s">
        <v>1716</v>
      </c>
      <c r="C118">
        <v>330</v>
      </c>
      <c r="D118" t="s">
        <v>1715</v>
      </c>
      <c r="E118" t="s">
        <v>1714</v>
      </c>
      <c r="F118">
        <v>0.96289999999999998</v>
      </c>
      <c r="G118">
        <v>0.96799999999999997</v>
      </c>
    </row>
    <row r="119" spans="1:7" hidden="1">
      <c r="A119" t="s">
        <v>529</v>
      </c>
      <c r="B119" t="s">
        <v>1718</v>
      </c>
      <c r="C119">
        <v>330</v>
      </c>
      <c r="D119" t="s">
        <v>1717</v>
      </c>
      <c r="E119" t="s">
        <v>1714</v>
      </c>
      <c r="F119">
        <v>0.96289999999999998</v>
      </c>
      <c r="G119">
        <v>0.96799999999999997</v>
      </c>
    </row>
    <row r="120" spans="1:7" hidden="1">
      <c r="A120" t="s">
        <v>531</v>
      </c>
      <c r="B120" t="s">
        <v>1720</v>
      </c>
      <c r="C120">
        <v>330</v>
      </c>
      <c r="D120" t="s">
        <v>1719</v>
      </c>
      <c r="E120" t="s">
        <v>1714</v>
      </c>
      <c r="F120">
        <v>0.96289999999999998</v>
      </c>
      <c r="G120">
        <v>0.96799999999999997</v>
      </c>
    </row>
    <row r="121" spans="1:7" hidden="1">
      <c r="A121" t="s">
        <v>4112</v>
      </c>
      <c r="B121" t="s">
        <v>4179</v>
      </c>
      <c r="C121">
        <v>330</v>
      </c>
      <c r="D121" t="s">
        <v>3997</v>
      </c>
      <c r="E121" t="s">
        <v>3996</v>
      </c>
      <c r="F121">
        <v>0.98570000000000002</v>
      </c>
      <c r="G121">
        <v>0.99260000000000004</v>
      </c>
    </row>
    <row r="122" spans="1:7" hidden="1">
      <c r="A122" t="s">
        <v>4291</v>
      </c>
      <c r="B122" t="s">
        <v>4181</v>
      </c>
      <c r="C122">
        <v>330</v>
      </c>
      <c r="D122" t="s">
        <v>4180</v>
      </c>
      <c r="E122" t="s">
        <v>3996</v>
      </c>
      <c r="F122">
        <v>0.98570000000000002</v>
      </c>
      <c r="G122">
        <v>0.99260000000000004</v>
      </c>
    </row>
    <row r="123" spans="1:7" hidden="1">
      <c r="A123" t="s">
        <v>4292</v>
      </c>
      <c r="B123" t="s">
        <v>4183</v>
      </c>
      <c r="C123">
        <v>330</v>
      </c>
      <c r="D123" t="s">
        <v>4182</v>
      </c>
      <c r="E123" t="s">
        <v>3996</v>
      </c>
      <c r="F123">
        <v>0.98570000000000002</v>
      </c>
      <c r="G123">
        <v>0.99260000000000004</v>
      </c>
    </row>
    <row r="124" spans="1:7" hidden="1">
      <c r="A124" t="s">
        <v>3133</v>
      </c>
      <c r="B124" t="s">
        <v>4281</v>
      </c>
      <c r="C124">
        <v>330</v>
      </c>
      <c r="D124" t="s">
        <v>4185</v>
      </c>
      <c r="E124" t="s">
        <v>4184</v>
      </c>
      <c r="F124">
        <v>0.99219999999999997</v>
      </c>
      <c r="G124">
        <v>0.99319999999999997</v>
      </c>
    </row>
    <row r="125" spans="1:7" hidden="1">
      <c r="A125" t="s">
        <v>3133</v>
      </c>
      <c r="B125" t="s">
        <v>4282</v>
      </c>
      <c r="C125">
        <v>330</v>
      </c>
      <c r="D125" t="s">
        <v>4186</v>
      </c>
      <c r="E125" t="s">
        <v>4184</v>
      </c>
      <c r="F125">
        <v>0.99219999999999997</v>
      </c>
      <c r="G125">
        <v>0.99319999999999997</v>
      </c>
    </row>
    <row r="126" spans="1:7" hidden="1">
      <c r="A126" t="s">
        <v>3133</v>
      </c>
      <c r="B126" t="s">
        <v>4283</v>
      </c>
      <c r="C126">
        <v>330</v>
      </c>
      <c r="D126" t="s">
        <v>4187</v>
      </c>
      <c r="E126" t="s">
        <v>4184</v>
      </c>
      <c r="F126">
        <v>0.99219999999999997</v>
      </c>
      <c r="G126">
        <v>0.99319999999999997</v>
      </c>
    </row>
    <row r="127" spans="1:7" hidden="1">
      <c r="A127" t="s">
        <v>703</v>
      </c>
      <c r="B127" t="s">
        <v>1724</v>
      </c>
      <c r="C127">
        <v>330</v>
      </c>
      <c r="D127" t="s">
        <v>1723</v>
      </c>
      <c r="E127" t="s">
        <v>1722</v>
      </c>
      <c r="F127">
        <v>0.94530000000000003</v>
      </c>
      <c r="G127">
        <v>0.97829999999999995</v>
      </c>
    </row>
    <row r="128" spans="1:7" hidden="1">
      <c r="A128" t="s">
        <v>705</v>
      </c>
      <c r="B128" t="s">
        <v>4188</v>
      </c>
      <c r="C128">
        <v>132</v>
      </c>
      <c r="D128" t="s">
        <v>1726</v>
      </c>
      <c r="E128" t="s">
        <v>1725</v>
      </c>
      <c r="F128">
        <v>0.96650000000000003</v>
      </c>
      <c r="G128">
        <v>0.91890000000000005</v>
      </c>
    </row>
    <row r="129" spans="1:7" hidden="1">
      <c r="A129" t="s">
        <v>707</v>
      </c>
      <c r="B129" t="s">
        <v>4189</v>
      </c>
      <c r="C129">
        <v>132</v>
      </c>
      <c r="D129" t="s">
        <v>1728</v>
      </c>
      <c r="E129" t="s">
        <v>1725</v>
      </c>
      <c r="F129">
        <v>0.96650000000000003</v>
      </c>
      <c r="G129">
        <v>0.91890000000000005</v>
      </c>
    </row>
    <row r="130" spans="1:7" hidden="1">
      <c r="A130" t="s">
        <v>708</v>
      </c>
      <c r="B130" t="s">
        <v>4190</v>
      </c>
      <c r="C130">
        <v>132</v>
      </c>
      <c r="D130" t="s">
        <v>1730</v>
      </c>
      <c r="E130" t="s">
        <v>1725</v>
      </c>
      <c r="F130">
        <v>0.96650000000000003</v>
      </c>
      <c r="G130">
        <v>0.91890000000000005</v>
      </c>
    </row>
    <row r="131" spans="1:7" hidden="1">
      <c r="A131" t="s">
        <v>709</v>
      </c>
      <c r="B131" t="s">
        <v>4191</v>
      </c>
      <c r="C131">
        <v>132</v>
      </c>
      <c r="D131" t="s">
        <v>1732</v>
      </c>
      <c r="E131" t="s">
        <v>1725</v>
      </c>
      <c r="F131">
        <v>0.96650000000000003</v>
      </c>
      <c r="G131">
        <v>0.91890000000000005</v>
      </c>
    </row>
    <row r="132" spans="1:7" hidden="1">
      <c r="A132" t="s">
        <v>2554</v>
      </c>
      <c r="B132" t="s">
        <v>4192</v>
      </c>
      <c r="C132">
        <v>330</v>
      </c>
      <c r="D132" t="s">
        <v>1735</v>
      </c>
      <c r="E132" t="s">
        <v>1734</v>
      </c>
      <c r="F132">
        <v>0.98770000000000002</v>
      </c>
      <c r="G132">
        <v>0.98939999999999995</v>
      </c>
    </row>
    <row r="133" spans="1:7" hidden="1">
      <c r="A133" t="s">
        <v>710</v>
      </c>
      <c r="B133" t="s">
        <v>4193</v>
      </c>
      <c r="C133">
        <v>330</v>
      </c>
      <c r="D133" t="s">
        <v>1737</v>
      </c>
      <c r="E133" t="s">
        <v>1734</v>
      </c>
      <c r="F133">
        <v>0.98770000000000002</v>
      </c>
      <c r="G133">
        <v>0.98939999999999995</v>
      </c>
    </row>
    <row r="134" spans="1:7" hidden="1">
      <c r="A134" t="s">
        <v>712</v>
      </c>
      <c r="B134" t="s">
        <v>4194</v>
      </c>
      <c r="C134">
        <v>330</v>
      </c>
      <c r="D134" t="s">
        <v>1739</v>
      </c>
      <c r="E134" t="s">
        <v>1734</v>
      </c>
      <c r="F134">
        <v>0.98770000000000002</v>
      </c>
      <c r="G134">
        <v>0.98939999999999995</v>
      </c>
    </row>
    <row r="135" spans="1:7" hidden="1">
      <c r="A135" t="s">
        <v>4293</v>
      </c>
      <c r="B135" t="s">
        <v>4197</v>
      </c>
      <c r="C135">
        <v>330</v>
      </c>
      <c r="D135" t="s">
        <v>4196</v>
      </c>
      <c r="E135" t="s">
        <v>4195</v>
      </c>
      <c r="F135">
        <v>0.96330000000000005</v>
      </c>
      <c r="G135">
        <v>0.96989999999999998</v>
      </c>
    </row>
    <row r="136" spans="1:7" hidden="1">
      <c r="A136" t="s">
        <v>4294</v>
      </c>
      <c r="B136" t="s">
        <v>4199</v>
      </c>
      <c r="C136">
        <v>330</v>
      </c>
      <c r="D136" t="s">
        <v>4198</v>
      </c>
      <c r="E136" t="s">
        <v>4195</v>
      </c>
      <c r="F136">
        <v>0.96330000000000005</v>
      </c>
      <c r="G136">
        <v>0.96989999999999998</v>
      </c>
    </row>
    <row r="137" spans="1:7" hidden="1">
      <c r="A137" t="s">
        <v>756</v>
      </c>
      <c r="B137" t="s">
        <v>4200</v>
      </c>
      <c r="C137">
        <v>330</v>
      </c>
      <c r="D137" t="s">
        <v>1741</v>
      </c>
      <c r="E137" t="s">
        <v>1657</v>
      </c>
      <c r="F137">
        <v>0.98450000000000004</v>
      </c>
      <c r="G137">
        <v>0.98799999999999999</v>
      </c>
    </row>
    <row r="138" spans="1:7" hidden="1">
      <c r="A138" t="s">
        <v>202</v>
      </c>
      <c r="B138" t="s">
        <v>1746</v>
      </c>
      <c r="C138">
        <v>132</v>
      </c>
      <c r="D138" t="s">
        <v>1745</v>
      </c>
      <c r="E138" t="s">
        <v>1744</v>
      </c>
      <c r="F138">
        <v>0.99329999999999996</v>
      </c>
      <c r="G138">
        <v>0.99039999999999995</v>
      </c>
    </row>
    <row r="139" spans="1:7" hidden="1">
      <c r="A139" t="s">
        <v>206</v>
      </c>
      <c r="B139" t="s">
        <v>4002</v>
      </c>
      <c r="C139">
        <v>132</v>
      </c>
      <c r="D139" t="s">
        <v>4001</v>
      </c>
      <c r="E139" t="s">
        <v>1800</v>
      </c>
      <c r="F139">
        <v>1.0024</v>
      </c>
      <c r="G139">
        <v>1.0018</v>
      </c>
    </row>
    <row r="140" spans="1:7" hidden="1">
      <c r="A140" t="s">
        <v>284</v>
      </c>
      <c r="B140" t="s">
        <v>4201</v>
      </c>
      <c r="C140">
        <v>132</v>
      </c>
      <c r="D140" t="s">
        <v>1748</v>
      </c>
      <c r="E140" t="s">
        <v>1747</v>
      </c>
      <c r="F140">
        <v>0.98360000000000003</v>
      </c>
      <c r="G140">
        <v>1.0217000000000001</v>
      </c>
    </row>
    <row r="141" spans="1:7" hidden="1">
      <c r="A141" t="s">
        <v>272</v>
      </c>
      <c r="B141" t="s">
        <v>4202</v>
      </c>
      <c r="C141">
        <v>66</v>
      </c>
      <c r="D141" t="s">
        <v>1751</v>
      </c>
      <c r="E141" t="s">
        <v>1750</v>
      </c>
      <c r="F141">
        <v>1.0071000000000001</v>
      </c>
      <c r="G141">
        <v>1.0156000000000001</v>
      </c>
    </row>
    <row r="142" spans="1:7" hidden="1">
      <c r="A142" t="s">
        <v>239</v>
      </c>
      <c r="B142" t="s">
        <v>1755</v>
      </c>
      <c r="C142">
        <v>132</v>
      </c>
      <c r="D142" t="s">
        <v>1754</v>
      </c>
      <c r="E142" t="s">
        <v>1753</v>
      </c>
      <c r="F142">
        <v>0.97950000000000004</v>
      </c>
      <c r="G142">
        <v>0.98780000000000001</v>
      </c>
    </row>
    <row r="143" spans="1:7" hidden="1">
      <c r="A143" t="s">
        <v>731</v>
      </c>
      <c r="B143" t="s">
        <v>1758</v>
      </c>
      <c r="C143">
        <v>66</v>
      </c>
      <c r="D143" t="s">
        <v>1757</v>
      </c>
      <c r="E143" t="s">
        <v>1756</v>
      </c>
      <c r="F143">
        <v>0.99790000000000001</v>
      </c>
      <c r="G143">
        <v>0.99829999999999997</v>
      </c>
    </row>
    <row r="144" spans="1:7" hidden="1">
      <c r="A144" t="s">
        <v>326</v>
      </c>
      <c r="B144" t="s">
        <v>1761</v>
      </c>
      <c r="C144">
        <v>110</v>
      </c>
      <c r="D144" t="s">
        <v>1760</v>
      </c>
      <c r="E144" t="s">
        <v>1759</v>
      </c>
      <c r="F144">
        <v>1.0089999999999999</v>
      </c>
      <c r="G144">
        <v>1.0394000000000001</v>
      </c>
    </row>
    <row r="145" spans="1:7" hidden="1">
      <c r="A145" t="s">
        <v>328</v>
      </c>
      <c r="B145" t="s">
        <v>1764</v>
      </c>
      <c r="C145">
        <v>66</v>
      </c>
      <c r="D145" t="s">
        <v>1763</v>
      </c>
      <c r="E145" t="s">
        <v>1762</v>
      </c>
      <c r="F145">
        <v>0.99439999999999995</v>
      </c>
      <c r="G145">
        <v>1.0387</v>
      </c>
    </row>
    <row r="146" spans="1:7" hidden="1">
      <c r="A146" t="s">
        <v>351</v>
      </c>
      <c r="B146" t="s">
        <v>1770</v>
      </c>
      <c r="C146">
        <v>132</v>
      </c>
      <c r="D146" t="s">
        <v>1769</v>
      </c>
      <c r="E146" t="s">
        <v>1768</v>
      </c>
      <c r="F146">
        <v>1.0053000000000001</v>
      </c>
      <c r="G146">
        <v>1.0057</v>
      </c>
    </row>
    <row r="147" spans="1:7" hidden="1">
      <c r="A147" t="s">
        <v>365</v>
      </c>
      <c r="B147" t="s">
        <v>4203</v>
      </c>
      <c r="C147">
        <v>330</v>
      </c>
      <c r="D147" t="s">
        <v>1771</v>
      </c>
      <c r="E147" t="s">
        <v>1669</v>
      </c>
      <c r="F147">
        <v>0.9859</v>
      </c>
      <c r="G147">
        <v>0.98629999999999995</v>
      </c>
    </row>
    <row r="148" spans="1:7" hidden="1">
      <c r="A148" t="s">
        <v>375</v>
      </c>
      <c r="B148" t="s">
        <v>1775</v>
      </c>
      <c r="C148">
        <v>132</v>
      </c>
      <c r="D148" t="s">
        <v>1774</v>
      </c>
      <c r="E148" t="s">
        <v>1773</v>
      </c>
      <c r="F148">
        <v>0.95879999999999999</v>
      </c>
      <c r="G148">
        <v>0.96730000000000005</v>
      </c>
    </row>
    <row r="149" spans="1:7" hidden="1">
      <c r="A149" t="s">
        <v>567</v>
      </c>
      <c r="B149" t="s">
        <v>4204</v>
      </c>
      <c r="C149">
        <v>66</v>
      </c>
      <c r="D149" t="s">
        <v>1777</v>
      </c>
      <c r="E149" t="s">
        <v>1776</v>
      </c>
      <c r="F149">
        <v>0.97719999999999996</v>
      </c>
      <c r="G149">
        <v>1.0196000000000001</v>
      </c>
    </row>
    <row r="150" spans="1:7" hidden="1">
      <c r="A150" t="s">
        <v>381</v>
      </c>
      <c r="B150" t="s">
        <v>4205</v>
      </c>
      <c r="C150">
        <v>132</v>
      </c>
      <c r="D150" t="s">
        <v>1782</v>
      </c>
      <c r="E150" t="s">
        <v>1781</v>
      </c>
      <c r="F150">
        <v>0.99970000000000003</v>
      </c>
      <c r="G150">
        <v>0.99870000000000003</v>
      </c>
    </row>
    <row r="151" spans="1:7" hidden="1">
      <c r="A151" t="s">
        <v>4113</v>
      </c>
      <c r="B151" t="s">
        <v>4206</v>
      </c>
      <c r="C151">
        <v>33</v>
      </c>
      <c r="D151" t="s">
        <v>4006</v>
      </c>
      <c r="E151" t="s">
        <v>4005</v>
      </c>
      <c r="F151">
        <v>1.0023</v>
      </c>
      <c r="G151">
        <v>0.99509999999999998</v>
      </c>
    </row>
    <row r="152" spans="1:7" hidden="1">
      <c r="A152" t="s">
        <v>438</v>
      </c>
      <c r="B152" t="s">
        <v>1787</v>
      </c>
      <c r="C152">
        <v>66</v>
      </c>
      <c r="D152" t="s">
        <v>1786</v>
      </c>
      <c r="E152" t="s">
        <v>1750</v>
      </c>
      <c r="F152">
        <v>1.0071000000000001</v>
      </c>
      <c r="G152">
        <v>1.0156000000000001</v>
      </c>
    </row>
    <row r="153" spans="1:7" hidden="1">
      <c r="A153" t="s">
        <v>440</v>
      </c>
      <c r="B153" t="s">
        <v>1789</v>
      </c>
      <c r="C153">
        <v>66</v>
      </c>
      <c r="D153" t="s">
        <v>1788</v>
      </c>
      <c r="E153" t="s">
        <v>1706</v>
      </c>
      <c r="F153">
        <v>1.0209999999999999</v>
      </c>
      <c r="G153">
        <v>1.0137</v>
      </c>
    </row>
    <row r="154" spans="1:7" hidden="1">
      <c r="A154" t="s">
        <v>448</v>
      </c>
      <c r="B154" t="s">
        <v>4207</v>
      </c>
      <c r="C154">
        <v>66</v>
      </c>
      <c r="D154" t="s">
        <v>1790</v>
      </c>
      <c r="E154" t="s">
        <v>1790</v>
      </c>
      <c r="F154">
        <v>1.0001</v>
      </c>
      <c r="G154">
        <v>1.0383</v>
      </c>
    </row>
    <row r="155" spans="1:7" hidden="1">
      <c r="A155" t="s">
        <v>409</v>
      </c>
      <c r="B155" t="s">
        <v>4208</v>
      </c>
      <c r="C155">
        <v>33</v>
      </c>
      <c r="D155" t="s">
        <v>1796</v>
      </c>
      <c r="E155" t="s">
        <v>1795</v>
      </c>
      <c r="F155">
        <v>0.96409999999999996</v>
      </c>
      <c r="G155">
        <v>0.96750000000000003</v>
      </c>
    </row>
    <row r="156" spans="1:7" hidden="1">
      <c r="A156" t="s">
        <v>425</v>
      </c>
      <c r="B156" t="s">
        <v>4209</v>
      </c>
      <c r="C156">
        <v>132</v>
      </c>
      <c r="D156" t="s">
        <v>1798</v>
      </c>
      <c r="E156" t="s">
        <v>1768</v>
      </c>
      <c r="F156">
        <v>1.0053000000000001</v>
      </c>
      <c r="G156">
        <v>1.0057</v>
      </c>
    </row>
    <row r="157" spans="1:7" hidden="1">
      <c r="A157" t="s">
        <v>486</v>
      </c>
      <c r="B157" t="s">
        <v>1804</v>
      </c>
      <c r="C157">
        <v>132</v>
      </c>
      <c r="D157" t="s">
        <v>1803</v>
      </c>
      <c r="E157" t="s">
        <v>1800</v>
      </c>
      <c r="F157">
        <v>1.0024</v>
      </c>
      <c r="G157">
        <v>1.0018</v>
      </c>
    </row>
    <row r="158" spans="1:7" hidden="1">
      <c r="A158" t="s">
        <v>547</v>
      </c>
      <c r="B158" t="s">
        <v>1807</v>
      </c>
      <c r="C158">
        <v>132</v>
      </c>
      <c r="D158" t="s">
        <v>1806</v>
      </c>
      <c r="E158" t="s">
        <v>1805</v>
      </c>
      <c r="F158">
        <v>1.0083</v>
      </c>
      <c r="G158">
        <v>1.0078</v>
      </c>
    </row>
    <row r="159" spans="1:7" hidden="1">
      <c r="A159" t="s">
        <v>1183</v>
      </c>
      <c r="B159" t="s">
        <v>4011</v>
      </c>
      <c r="C159">
        <v>132</v>
      </c>
      <c r="D159" t="s">
        <v>4010</v>
      </c>
      <c r="E159" t="s">
        <v>4009</v>
      </c>
      <c r="F159">
        <v>0.95720000000000005</v>
      </c>
      <c r="G159">
        <v>0.95099999999999996</v>
      </c>
    </row>
    <row r="160" spans="1:7" hidden="1">
      <c r="A160" t="s">
        <v>625</v>
      </c>
      <c r="B160" t="s">
        <v>4210</v>
      </c>
      <c r="C160">
        <v>132</v>
      </c>
      <c r="D160" t="s">
        <v>1810</v>
      </c>
      <c r="E160" t="s">
        <v>1768</v>
      </c>
      <c r="F160">
        <v>1.0053000000000001</v>
      </c>
      <c r="G160">
        <v>1.0057</v>
      </c>
    </row>
    <row r="161" spans="1:7" hidden="1">
      <c r="A161" t="s">
        <v>643</v>
      </c>
      <c r="B161" t="s">
        <v>1813</v>
      </c>
      <c r="C161">
        <v>33</v>
      </c>
      <c r="D161" t="s">
        <v>1812</v>
      </c>
      <c r="E161" t="s">
        <v>1811</v>
      </c>
      <c r="F161">
        <v>1.0074000000000001</v>
      </c>
      <c r="G161">
        <v>1.0065</v>
      </c>
    </row>
    <row r="162" spans="1:7" hidden="1">
      <c r="A162" t="s">
        <v>654</v>
      </c>
      <c r="B162" t="s">
        <v>1816</v>
      </c>
      <c r="C162">
        <v>132</v>
      </c>
      <c r="D162" t="s">
        <v>1815</v>
      </c>
      <c r="E162" t="s">
        <v>1814</v>
      </c>
      <c r="F162">
        <v>0.99339999999999995</v>
      </c>
      <c r="G162">
        <v>0.98599999999999999</v>
      </c>
    </row>
    <row r="163" spans="1:7" hidden="1">
      <c r="A163" t="s">
        <v>669</v>
      </c>
      <c r="B163" t="s">
        <v>670</v>
      </c>
      <c r="C163">
        <v>132</v>
      </c>
      <c r="D163" t="s">
        <v>1820</v>
      </c>
      <c r="E163" t="s">
        <v>1744</v>
      </c>
      <c r="F163">
        <v>0.99329999999999996</v>
      </c>
      <c r="G163">
        <v>0.99039999999999995</v>
      </c>
    </row>
    <row r="164" spans="1:7" hidden="1">
      <c r="A164" t="s">
        <v>675</v>
      </c>
      <c r="B164" t="s">
        <v>1823</v>
      </c>
      <c r="C164">
        <v>22</v>
      </c>
      <c r="D164" t="s">
        <v>1822</v>
      </c>
      <c r="E164" t="s">
        <v>1821</v>
      </c>
      <c r="F164">
        <v>1.0497000000000001</v>
      </c>
      <c r="G164">
        <v>1.0426</v>
      </c>
    </row>
    <row r="165" spans="1:7" hidden="1">
      <c r="A165" t="s">
        <v>174</v>
      </c>
      <c r="B165" t="s">
        <v>1826</v>
      </c>
      <c r="C165">
        <v>132</v>
      </c>
      <c r="D165" t="s">
        <v>1825</v>
      </c>
      <c r="E165" t="s">
        <v>1824</v>
      </c>
      <c r="F165">
        <v>0.99419999999999997</v>
      </c>
      <c r="G165">
        <v>0.99460000000000004</v>
      </c>
    </row>
    <row r="166" spans="1:7" hidden="1">
      <c r="A166" t="s">
        <v>733</v>
      </c>
      <c r="B166" t="s">
        <v>1828</v>
      </c>
      <c r="C166">
        <v>132</v>
      </c>
      <c r="D166" t="s">
        <v>1827</v>
      </c>
      <c r="E166" t="s">
        <v>1824</v>
      </c>
      <c r="F166">
        <v>0.99419999999999997</v>
      </c>
      <c r="G166">
        <v>0.99460000000000004</v>
      </c>
    </row>
    <row r="167" spans="1:7" hidden="1">
      <c r="A167" t="s">
        <v>729</v>
      </c>
      <c r="B167" t="s">
        <v>1835</v>
      </c>
      <c r="C167">
        <v>132</v>
      </c>
      <c r="D167" t="s">
        <v>1834</v>
      </c>
      <c r="E167" t="s">
        <v>1817</v>
      </c>
      <c r="F167">
        <v>0.98370000000000002</v>
      </c>
      <c r="G167">
        <v>0.98509999999999998</v>
      </c>
    </row>
    <row r="168" spans="1:7" hidden="1">
      <c r="A168" t="s">
        <v>764</v>
      </c>
      <c r="B168" t="s">
        <v>1839</v>
      </c>
      <c r="C168">
        <v>66</v>
      </c>
      <c r="D168" t="s">
        <v>1838</v>
      </c>
      <c r="E168" t="s">
        <v>1837</v>
      </c>
      <c r="F168">
        <v>1.0150999999999999</v>
      </c>
      <c r="G168">
        <v>1.0257000000000001</v>
      </c>
    </row>
    <row r="169" spans="1:7" hidden="1">
      <c r="A169" t="s">
        <v>766</v>
      </c>
      <c r="B169" t="s">
        <v>1841</v>
      </c>
      <c r="C169">
        <v>66</v>
      </c>
      <c r="D169" t="s">
        <v>1840</v>
      </c>
      <c r="E169" t="s">
        <v>1837</v>
      </c>
      <c r="F169">
        <v>1.0150999999999999</v>
      </c>
      <c r="G169">
        <v>1.0257000000000001</v>
      </c>
    </row>
    <row r="170" spans="1:7" hidden="1">
      <c r="A170" t="s">
        <v>208</v>
      </c>
      <c r="B170" t="s">
        <v>1849</v>
      </c>
      <c r="C170">
        <v>220</v>
      </c>
      <c r="D170" t="s">
        <v>1848</v>
      </c>
      <c r="E170" t="s">
        <v>1847</v>
      </c>
      <c r="F170">
        <v>0.98850000000000005</v>
      </c>
      <c r="G170">
        <v>0.98340000000000005</v>
      </c>
    </row>
    <row r="171" spans="1:7" hidden="1">
      <c r="A171" t="s">
        <v>2708</v>
      </c>
      <c r="B171" t="s">
        <v>1852</v>
      </c>
      <c r="C171">
        <v>500</v>
      </c>
      <c r="D171" t="s">
        <v>1851</v>
      </c>
      <c r="E171" t="s">
        <v>1850</v>
      </c>
      <c r="F171">
        <v>0.96840000000000004</v>
      </c>
      <c r="G171">
        <v>0.96830000000000005</v>
      </c>
    </row>
    <row r="172" spans="1:7" hidden="1">
      <c r="A172" t="s">
        <v>2708</v>
      </c>
      <c r="B172" t="s">
        <v>4211</v>
      </c>
      <c r="C172">
        <v>500</v>
      </c>
      <c r="D172" t="s">
        <v>1851</v>
      </c>
      <c r="E172" t="s">
        <v>1850</v>
      </c>
      <c r="F172">
        <v>0.97419999999999995</v>
      </c>
      <c r="G172">
        <v>0.97260000000000002</v>
      </c>
    </row>
    <row r="173" spans="1:7" hidden="1">
      <c r="A173" t="s">
        <v>501</v>
      </c>
      <c r="B173" t="s">
        <v>4212</v>
      </c>
      <c r="C173">
        <v>220</v>
      </c>
      <c r="D173" t="s">
        <v>1900</v>
      </c>
      <c r="E173" t="s">
        <v>1899</v>
      </c>
      <c r="F173">
        <v>0.99929999999999997</v>
      </c>
      <c r="G173">
        <v>0.9919</v>
      </c>
    </row>
    <row r="174" spans="1:7" hidden="1">
      <c r="A174" t="s">
        <v>342</v>
      </c>
      <c r="B174" t="s">
        <v>1853</v>
      </c>
      <c r="C174">
        <v>220</v>
      </c>
      <c r="D174" t="s">
        <v>1847</v>
      </c>
      <c r="E174" t="s">
        <v>1847</v>
      </c>
      <c r="F174">
        <v>0.98850000000000005</v>
      </c>
      <c r="G174">
        <v>0.98340000000000005</v>
      </c>
    </row>
    <row r="175" spans="1:7" hidden="1">
      <c r="A175" t="s">
        <v>355</v>
      </c>
      <c r="B175" t="s">
        <v>4213</v>
      </c>
      <c r="C175">
        <v>220</v>
      </c>
      <c r="D175" t="s">
        <v>1855</v>
      </c>
      <c r="E175" t="s">
        <v>1854</v>
      </c>
      <c r="F175">
        <v>0.99019999999999997</v>
      </c>
      <c r="G175">
        <v>0.99439999999999995</v>
      </c>
    </row>
    <row r="176" spans="1:7" hidden="1">
      <c r="A176" t="s">
        <v>357</v>
      </c>
      <c r="B176" t="s">
        <v>4214</v>
      </c>
      <c r="C176">
        <v>220</v>
      </c>
      <c r="D176" t="s">
        <v>1857</v>
      </c>
      <c r="E176" t="s">
        <v>1854</v>
      </c>
      <c r="F176">
        <v>0.99019999999999997</v>
      </c>
      <c r="G176">
        <v>0.99439999999999995</v>
      </c>
    </row>
    <row r="177" spans="1:7" hidden="1">
      <c r="A177" t="s">
        <v>2738</v>
      </c>
      <c r="B177" t="s">
        <v>4215</v>
      </c>
      <c r="C177">
        <v>132</v>
      </c>
      <c r="D177" t="s">
        <v>1874</v>
      </c>
      <c r="E177" t="s">
        <v>1874</v>
      </c>
      <c r="F177">
        <v>1.1047</v>
      </c>
      <c r="G177">
        <v>1.1211</v>
      </c>
    </row>
    <row r="178" spans="1:7" hidden="1">
      <c r="A178" t="s">
        <v>3939</v>
      </c>
      <c r="B178" t="s">
        <v>4024</v>
      </c>
      <c r="C178">
        <v>220</v>
      </c>
      <c r="D178" t="s">
        <v>4023</v>
      </c>
      <c r="E178" t="s">
        <v>4022</v>
      </c>
      <c r="F178">
        <v>0.96850000000000003</v>
      </c>
      <c r="G178">
        <v>0.96730000000000005</v>
      </c>
    </row>
    <row r="179" spans="1:7" hidden="1">
      <c r="A179" t="s">
        <v>412</v>
      </c>
      <c r="B179" t="s">
        <v>4026</v>
      </c>
      <c r="C179">
        <v>220</v>
      </c>
      <c r="D179" t="s">
        <v>4025</v>
      </c>
      <c r="E179" t="s">
        <v>4022</v>
      </c>
      <c r="F179">
        <v>0.96850000000000003</v>
      </c>
      <c r="G179">
        <v>0.96730000000000005</v>
      </c>
    </row>
    <row r="180" spans="1:7" hidden="1">
      <c r="A180" t="s">
        <v>414</v>
      </c>
      <c r="B180" t="s">
        <v>4028</v>
      </c>
      <c r="C180">
        <v>220</v>
      </c>
      <c r="D180" t="s">
        <v>4027</v>
      </c>
      <c r="E180" t="s">
        <v>4022</v>
      </c>
      <c r="F180">
        <v>0.96850000000000003</v>
      </c>
      <c r="G180">
        <v>0.96730000000000005</v>
      </c>
    </row>
    <row r="181" spans="1:7" hidden="1">
      <c r="A181" t="s">
        <v>415</v>
      </c>
      <c r="B181" t="s">
        <v>4030</v>
      </c>
      <c r="C181">
        <v>220</v>
      </c>
      <c r="D181" t="s">
        <v>4029</v>
      </c>
      <c r="E181" t="s">
        <v>4022</v>
      </c>
      <c r="F181">
        <v>0.96850000000000003</v>
      </c>
      <c r="G181">
        <v>0.96730000000000005</v>
      </c>
    </row>
    <row r="182" spans="1:7" hidden="1">
      <c r="A182" t="s">
        <v>416</v>
      </c>
      <c r="B182" t="s">
        <v>4032</v>
      </c>
      <c r="C182">
        <v>220</v>
      </c>
      <c r="D182" t="s">
        <v>4031</v>
      </c>
      <c r="E182" t="s">
        <v>4022</v>
      </c>
      <c r="F182">
        <v>0.96850000000000003</v>
      </c>
      <c r="G182">
        <v>0.96730000000000005</v>
      </c>
    </row>
    <row r="183" spans="1:7" hidden="1">
      <c r="A183" t="s">
        <v>417</v>
      </c>
      <c r="B183" t="s">
        <v>4034</v>
      </c>
      <c r="C183">
        <v>220</v>
      </c>
      <c r="D183" t="s">
        <v>4033</v>
      </c>
      <c r="E183" t="s">
        <v>4022</v>
      </c>
      <c r="F183">
        <v>0.96850000000000003</v>
      </c>
      <c r="G183">
        <v>0.96730000000000005</v>
      </c>
    </row>
    <row r="184" spans="1:7" hidden="1">
      <c r="A184" t="s">
        <v>418</v>
      </c>
      <c r="B184" t="s">
        <v>4036</v>
      </c>
      <c r="C184">
        <v>220</v>
      </c>
      <c r="D184" t="s">
        <v>4035</v>
      </c>
      <c r="E184" t="s">
        <v>4022</v>
      </c>
      <c r="F184">
        <v>0.96850000000000003</v>
      </c>
      <c r="G184">
        <v>0.96730000000000005</v>
      </c>
    </row>
    <row r="185" spans="1:7" hidden="1">
      <c r="A185" t="s">
        <v>419</v>
      </c>
      <c r="B185" t="s">
        <v>4038</v>
      </c>
      <c r="C185">
        <v>220</v>
      </c>
      <c r="D185" t="s">
        <v>4037</v>
      </c>
      <c r="E185" t="s">
        <v>4022</v>
      </c>
      <c r="F185">
        <v>0.96850000000000003</v>
      </c>
      <c r="G185">
        <v>0.96730000000000005</v>
      </c>
    </row>
    <row r="186" spans="1:7" hidden="1">
      <c r="A186" t="s">
        <v>420</v>
      </c>
      <c r="B186" t="s">
        <v>4040</v>
      </c>
      <c r="C186">
        <v>220</v>
      </c>
      <c r="D186" t="s">
        <v>4039</v>
      </c>
      <c r="E186" t="s">
        <v>4022</v>
      </c>
      <c r="F186">
        <v>0.96850000000000003</v>
      </c>
      <c r="G186">
        <v>0.96730000000000005</v>
      </c>
    </row>
    <row r="187" spans="1:7" hidden="1">
      <c r="A187" t="s">
        <v>429</v>
      </c>
      <c r="B187" t="s">
        <v>1861</v>
      </c>
      <c r="C187">
        <v>220</v>
      </c>
      <c r="D187" t="s">
        <v>1860</v>
      </c>
      <c r="E187" t="s">
        <v>1859</v>
      </c>
      <c r="F187">
        <v>0.96399999999999997</v>
      </c>
      <c r="G187">
        <v>0.96330000000000005</v>
      </c>
    </row>
    <row r="188" spans="1:7" hidden="1">
      <c r="A188" t="s">
        <v>431</v>
      </c>
      <c r="B188" t="s">
        <v>1863</v>
      </c>
      <c r="C188">
        <v>220</v>
      </c>
      <c r="D188" t="s">
        <v>1862</v>
      </c>
      <c r="E188" t="s">
        <v>1859</v>
      </c>
      <c r="F188">
        <v>0.96399999999999997</v>
      </c>
      <c r="G188">
        <v>0.96330000000000005</v>
      </c>
    </row>
    <row r="189" spans="1:7" hidden="1">
      <c r="A189" t="s">
        <v>432</v>
      </c>
      <c r="B189" t="s">
        <v>1865</v>
      </c>
      <c r="C189">
        <v>220</v>
      </c>
      <c r="D189" t="s">
        <v>1864</v>
      </c>
      <c r="E189" t="s">
        <v>1859</v>
      </c>
      <c r="F189">
        <v>0.96399999999999997</v>
      </c>
      <c r="G189">
        <v>0.96330000000000005</v>
      </c>
    </row>
    <row r="190" spans="1:7" hidden="1">
      <c r="A190" t="s">
        <v>433</v>
      </c>
      <c r="B190" t="s">
        <v>1867</v>
      </c>
      <c r="C190">
        <v>220</v>
      </c>
      <c r="D190" t="s">
        <v>1866</v>
      </c>
      <c r="E190" t="s">
        <v>1859</v>
      </c>
      <c r="F190">
        <v>0.96399999999999997</v>
      </c>
      <c r="G190">
        <v>0.96330000000000005</v>
      </c>
    </row>
    <row r="191" spans="1:7" hidden="1">
      <c r="A191" t="s">
        <v>434</v>
      </c>
      <c r="B191" t="s">
        <v>1869</v>
      </c>
      <c r="C191">
        <v>220</v>
      </c>
      <c r="D191" t="s">
        <v>1868</v>
      </c>
      <c r="E191" t="s">
        <v>1859</v>
      </c>
      <c r="F191">
        <v>0.96399999999999997</v>
      </c>
      <c r="G191">
        <v>0.96330000000000005</v>
      </c>
    </row>
    <row r="192" spans="1:7" hidden="1">
      <c r="A192" t="s">
        <v>436</v>
      </c>
      <c r="B192" t="s">
        <v>1871</v>
      </c>
      <c r="C192">
        <v>220</v>
      </c>
      <c r="D192" t="s">
        <v>1870</v>
      </c>
      <c r="E192" t="s">
        <v>1859</v>
      </c>
      <c r="F192">
        <v>0.96399999999999997</v>
      </c>
      <c r="G192">
        <v>0.96330000000000005</v>
      </c>
    </row>
    <row r="193" spans="1:7" hidden="1">
      <c r="A193" t="s">
        <v>437</v>
      </c>
      <c r="B193" t="s">
        <v>1873</v>
      </c>
      <c r="C193">
        <v>220</v>
      </c>
      <c r="D193" t="s">
        <v>1872</v>
      </c>
      <c r="E193" t="s">
        <v>1859</v>
      </c>
      <c r="F193">
        <v>0.96399999999999997</v>
      </c>
      <c r="G193">
        <v>0.96330000000000005</v>
      </c>
    </row>
    <row r="194" spans="1:7" hidden="1">
      <c r="A194" t="s">
        <v>458</v>
      </c>
      <c r="B194" t="s">
        <v>4217</v>
      </c>
      <c r="C194">
        <v>220</v>
      </c>
      <c r="D194" t="s">
        <v>4216</v>
      </c>
      <c r="E194" t="s">
        <v>1876</v>
      </c>
      <c r="F194">
        <v>0.998</v>
      </c>
      <c r="G194">
        <v>0.99680000000000002</v>
      </c>
    </row>
    <row r="195" spans="1:7" hidden="1">
      <c r="A195" t="s">
        <v>2750</v>
      </c>
      <c r="B195" t="s">
        <v>1883</v>
      </c>
      <c r="C195">
        <v>500</v>
      </c>
      <c r="D195" t="s">
        <v>1882</v>
      </c>
      <c r="E195" t="s">
        <v>1881</v>
      </c>
      <c r="F195">
        <v>0.97089999999999999</v>
      </c>
      <c r="G195">
        <v>0.96989999999999998</v>
      </c>
    </row>
    <row r="196" spans="1:7" hidden="1">
      <c r="A196" t="s">
        <v>489</v>
      </c>
      <c r="B196" t="s">
        <v>1885</v>
      </c>
      <c r="C196">
        <v>500</v>
      </c>
      <c r="D196" t="s">
        <v>1884</v>
      </c>
      <c r="E196" t="s">
        <v>1881</v>
      </c>
      <c r="F196">
        <v>0.97089999999999999</v>
      </c>
      <c r="G196">
        <v>0.96989999999999998</v>
      </c>
    </row>
    <row r="197" spans="1:7" hidden="1">
      <c r="A197" t="s">
        <v>491</v>
      </c>
      <c r="B197" t="s">
        <v>1887</v>
      </c>
      <c r="C197">
        <v>500</v>
      </c>
      <c r="D197" t="s">
        <v>1886</v>
      </c>
      <c r="E197" t="s">
        <v>1881</v>
      </c>
      <c r="F197">
        <v>0.97089999999999999</v>
      </c>
      <c r="G197">
        <v>0.96989999999999998</v>
      </c>
    </row>
    <row r="198" spans="1:7" hidden="1">
      <c r="A198" t="s">
        <v>492</v>
      </c>
      <c r="B198" t="s">
        <v>1889</v>
      </c>
      <c r="C198">
        <v>500</v>
      </c>
      <c r="D198" t="s">
        <v>1888</v>
      </c>
      <c r="E198" t="s">
        <v>1881</v>
      </c>
      <c r="F198">
        <v>0.97089999999999999</v>
      </c>
      <c r="G198">
        <v>0.96989999999999998</v>
      </c>
    </row>
    <row r="199" spans="1:7" hidden="1">
      <c r="A199" t="s">
        <v>493</v>
      </c>
      <c r="B199" t="s">
        <v>1891</v>
      </c>
      <c r="C199">
        <v>500</v>
      </c>
      <c r="D199" t="s">
        <v>1890</v>
      </c>
      <c r="E199" t="s">
        <v>1881</v>
      </c>
      <c r="F199">
        <v>0.97089999999999999</v>
      </c>
      <c r="G199">
        <v>0.96989999999999998</v>
      </c>
    </row>
    <row r="200" spans="1:7" hidden="1">
      <c r="A200" t="s">
        <v>483</v>
      </c>
      <c r="B200" t="s">
        <v>1893</v>
      </c>
      <c r="C200">
        <v>500</v>
      </c>
      <c r="D200" t="s">
        <v>1892</v>
      </c>
      <c r="E200" t="s">
        <v>1881</v>
      </c>
      <c r="F200">
        <v>0.97089999999999999</v>
      </c>
      <c r="G200">
        <v>0.96989999999999998</v>
      </c>
    </row>
    <row r="201" spans="1:7" hidden="1">
      <c r="A201" t="s">
        <v>485</v>
      </c>
      <c r="B201" t="s">
        <v>1895</v>
      </c>
      <c r="C201">
        <v>500</v>
      </c>
      <c r="D201" t="s">
        <v>1894</v>
      </c>
      <c r="E201" t="s">
        <v>1881</v>
      </c>
      <c r="F201">
        <v>0.97089999999999999</v>
      </c>
      <c r="G201">
        <v>0.96989999999999998</v>
      </c>
    </row>
    <row r="202" spans="1:7" hidden="1">
      <c r="A202" t="s">
        <v>494</v>
      </c>
      <c r="B202" t="s">
        <v>4218</v>
      </c>
      <c r="C202">
        <v>500</v>
      </c>
      <c r="D202" t="s">
        <v>1897</v>
      </c>
      <c r="E202" t="s">
        <v>1896</v>
      </c>
      <c r="F202">
        <v>1.0049999999999999</v>
      </c>
      <c r="G202">
        <v>1.0042</v>
      </c>
    </row>
    <row r="203" spans="1:7" hidden="1">
      <c r="A203" t="s">
        <v>526</v>
      </c>
      <c r="B203" t="s">
        <v>4219</v>
      </c>
      <c r="C203">
        <v>500</v>
      </c>
      <c r="D203" t="s">
        <v>1903</v>
      </c>
      <c r="E203" t="s">
        <v>1902</v>
      </c>
      <c r="F203">
        <v>0.99709999999999999</v>
      </c>
      <c r="G203">
        <v>0.998</v>
      </c>
    </row>
    <row r="204" spans="1:7" hidden="1">
      <c r="A204" t="s">
        <v>528</v>
      </c>
      <c r="B204" t="s">
        <v>4220</v>
      </c>
      <c r="C204">
        <v>500</v>
      </c>
      <c r="D204" t="s">
        <v>1905</v>
      </c>
      <c r="E204" t="s">
        <v>1902</v>
      </c>
      <c r="F204">
        <v>0.99709999999999999</v>
      </c>
      <c r="G204">
        <v>0.998</v>
      </c>
    </row>
    <row r="205" spans="1:7" hidden="1">
      <c r="A205" t="s">
        <v>518</v>
      </c>
      <c r="B205" t="s">
        <v>4221</v>
      </c>
      <c r="C205">
        <v>66</v>
      </c>
      <c r="D205" t="s">
        <v>4042</v>
      </c>
      <c r="E205" t="s">
        <v>4041</v>
      </c>
      <c r="F205">
        <v>0.97130000000000005</v>
      </c>
      <c r="G205">
        <v>0.96940000000000004</v>
      </c>
    </row>
    <row r="206" spans="1:7" hidden="1">
      <c r="A206" t="s">
        <v>1080</v>
      </c>
      <c r="B206" t="s">
        <v>4046</v>
      </c>
      <c r="C206">
        <v>11</v>
      </c>
      <c r="D206" t="s">
        <v>4045</v>
      </c>
      <c r="E206" t="s">
        <v>4044</v>
      </c>
      <c r="F206">
        <v>0.96189999999999998</v>
      </c>
      <c r="G206">
        <v>0.96489999999999998</v>
      </c>
    </row>
    <row r="207" spans="1:7" hidden="1">
      <c r="A207" t="s">
        <v>1082</v>
      </c>
      <c r="B207" t="s">
        <v>4048</v>
      </c>
      <c r="C207">
        <v>11</v>
      </c>
      <c r="D207" t="s">
        <v>4047</v>
      </c>
      <c r="E207" t="s">
        <v>4044</v>
      </c>
      <c r="F207">
        <v>0.96189999999999998</v>
      </c>
      <c r="G207">
        <v>0.96489999999999998</v>
      </c>
    </row>
    <row r="208" spans="1:7" hidden="1">
      <c r="A208" t="s">
        <v>4115</v>
      </c>
      <c r="B208" t="s">
        <v>4050</v>
      </c>
      <c r="C208">
        <v>66</v>
      </c>
      <c r="D208" t="s">
        <v>4049</v>
      </c>
      <c r="E208" t="s">
        <v>1952</v>
      </c>
      <c r="F208">
        <v>0.97130000000000005</v>
      </c>
      <c r="G208">
        <v>0.97799999999999998</v>
      </c>
    </row>
    <row r="209" spans="1:7" hidden="1">
      <c r="A209" t="s">
        <v>541</v>
      </c>
      <c r="B209" t="s">
        <v>1911</v>
      </c>
      <c r="C209">
        <v>330</v>
      </c>
      <c r="D209" t="s">
        <v>1910</v>
      </c>
      <c r="E209" t="s">
        <v>1721</v>
      </c>
      <c r="F209">
        <v>1.0109999999999999</v>
      </c>
      <c r="G209">
        <v>0.98640000000000005</v>
      </c>
    </row>
    <row r="210" spans="1:7" hidden="1">
      <c r="A210" t="s">
        <v>549</v>
      </c>
      <c r="B210" t="s">
        <v>1913</v>
      </c>
      <c r="C210">
        <v>220</v>
      </c>
      <c r="D210" t="s">
        <v>1912</v>
      </c>
      <c r="E210" t="s">
        <v>1912</v>
      </c>
      <c r="F210">
        <v>0.99690000000000001</v>
      </c>
      <c r="G210">
        <v>0.99429999999999996</v>
      </c>
    </row>
    <row r="211" spans="1:7" hidden="1">
      <c r="A211" t="s">
        <v>559</v>
      </c>
      <c r="B211" t="s">
        <v>4222</v>
      </c>
      <c r="C211">
        <v>66</v>
      </c>
      <c r="D211" t="s">
        <v>1980</v>
      </c>
      <c r="E211" t="s">
        <v>1914</v>
      </c>
      <c r="F211">
        <v>1.0347</v>
      </c>
      <c r="G211">
        <v>1.0284</v>
      </c>
    </row>
    <row r="212" spans="1:7" hidden="1">
      <c r="A212" t="s">
        <v>800</v>
      </c>
      <c r="B212" t="s">
        <v>4225</v>
      </c>
      <c r="C212">
        <v>500</v>
      </c>
      <c r="D212" t="s">
        <v>4224</v>
      </c>
      <c r="E212" t="s">
        <v>4223</v>
      </c>
      <c r="F212">
        <v>1.0103</v>
      </c>
      <c r="G212">
        <v>1.0073000000000001</v>
      </c>
    </row>
    <row r="213" spans="1:7" hidden="1">
      <c r="A213" t="s">
        <v>4295</v>
      </c>
      <c r="B213" t="s">
        <v>4227</v>
      </c>
      <c r="C213">
        <v>500</v>
      </c>
      <c r="D213" t="s">
        <v>4226</v>
      </c>
      <c r="E213" t="s">
        <v>4223</v>
      </c>
      <c r="F213">
        <v>1.0103</v>
      </c>
      <c r="G213">
        <v>1.0073000000000001</v>
      </c>
    </row>
    <row r="214" spans="1:7" hidden="1">
      <c r="A214" t="s">
        <v>4296</v>
      </c>
      <c r="B214" t="s">
        <v>4230</v>
      </c>
      <c r="C214">
        <v>220</v>
      </c>
      <c r="D214" t="s">
        <v>4228</v>
      </c>
      <c r="E214" t="s">
        <v>4019</v>
      </c>
      <c r="F214">
        <v>1.0135000000000001</v>
      </c>
      <c r="G214">
        <v>1.0112000000000001</v>
      </c>
    </row>
    <row r="215" spans="1:7" hidden="1">
      <c r="A215" t="s">
        <v>4297</v>
      </c>
      <c r="B215" t="s">
        <v>4232</v>
      </c>
      <c r="C215">
        <v>220</v>
      </c>
      <c r="D215" t="s">
        <v>4231</v>
      </c>
      <c r="E215" t="s">
        <v>4018</v>
      </c>
      <c r="F215">
        <v>1.0135000000000001</v>
      </c>
      <c r="G215">
        <v>1.0112000000000001</v>
      </c>
    </row>
    <row r="216" spans="1:7" hidden="1">
      <c r="A216" t="s">
        <v>4298</v>
      </c>
      <c r="B216" t="s">
        <v>4234</v>
      </c>
      <c r="C216">
        <v>220</v>
      </c>
      <c r="D216" t="s">
        <v>4233</v>
      </c>
      <c r="E216" t="s">
        <v>4018</v>
      </c>
      <c r="F216">
        <v>1.0135000000000001</v>
      </c>
      <c r="G216">
        <v>1.0112000000000001</v>
      </c>
    </row>
    <row r="217" spans="1:7" hidden="1">
      <c r="A217" t="s">
        <v>4299</v>
      </c>
      <c r="B217" t="s">
        <v>4236</v>
      </c>
      <c r="C217">
        <v>220</v>
      </c>
      <c r="D217" t="s">
        <v>4235</v>
      </c>
      <c r="E217" t="s">
        <v>4018</v>
      </c>
      <c r="F217">
        <v>1.0135000000000001</v>
      </c>
      <c r="G217">
        <v>1.0112000000000001</v>
      </c>
    </row>
    <row r="218" spans="1:7">
      <c r="A218" t="s">
        <v>713</v>
      </c>
      <c r="B218" t="s">
        <v>1916</v>
      </c>
      <c r="C218">
        <v>500</v>
      </c>
      <c r="D218" t="s">
        <v>4237</v>
      </c>
      <c r="E218" t="s">
        <v>1881</v>
      </c>
      <c r="F218">
        <v>0.97089999999999999</v>
      </c>
      <c r="G218">
        <v>0.96989999999999998</v>
      </c>
    </row>
    <row r="219" spans="1:7" hidden="1">
      <c r="A219" t="s">
        <v>727</v>
      </c>
      <c r="B219" t="s">
        <v>4238</v>
      </c>
      <c r="C219">
        <v>220</v>
      </c>
      <c r="D219" t="s">
        <v>1928</v>
      </c>
      <c r="E219" t="s">
        <v>1927</v>
      </c>
      <c r="F219">
        <v>1.0251999999999999</v>
      </c>
      <c r="G219">
        <v>1.0182</v>
      </c>
    </row>
    <row r="220" spans="1:7" hidden="1">
      <c r="A220" t="s">
        <v>749</v>
      </c>
      <c r="B220" t="s">
        <v>4239</v>
      </c>
      <c r="C220">
        <v>220</v>
      </c>
      <c r="D220" t="s">
        <v>1931</v>
      </c>
      <c r="E220" t="s">
        <v>1930</v>
      </c>
      <c r="F220">
        <v>1.0190999999999999</v>
      </c>
      <c r="G220">
        <v>1.0279</v>
      </c>
    </row>
    <row r="221" spans="1:7" hidden="1">
      <c r="A221" t="s">
        <v>751</v>
      </c>
      <c r="B221" t="s">
        <v>4240</v>
      </c>
      <c r="C221">
        <v>220</v>
      </c>
      <c r="D221" t="s">
        <v>1933</v>
      </c>
      <c r="E221" t="s">
        <v>1930</v>
      </c>
      <c r="F221">
        <v>1.0190999999999999</v>
      </c>
      <c r="G221">
        <v>1.0279</v>
      </c>
    </row>
    <row r="222" spans="1:7" hidden="1">
      <c r="A222" t="s">
        <v>779</v>
      </c>
      <c r="B222" t="s">
        <v>1941</v>
      </c>
      <c r="C222">
        <v>220</v>
      </c>
      <c r="D222" t="s">
        <v>1940</v>
      </c>
      <c r="E222" t="s">
        <v>1935</v>
      </c>
      <c r="F222">
        <v>0.94940000000000002</v>
      </c>
      <c r="G222">
        <v>0.94810000000000005</v>
      </c>
    </row>
    <row r="223" spans="1:7" hidden="1">
      <c r="A223" t="s">
        <v>2802</v>
      </c>
      <c r="B223" t="s">
        <v>4241</v>
      </c>
      <c r="C223">
        <v>220</v>
      </c>
      <c r="D223" t="s">
        <v>1936</v>
      </c>
      <c r="E223" t="s">
        <v>1935</v>
      </c>
      <c r="F223">
        <v>0.94940000000000002</v>
      </c>
      <c r="G223">
        <v>0.94810000000000005</v>
      </c>
    </row>
    <row r="224" spans="1:7" hidden="1">
      <c r="A224" t="s">
        <v>777</v>
      </c>
      <c r="B224" t="s">
        <v>4242</v>
      </c>
      <c r="C224">
        <v>220</v>
      </c>
      <c r="D224" t="s">
        <v>1938</v>
      </c>
      <c r="E224" t="s">
        <v>1937</v>
      </c>
      <c r="F224">
        <v>0.95599999999999996</v>
      </c>
      <c r="G224">
        <v>0.94969999999999999</v>
      </c>
    </row>
    <row r="225" spans="1:7" hidden="1">
      <c r="A225" t="s">
        <v>780</v>
      </c>
      <c r="B225" t="s">
        <v>4243</v>
      </c>
      <c r="C225">
        <v>220</v>
      </c>
      <c r="D225" t="s">
        <v>1942</v>
      </c>
      <c r="E225" t="s">
        <v>1935</v>
      </c>
      <c r="F225">
        <v>0.94940000000000002</v>
      </c>
      <c r="G225">
        <v>0.94810000000000005</v>
      </c>
    </row>
    <row r="226" spans="1:7" hidden="1">
      <c r="A226" t="s">
        <v>781</v>
      </c>
      <c r="B226" t="s">
        <v>4244</v>
      </c>
      <c r="C226">
        <v>220</v>
      </c>
      <c r="D226" t="s">
        <v>1944</v>
      </c>
      <c r="E226" t="s">
        <v>1935</v>
      </c>
      <c r="F226">
        <v>0.94940000000000002</v>
      </c>
      <c r="G226">
        <v>0.94810000000000005</v>
      </c>
    </row>
    <row r="227" spans="1:7" hidden="1">
      <c r="A227" t="s">
        <v>191</v>
      </c>
      <c r="B227" t="s">
        <v>4020</v>
      </c>
      <c r="C227">
        <v>220</v>
      </c>
      <c r="D227" t="s">
        <v>4019</v>
      </c>
      <c r="E227" t="s">
        <v>4019</v>
      </c>
      <c r="F227">
        <v>1.0135000000000001</v>
      </c>
      <c r="G227">
        <v>1.0112000000000001</v>
      </c>
    </row>
    <row r="228" spans="1:7" hidden="1">
      <c r="A228" t="s">
        <v>236</v>
      </c>
      <c r="B228" t="s">
        <v>4245</v>
      </c>
      <c r="C228">
        <v>66</v>
      </c>
      <c r="D228" t="s">
        <v>1949</v>
      </c>
      <c r="E228" t="s">
        <v>1948</v>
      </c>
      <c r="F228">
        <v>0.97009999999999996</v>
      </c>
      <c r="G228">
        <v>0.97519999999999996</v>
      </c>
    </row>
    <row r="229" spans="1:7" hidden="1">
      <c r="A229" t="s">
        <v>238</v>
      </c>
      <c r="B229" t="s">
        <v>1951</v>
      </c>
      <c r="C229">
        <v>66</v>
      </c>
      <c r="D229" t="s">
        <v>1950</v>
      </c>
      <c r="E229" t="s">
        <v>1948</v>
      </c>
      <c r="F229">
        <v>0.97009999999999996</v>
      </c>
      <c r="G229">
        <v>0.97519999999999996</v>
      </c>
    </row>
    <row r="230" spans="1:7" hidden="1">
      <c r="A230" t="s">
        <v>228</v>
      </c>
      <c r="B230" t="s">
        <v>4055</v>
      </c>
      <c r="C230">
        <v>66</v>
      </c>
      <c r="D230" t="s">
        <v>1954</v>
      </c>
      <c r="E230" t="s">
        <v>1946</v>
      </c>
      <c r="F230">
        <v>1.0313000000000001</v>
      </c>
      <c r="G230">
        <v>1.0274000000000001</v>
      </c>
    </row>
    <row r="231" spans="1:7" hidden="1">
      <c r="A231" t="s">
        <v>269</v>
      </c>
      <c r="B231" t="s">
        <v>1957</v>
      </c>
      <c r="C231">
        <v>66</v>
      </c>
      <c r="D231" t="s">
        <v>1956</v>
      </c>
      <c r="E231" t="s">
        <v>1955</v>
      </c>
      <c r="F231">
        <v>1.0089999999999999</v>
      </c>
      <c r="G231">
        <v>1.0048999999999999</v>
      </c>
    </row>
    <row r="232" spans="1:7" hidden="1">
      <c r="A232" t="s">
        <v>324</v>
      </c>
      <c r="B232" t="s">
        <v>93</v>
      </c>
      <c r="C232">
        <v>66</v>
      </c>
      <c r="D232" t="s">
        <v>1960</v>
      </c>
      <c r="E232" t="s">
        <v>1914</v>
      </c>
      <c r="F232">
        <v>1.0347</v>
      </c>
      <c r="G232">
        <v>1.0284</v>
      </c>
    </row>
    <row r="233" spans="1:7" hidden="1">
      <c r="A233" t="s">
        <v>403</v>
      </c>
      <c r="B233" t="s">
        <v>4246</v>
      </c>
      <c r="C233">
        <v>66</v>
      </c>
      <c r="D233" t="s">
        <v>1973</v>
      </c>
      <c r="E233" t="s">
        <v>1946</v>
      </c>
      <c r="F233">
        <v>1.0313000000000001</v>
      </c>
      <c r="G233">
        <v>1.0274000000000001</v>
      </c>
    </row>
    <row r="234" spans="1:7" hidden="1">
      <c r="A234" t="s">
        <v>2852</v>
      </c>
      <c r="B234" t="s">
        <v>4247</v>
      </c>
      <c r="C234">
        <v>66</v>
      </c>
      <c r="D234" t="s">
        <v>1974</v>
      </c>
      <c r="E234" t="s">
        <v>1974</v>
      </c>
      <c r="F234">
        <v>1.0911999999999999</v>
      </c>
      <c r="G234">
        <v>0.98880000000000001</v>
      </c>
    </row>
    <row r="235" spans="1:7" hidden="1">
      <c r="A235" t="s">
        <v>479</v>
      </c>
      <c r="B235" t="s">
        <v>1977</v>
      </c>
      <c r="C235">
        <v>66</v>
      </c>
      <c r="D235" t="s">
        <v>1976</v>
      </c>
      <c r="E235" t="s">
        <v>1952</v>
      </c>
      <c r="F235">
        <v>0.97130000000000005</v>
      </c>
      <c r="G235">
        <v>0.97799999999999998</v>
      </c>
    </row>
    <row r="236" spans="1:7" hidden="1">
      <c r="A236" t="s">
        <v>524</v>
      </c>
      <c r="B236" t="s">
        <v>4060</v>
      </c>
      <c r="C236">
        <v>66</v>
      </c>
      <c r="D236" t="s">
        <v>4059</v>
      </c>
      <c r="E236" t="s">
        <v>4058</v>
      </c>
      <c r="F236">
        <v>0.99350000000000005</v>
      </c>
      <c r="G236">
        <v>0.99199999999999999</v>
      </c>
    </row>
    <row r="237" spans="1:7" hidden="1">
      <c r="A237" t="s">
        <v>516</v>
      </c>
      <c r="B237" t="s">
        <v>1979</v>
      </c>
      <c r="C237">
        <v>66</v>
      </c>
      <c r="D237" t="s">
        <v>1978</v>
      </c>
      <c r="E237" t="s">
        <v>1914</v>
      </c>
      <c r="F237">
        <v>1.0347</v>
      </c>
      <c r="G237">
        <v>1.0284</v>
      </c>
    </row>
    <row r="238" spans="1:7" hidden="1">
      <c r="A238" t="s">
        <v>617</v>
      </c>
      <c r="B238" t="s">
        <v>1984</v>
      </c>
      <c r="C238">
        <v>66</v>
      </c>
      <c r="D238" t="s">
        <v>1983</v>
      </c>
      <c r="E238" t="s">
        <v>1982</v>
      </c>
      <c r="F238">
        <v>1.0569</v>
      </c>
      <c r="G238">
        <v>1.0674999999999999</v>
      </c>
    </row>
    <row r="239" spans="1:7" hidden="1">
      <c r="A239" t="s">
        <v>182</v>
      </c>
      <c r="B239" t="s">
        <v>1987</v>
      </c>
      <c r="C239">
        <v>66</v>
      </c>
      <c r="D239" t="s">
        <v>1986</v>
      </c>
      <c r="E239" t="s">
        <v>1985</v>
      </c>
      <c r="F239">
        <v>0.996</v>
      </c>
      <c r="G239">
        <v>0.99539999999999995</v>
      </c>
    </row>
    <row r="240" spans="1:7" hidden="1">
      <c r="A240" t="s">
        <v>667</v>
      </c>
      <c r="B240" t="s">
        <v>4248</v>
      </c>
      <c r="C240">
        <v>66</v>
      </c>
      <c r="D240" t="s">
        <v>1990</v>
      </c>
      <c r="E240" t="s">
        <v>1982</v>
      </c>
      <c r="F240">
        <v>1.0569</v>
      </c>
      <c r="G240">
        <v>1.0674999999999999</v>
      </c>
    </row>
    <row r="241" spans="1:7" hidden="1">
      <c r="A241" t="s">
        <v>681</v>
      </c>
      <c r="B241" t="s">
        <v>4249</v>
      </c>
      <c r="C241">
        <v>66</v>
      </c>
      <c r="D241" t="s">
        <v>1992</v>
      </c>
      <c r="E241" t="s">
        <v>1952</v>
      </c>
      <c r="F241">
        <v>0.97130000000000005</v>
      </c>
      <c r="G241">
        <v>0.97799999999999998</v>
      </c>
    </row>
    <row r="242" spans="1:7" hidden="1">
      <c r="A242" t="s">
        <v>754</v>
      </c>
      <c r="B242" t="s">
        <v>4250</v>
      </c>
      <c r="C242">
        <v>66</v>
      </c>
      <c r="D242" t="s">
        <v>1999</v>
      </c>
      <c r="E242" t="s">
        <v>1952</v>
      </c>
      <c r="F242">
        <v>0.97130000000000005</v>
      </c>
      <c r="G242">
        <v>0.97799999999999998</v>
      </c>
    </row>
    <row r="243" spans="1:7" hidden="1">
      <c r="A243" t="s">
        <v>768</v>
      </c>
      <c r="B243" t="s">
        <v>4066</v>
      </c>
      <c r="C243">
        <v>66</v>
      </c>
      <c r="D243" t="s">
        <v>4065</v>
      </c>
      <c r="E243" t="s">
        <v>4064</v>
      </c>
      <c r="F243">
        <v>1.0072000000000001</v>
      </c>
      <c r="G243">
        <v>1.0057</v>
      </c>
    </row>
    <row r="244" spans="1:7" hidden="1">
      <c r="A244" t="s">
        <v>773</v>
      </c>
      <c r="B244" t="s">
        <v>774</v>
      </c>
      <c r="C244">
        <v>66</v>
      </c>
      <c r="D244" t="s">
        <v>2001</v>
      </c>
      <c r="E244" t="s">
        <v>1914</v>
      </c>
      <c r="F244">
        <v>1.0347</v>
      </c>
      <c r="G244">
        <v>1.0284</v>
      </c>
    </row>
    <row r="245" spans="1:7" hidden="1">
      <c r="A245" t="s">
        <v>297</v>
      </c>
      <c r="B245" t="s">
        <v>4251</v>
      </c>
      <c r="C245">
        <v>132</v>
      </c>
      <c r="D245" t="s">
        <v>2003</v>
      </c>
      <c r="E245" t="s">
        <v>2003</v>
      </c>
      <c r="F245">
        <v>0.87290000000000001</v>
      </c>
      <c r="G245">
        <v>0.87770000000000004</v>
      </c>
    </row>
    <row r="246" spans="1:7" hidden="1">
      <c r="A246" t="s">
        <v>316</v>
      </c>
      <c r="B246" t="s">
        <v>4252</v>
      </c>
      <c r="C246">
        <v>132</v>
      </c>
      <c r="D246" t="s">
        <v>2006</v>
      </c>
      <c r="E246" t="s">
        <v>2005</v>
      </c>
      <c r="F246">
        <v>0.95889999999999997</v>
      </c>
      <c r="G246">
        <v>0.96450000000000002</v>
      </c>
    </row>
    <row r="247" spans="1:7" hidden="1">
      <c r="A247" t="s">
        <v>347</v>
      </c>
      <c r="B247" t="s">
        <v>4253</v>
      </c>
      <c r="C247">
        <v>66</v>
      </c>
      <c r="D247" t="s">
        <v>2009</v>
      </c>
      <c r="E247" t="s">
        <v>2008</v>
      </c>
      <c r="F247">
        <v>1.0008999999999999</v>
      </c>
      <c r="G247">
        <v>1.0008999999999999</v>
      </c>
    </row>
    <row r="248" spans="1:7" hidden="1">
      <c r="A248" t="s">
        <v>349</v>
      </c>
      <c r="B248" t="s">
        <v>4254</v>
      </c>
      <c r="C248">
        <v>66</v>
      </c>
      <c r="D248" t="s">
        <v>2011</v>
      </c>
      <c r="E248" t="s">
        <v>2008</v>
      </c>
      <c r="F248">
        <v>1.0008999999999999</v>
      </c>
      <c r="G248">
        <v>1.0008999999999999</v>
      </c>
    </row>
    <row r="249" spans="1:7" hidden="1">
      <c r="A249" t="s">
        <v>350</v>
      </c>
      <c r="B249" t="s">
        <v>4255</v>
      </c>
      <c r="C249">
        <v>66</v>
      </c>
      <c r="D249" t="s">
        <v>2013</v>
      </c>
      <c r="E249" t="s">
        <v>2008</v>
      </c>
      <c r="F249">
        <v>1.0008999999999999</v>
      </c>
      <c r="G249">
        <v>1.0008999999999999</v>
      </c>
    </row>
    <row r="250" spans="1:7" hidden="1">
      <c r="A250" t="s">
        <v>399</v>
      </c>
      <c r="B250" t="s">
        <v>4256</v>
      </c>
      <c r="C250">
        <v>275</v>
      </c>
      <c r="D250" t="s">
        <v>2020</v>
      </c>
      <c r="E250" t="s">
        <v>2019</v>
      </c>
      <c r="F250">
        <v>0.9718</v>
      </c>
      <c r="G250">
        <v>0.9778</v>
      </c>
    </row>
    <row r="251" spans="1:7" hidden="1">
      <c r="A251" t="s">
        <v>164</v>
      </c>
      <c r="B251" t="s">
        <v>2017</v>
      </c>
      <c r="C251">
        <v>275</v>
      </c>
      <c r="D251" t="s">
        <v>2016</v>
      </c>
      <c r="E251" t="s">
        <v>2015</v>
      </c>
      <c r="F251">
        <v>0.97050000000000003</v>
      </c>
      <c r="G251">
        <v>0.97940000000000005</v>
      </c>
    </row>
    <row r="252" spans="1:7" hidden="1">
      <c r="A252" t="s">
        <v>397</v>
      </c>
      <c r="B252" t="s">
        <v>4257</v>
      </c>
      <c r="C252">
        <v>275</v>
      </c>
      <c r="D252" t="s">
        <v>2018</v>
      </c>
      <c r="E252" t="s">
        <v>2015</v>
      </c>
      <c r="F252">
        <v>0.97050000000000003</v>
      </c>
      <c r="G252">
        <v>0.97940000000000005</v>
      </c>
    </row>
    <row r="253" spans="1:7" hidden="1">
      <c r="A253" t="s">
        <v>455</v>
      </c>
      <c r="B253" t="s">
        <v>4258</v>
      </c>
      <c r="C253">
        <v>132</v>
      </c>
      <c r="D253" t="s">
        <v>2022</v>
      </c>
      <c r="E253" t="s">
        <v>2021</v>
      </c>
      <c r="F253">
        <v>0.96260000000000001</v>
      </c>
      <c r="G253">
        <v>0.96740000000000004</v>
      </c>
    </row>
    <row r="254" spans="1:7" hidden="1">
      <c r="A254" t="s">
        <v>457</v>
      </c>
      <c r="B254" t="s">
        <v>4259</v>
      </c>
      <c r="C254">
        <v>132</v>
      </c>
      <c r="D254" t="s">
        <v>2024</v>
      </c>
      <c r="E254" t="s">
        <v>2021</v>
      </c>
      <c r="F254">
        <v>0.96260000000000001</v>
      </c>
      <c r="G254">
        <v>0.96740000000000004</v>
      </c>
    </row>
    <row r="255" spans="1:7" hidden="1">
      <c r="A255" t="s">
        <v>471</v>
      </c>
      <c r="B255" t="s">
        <v>2028</v>
      </c>
      <c r="C255">
        <v>33</v>
      </c>
      <c r="D255" t="s">
        <v>2027</v>
      </c>
      <c r="E255" t="s">
        <v>2026</v>
      </c>
      <c r="F255">
        <v>0.94040000000000001</v>
      </c>
      <c r="G255">
        <v>0.94259999999999999</v>
      </c>
    </row>
    <row r="256" spans="1:7" hidden="1">
      <c r="A256" t="s">
        <v>473</v>
      </c>
      <c r="B256" t="s">
        <v>2030</v>
      </c>
      <c r="C256">
        <v>33</v>
      </c>
      <c r="D256" t="s">
        <v>2029</v>
      </c>
      <c r="E256" t="s">
        <v>2026</v>
      </c>
      <c r="F256">
        <v>0.94040000000000001</v>
      </c>
      <c r="G256">
        <v>0.94259999999999999</v>
      </c>
    </row>
    <row r="257" spans="1:7" hidden="1">
      <c r="A257" t="s">
        <v>475</v>
      </c>
      <c r="B257" t="s">
        <v>2032</v>
      </c>
      <c r="C257">
        <v>33</v>
      </c>
      <c r="D257" t="s">
        <v>2031</v>
      </c>
      <c r="E257" t="s">
        <v>2026</v>
      </c>
      <c r="F257">
        <v>0.94040000000000001</v>
      </c>
      <c r="G257">
        <v>0.94259999999999999</v>
      </c>
    </row>
    <row r="258" spans="1:7" hidden="1">
      <c r="A258" t="s">
        <v>4116</v>
      </c>
      <c r="B258" t="s">
        <v>4073</v>
      </c>
      <c r="C258">
        <v>33</v>
      </c>
      <c r="D258" t="s">
        <v>4072</v>
      </c>
      <c r="E258" t="s">
        <v>4071</v>
      </c>
      <c r="F258">
        <v>0.98839999999999995</v>
      </c>
      <c r="G258">
        <v>1.0004999999999999</v>
      </c>
    </row>
    <row r="259" spans="1:7" hidden="1">
      <c r="A259" t="s">
        <v>511</v>
      </c>
      <c r="B259" t="s">
        <v>2034</v>
      </c>
      <c r="C259">
        <v>132</v>
      </c>
      <c r="D259" t="s">
        <v>2033</v>
      </c>
      <c r="E259" t="s">
        <v>2033</v>
      </c>
      <c r="F259">
        <v>0.9778</v>
      </c>
      <c r="G259">
        <v>0.9819</v>
      </c>
    </row>
    <row r="260" spans="1:7" hidden="1">
      <c r="A260" t="s">
        <v>539</v>
      </c>
      <c r="B260" t="s">
        <v>4260</v>
      </c>
      <c r="C260">
        <v>33</v>
      </c>
      <c r="D260" t="s">
        <v>2036</v>
      </c>
      <c r="E260" t="s">
        <v>2035</v>
      </c>
      <c r="F260">
        <v>0.89829999999999999</v>
      </c>
      <c r="G260">
        <v>0.90359999999999996</v>
      </c>
    </row>
    <row r="261" spans="1:7" hidden="1">
      <c r="A261" t="s">
        <v>545</v>
      </c>
      <c r="B261" t="s">
        <v>4261</v>
      </c>
      <c r="C261">
        <v>275</v>
      </c>
      <c r="D261" t="s">
        <v>2039</v>
      </c>
      <c r="E261" t="s">
        <v>2038</v>
      </c>
      <c r="F261">
        <v>0.96940000000000004</v>
      </c>
      <c r="G261">
        <v>0.97399999999999998</v>
      </c>
    </row>
    <row r="262" spans="1:7" hidden="1">
      <c r="A262" t="s">
        <v>551</v>
      </c>
      <c r="B262" t="s">
        <v>4262</v>
      </c>
      <c r="C262">
        <v>275</v>
      </c>
      <c r="D262" t="s">
        <v>4075</v>
      </c>
      <c r="E262" t="s">
        <v>4074</v>
      </c>
      <c r="F262">
        <v>0.96379999999999999</v>
      </c>
      <c r="G262">
        <v>0.97460000000000002</v>
      </c>
    </row>
    <row r="263" spans="1:7" hidden="1">
      <c r="A263" t="s">
        <v>553</v>
      </c>
      <c r="B263" t="s">
        <v>4263</v>
      </c>
      <c r="C263">
        <v>275</v>
      </c>
      <c r="D263" t="s">
        <v>4077</v>
      </c>
      <c r="E263" t="s">
        <v>4074</v>
      </c>
      <c r="F263">
        <v>0.96379999999999999</v>
      </c>
      <c r="G263">
        <v>0.97460000000000002</v>
      </c>
    </row>
    <row r="264" spans="1:7" hidden="1">
      <c r="A264" t="s">
        <v>561</v>
      </c>
      <c r="B264" t="s">
        <v>2043</v>
      </c>
      <c r="C264">
        <v>66</v>
      </c>
      <c r="D264" t="s">
        <v>2042</v>
      </c>
      <c r="E264" t="s">
        <v>2041</v>
      </c>
      <c r="F264">
        <v>0.99970000000000003</v>
      </c>
      <c r="G264">
        <v>0.99890000000000001</v>
      </c>
    </row>
    <row r="265" spans="1:7" hidden="1">
      <c r="A265" t="s">
        <v>581</v>
      </c>
      <c r="B265" t="s">
        <v>2045</v>
      </c>
      <c r="C265">
        <v>275</v>
      </c>
      <c r="D265" t="s">
        <v>2044</v>
      </c>
      <c r="E265" t="s">
        <v>2044</v>
      </c>
      <c r="F265">
        <v>0.999</v>
      </c>
      <c r="G265">
        <v>0.99919999999999998</v>
      </c>
    </row>
    <row r="266" spans="1:7" hidden="1">
      <c r="A266" t="s">
        <v>4117</v>
      </c>
      <c r="B266" t="s">
        <v>4081</v>
      </c>
      <c r="C266">
        <v>33</v>
      </c>
      <c r="D266" t="s">
        <v>4080</v>
      </c>
      <c r="E266" t="s">
        <v>4079</v>
      </c>
      <c r="F266">
        <v>0.96750000000000003</v>
      </c>
      <c r="G266">
        <v>0.97919999999999996</v>
      </c>
    </row>
    <row r="267" spans="1:7" hidden="1">
      <c r="A267" t="s">
        <v>818</v>
      </c>
      <c r="B267" t="s">
        <v>4084</v>
      </c>
      <c r="C267">
        <v>275</v>
      </c>
      <c r="D267" t="s">
        <v>4083</v>
      </c>
      <c r="E267" t="s">
        <v>4082</v>
      </c>
      <c r="F267">
        <v>0.95730000000000004</v>
      </c>
      <c r="G267">
        <v>0.97670000000000001</v>
      </c>
    </row>
    <row r="268" spans="1:7" hidden="1">
      <c r="A268" t="s">
        <v>574</v>
      </c>
      <c r="B268" t="s">
        <v>2051</v>
      </c>
      <c r="C268">
        <v>132</v>
      </c>
      <c r="D268" t="s">
        <v>2050</v>
      </c>
      <c r="E268" t="s">
        <v>2049</v>
      </c>
      <c r="F268">
        <v>0.93</v>
      </c>
      <c r="G268">
        <v>0.87719999999999998</v>
      </c>
    </row>
    <row r="269" spans="1:7" hidden="1">
      <c r="A269" t="s">
        <v>576</v>
      </c>
      <c r="B269" t="s">
        <v>4264</v>
      </c>
      <c r="C269">
        <v>33</v>
      </c>
      <c r="D269" t="s">
        <v>2047</v>
      </c>
      <c r="E269" t="s">
        <v>2046</v>
      </c>
      <c r="F269">
        <v>0.90380000000000005</v>
      </c>
      <c r="G269">
        <v>0.87829999999999997</v>
      </c>
    </row>
    <row r="270" spans="1:7" hidden="1">
      <c r="A270" t="s">
        <v>590</v>
      </c>
      <c r="B270" t="s">
        <v>2054</v>
      </c>
      <c r="C270">
        <v>66</v>
      </c>
      <c r="D270" t="s">
        <v>2053</v>
      </c>
      <c r="E270" t="s">
        <v>2052</v>
      </c>
      <c r="F270">
        <v>1</v>
      </c>
      <c r="G270">
        <v>0.99490000000000001</v>
      </c>
    </row>
    <row r="271" spans="1:7" hidden="1">
      <c r="A271" t="s">
        <v>592</v>
      </c>
      <c r="B271" t="s">
        <v>2056</v>
      </c>
      <c r="C271">
        <v>66</v>
      </c>
      <c r="D271" t="s">
        <v>2055</v>
      </c>
      <c r="E271" t="s">
        <v>2052</v>
      </c>
      <c r="F271">
        <v>1</v>
      </c>
      <c r="G271">
        <v>0.99490000000000001</v>
      </c>
    </row>
    <row r="272" spans="1:7" hidden="1">
      <c r="A272" t="s">
        <v>593</v>
      </c>
      <c r="B272" t="s">
        <v>2058</v>
      </c>
      <c r="C272">
        <v>66</v>
      </c>
      <c r="D272" t="s">
        <v>2057</v>
      </c>
      <c r="E272" t="s">
        <v>2052</v>
      </c>
      <c r="F272">
        <v>1</v>
      </c>
      <c r="G272">
        <v>0.99490000000000001</v>
      </c>
    </row>
    <row r="273" spans="1:7" hidden="1">
      <c r="A273" t="s">
        <v>594</v>
      </c>
      <c r="B273" t="s">
        <v>2060</v>
      </c>
      <c r="C273">
        <v>66</v>
      </c>
      <c r="D273" t="s">
        <v>2059</v>
      </c>
      <c r="E273" t="s">
        <v>2052</v>
      </c>
      <c r="F273">
        <v>1</v>
      </c>
      <c r="G273">
        <v>0.99490000000000001</v>
      </c>
    </row>
    <row r="274" spans="1:7" hidden="1">
      <c r="A274" t="s">
        <v>595</v>
      </c>
      <c r="B274" t="s">
        <v>2062</v>
      </c>
      <c r="C274">
        <v>66</v>
      </c>
      <c r="D274" t="s">
        <v>2061</v>
      </c>
      <c r="E274" t="s">
        <v>2052</v>
      </c>
      <c r="F274">
        <v>1</v>
      </c>
      <c r="G274">
        <v>0.99490000000000001</v>
      </c>
    </row>
    <row r="275" spans="1:7" hidden="1">
      <c r="A275" t="s">
        <v>631</v>
      </c>
      <c r="B275" t="s">
        <v>4265</v>
      </c>
      <c r="C275">
        <v>33</v>
      </c>
      <c r="D275" t="s">
        <v>2067</v>
      </c>
      <c r="E275" t="s">
        <v>2066</v>
      </c>
      <c r="F275">
        <v>0.91539999999999999</v>
      </c>
      <c r="G275">
        <v>0.92720000000000002</v>
      </c>
    </row>
    <row r="276" spans="1:7" hidden="1">
      <c r="A276" t="s">
        <v>634</v>
      </c>
      <c r="B276" t="s">
        <v>4266</v>
      </c>
      <c r="C276">
        <v>132</v>
      </c>
      <c r="D276" t="s">
        <v>2070</v>
      </c>
      <c r="E276" t="s">
        <v>2069</v>
      </c>
      <c r="F276">
        <v>1.0288999999999999</v>
      </c>
      <c r="G276">
        <v>0.95789999999999997</v>
      </c>
    </row>
    <row r="277" spans="1:7" hidden="1">
      <c r="A277" t="s">
        <v>4300</v>
      </c>
      <c r="B277" t="s">
        <v>4268</v>
      </c>
      <c r="C277">
        <v>132</v>
      </c>
      <c r="D277" t="s">
        <v>4267</v>
      </c>
      <c r="E277" t="s">
        <v>2069</v>
      </c>
      <c r="F277">
        <v>1.0288999999999999</v>
      </c>
      <c r="G277">
        <v>0.95789999999999997</v>
      </c>
    </row>
    <row r="278" spans="1:7" hidden="1">
      <c r="A278" t="s">
        <v>4301</v>
      </c>
      <c r="B278" t="s">
        <v>4270</v>
      </c>
      <c r="C278">
        <v>132</v>
      </c>
      <c r="D278" t="s">
        <v>4269</v>
      </c>
      <c r="E278" t="s">
        <v>2069</v>
      </c>
      <c r="F278">
        <v>1.0288999999999999</v>
      </c>
      <c r="G278">
        <v>0.95789999999999997</v>
      </c>
    </row>
    <row r="279" spans="1:7" hidden="1">
      <c r="A279" t="s">
        <v>243</v>
      </c>
      <c r="B279" t="s">
        <v>4271</v>
      </c>
      <c r="C279">
        <v>275</v>
      </c>
      <c r="D279" t="s">
        <v>2072</v>
      </c>
      <c r="E279" t="s">
        <v>2038</v>
      </c>
      <c r="F279">
        <v>0.96940000000000004</v>
      </c>
      <c r="G279">
        <v>0.97399999999999998</v>
      </c>
    </row>
    <row r="280" spans="1:7" hidden="1">
      <c r="A280" t="s">
        <v>682</v>
      </c>
      <c r="B280" t="s">
        <v>2075</v>
      </c>
      <c r="C280">
        <v>275</v>
      </c>
      <c r="D280" t="s">
        <v>2074</v>
      </c>
      <c r="E280" t="s">
        <v>2073</v>
      </c>
      <c r="F280">
        <v>0.99990000000000001</v>
      </c>
      <c r="G280">
        <v>0.99990000000000001</v>
      </c>
    </row>
    <row r="281" spans="1:7" hidden="1">
      <c r="A281" t="s">
        <v>684</v>
      </c>
      <c r="B281" t="s">
        <v>2077</v>
      </c>
      <c r="C281">
        <v>275</v>
      </c>
      <c r="D281" t="s">
        <v>2076</v>
      </c>
      <c r="E281" t="s">
        <v>2073</v>
      </c>
      <c r="F281">
        <v>0.99990000000000001</v>
      </c>
      <c r="G281">
        <v>0.99990000000000001</v>
      </c>
    </row>
    <row r="282" spans="1:7" hidden="1">
      <c r="A282" t="s">
        <v>685</v>
      </c>
      <c r="B282" t="s">
        <v>2079</v>
      </c>
      <c r="C282">
        <v>275</v>
      </c>
      <c r="D282" t="s">
        <v>2078</v>
      </c>
      <c r="E282" t="s">
        <v>2073</v>
      </c>
      <c r="F282">
        <v>0.99990000000000001</v>
      </c>
      <c r="G282">
        <v>0.99990000000000001</v>
      </c>
    </row>
    <row r="283" spans="1:7" hidden="1">
      <c r="A283" t="s">
        <v>686</v>
      </c>
      <c r="B283" t="s">
        <v>2081</v>
      </c>
      <c r="C283">
        <v>275</v>
      </c>
      <c r="D283" t="s">
        <v>2080</v>
      </c>
      <c r="E283" t="s">
        <v>2073</v>
      </c>
      <c r="F283">
        <v>0.99990000000000001</v>
      </c>
      <c r="G283">
        <v>0.99990000000000001</v>
      </c>
    </row>
    <row r="284" spans="1:7" hidden="1">
      <c r="A284" t="s">
        <v>687</v>
      </c>
      <c r="B284" t="s">
        <v>2083</v>
      </c>
      <c r="C284">
        <v>275</v>
      </c>
      <c r="D284" t="s">
        <v>2082</v>
      </c>
      <c r="E284" t="s">
        <v>2073</v>
      </c>
      <c r="F284">
        <v>0.99990000000000001</v>
      </c>
      <c r="G284">
        <v>0.99990000000000001</v>
      </c>
    </row>
    <row r="285" spans="1:7" hidden="1">
      <c r="A285" t="s">
        <v>689</v>
      </c>
      <c r="B285" t="s">
        <v>2085</v>
      </c>
      <c r="C285">
        <v>275</v>
      </c>
      <c r="D285" t="s">
        <v>2084</v>
      </c>
      <c r="E285" t="s">
        <v>2073</v>
      </c>
      <c r="F285">
        <v>0.99990000000000001</v>
      </c>
      <c r="G285">
        <v>0.99990000000000001</v>
      </c>
    </row>
    <row r="286" spans="1:7" hidden="1">
      <c r="A286" t="s">
        <v>690</v>
      </c>
      <c r="B286" t="s">
        <v>2087</v>
      </c>
      <c r="C286">
        <v>275</v>
      </c>
      <c r="D286" t="s">
        <v>2086</v>
      </c>
      <c r="E286" t="s">
        <v>2073</v>
      </c>
      <c r="F286">
        <v>0.99990000000000001</v>
      </c>
      <c r="G286">
        <v>0.99990000000000001</v>
      </c>
    </row>
    <row r="287" spans="1:7" hidden="1">
      <c r="A287" t="s">
        <v>691</v>
      </c>
      <c r="B287" t="s">
        <v>2089</v>
      </c>
      <c r="C287">
        <v>275</v>
      </c>
      <c r="D287" t="s">
        <v>2088</v>
      </c>
      <c r="E287" t="s">
        <v>2073</v>
      </c>
      <c r="F287">
        <v>0.99990000000000001</v>
      </c>
      <c r="G287">
        <v>0.99990000000000001</v>
      </c>
    </row>
    <row r="288" spans="1:7" hidden="1">
      <c r="A288" t="s">
        <v>2974</v>
      </c>
      <c r="B288" t="s">
        <v>2092</v>
      </c>
      <c r="C288">
        <v>275</v>
      </c>
      <c r="D288" t="s">
        <v>2091</v>
      </c>
      <c r="E288" t="s">
        <v>2073</v>
      </c>
      <c r="F288">
        <v>0.99990000000000001</v>
      </c>
      <c r="G288">
        <v>0.99990000000000001</v>
      </c>
    </row>
    <row r="289" spans="1:7" hidden="1">
      <c r="A289" t="s">
        <v>725</v>
      </c>
      <c r="B289" t="s">
        <v>4272</v>
      </c>
      <c r="C289">
        <v>132</v>
      </c>
      <c r="D289" t="s">
        <v>2094</v>
      </c>
      <c r="E289" t="s">
        <v>2093</v>
      </c>
      <c r="F289">
        <v>0.97470000000000001</v>
      </c>
      <c r="G289">
        <v>0.97829999999999995</v>
      </c>
    </row>
    <row r="290" spans="1:7" hidden="1">
      <c r="A290" t="s">
        <v>762</v>
      </c>
      <c r="B290" t="s">
        <v>2098</v>
      </c>
      <c r="C290">
        <v>132</v>
      </c>
      <c r="D290" t="s">
        <v>2097</v>
      </c>
      <c r="E290" t="s">
        <v>2096</v>
      </c>
      <c r="F290">
        <v>0.81379999999999997</v>
      </c>
      <c r="G290">
        <v>0.83089999999999997</v>
      </c>
    </row>
    <row r="291" spans="1:7" hidden="1">
      <c r="A291" t="s">
        <v>3960</v>
      </c>
      <c r="B291" t="s">
        <v>4090</v>
      </c>
      <c r="C291">
        <v>11</v>
      </c>
      <c r="D291" t="s">
        <v>4089</v>
      </c>
      <c r="E291" t="s">
        <v>4088</v>
      </c>
      <c r="F291">
        <v>1.0083</v>
      </c>
      <c r="G291">
        <v>1.0091000000000001</v>
      </c>
    </row>
    <row r="292" spans="1:7" hidden="1">
      <c r="A292" t="s">
        <v>186</v>
      </c>
      <c r="B292" t="s">
        <v>2101</v>
      </c>
      <c r="C292">
        <v>33</v>
      </c>
      <c r="D292" t="s">
        <v>2100</v>
      </c>
      <c r="E292" t="s">
        <v>2099</v>
      </c>
      <c r="F292">
        <v>0.92220000000000002</v>
      </c>
      <c r="G292">
        <v>0.95540000000000003</v>
      </c>
    </row>
    <row r="293" spans="1:7" hidden="1">
      <c r="A293" t="s">
        <v>189</v>
      </c>
      <c r="B293" t="s">
        <v>2101</v>
      </c>
      <c r="C293">
        <v>33</v>
      </c>
      <c r="D293" t="s">
        <v>4092</v>
      </c>
      <c r="E293" t="s">
        <v>2099</v>
      </c>
      <c r="F293">
        <v>0.92220000000000002</v>
      </c>
      <c r="G293">
        <v>0.95540000000000003</v>
      </c>
    </row>
    <row r="294" spans="1:7" hidden="1">
      <c r="A294" t="s">
        <v>245</v>
      </c>
      <c r="B294" t="s">
        <v>4094</v>
      </c>
      <c r="C294">
        <v>33</v>
      </c>
      <c r="D294" t="s">
        <v>4093</v>
      </c>
      <c r="E294" t="s">
        <v>2110</v>
      </c>
      <c r="F294">
        <v>1.01</v>
      </c>
      <c r="G294">
        <v>1.0133000000000001</v>
      </c>
    </row>
    <row r="295" spans="1:7" hidden="1">
      <c r="A295" t="s">
        <v>481</v>
      </c>
      <c r="B295" t="s">
        <v>2106</v>
      </c>
      <c r="C295">
        <v>66</v>
      </c>
      <c r="D295" t="s">
        <v>2105</v>
      </c>
      <c r="E295" t="s">
        <v>2104</v>
      </c>
      <c r="F295">
        <v>1.0092000000000001</v>
      </c>
      <c r="G295">
        <v>1.0084</v>
      </c>
    </row>
    <row r="296" spans="1:7" hidden="1">
      <c r="A296" t="s">
        <v>4119</v>
      </c>
      <c r="B296" t="s">
        <v>4273</v>
      </c>
      <c r="C296">
        <v>66</v>
      </c>
      <c r="D296" t="s">
        <v>2107</v>
      </c>
      <c r="E296" t="s">
        <v>2104</v>
      </c>
      <c r="F296">
        <v>1.0092000000000001</v>
      </c>
      <c r="G296">
        <v>1.0084</v>
      </c>
    </row>
    <row r="297" spans="1:7" hidden="1">
      <c r="A297" t="s">
        <v>4120</v>
      </c>
      <c r="B297" t="s">
        <v>4274</v>
      </c>
      <c r="C297">
        <v>66</v>
      </c>
      <c r="D297" t="s">
        <v>4103</v>
      </c>
      <c r="E297" t="s">
        <v>2104</v>
      </c>
      <c r="F297">
        <v>1.0092000000000001</v>
      </c>
      <c r="G297">
        <v>1.0084</v>
      </c>
    </row>
    <row r="298" spans="1:7" hidden="1">
      <c r="A298" t="s">
        <v>641</v>
      </c>
      <c r="B298" t="s">
        <v>4275</v>
      </c>
      <c r="C298">
        <v>66</v>
      </c>
      <c r="D298" t="s">
        <v>2108</v>
      </c>
      <c r="E298" t="s">
        <v>2104</v>
      </c>
      <c r="F298">
        <v>1.0092000000000001</v>
      </c>
      <c r="G298">
        <v>1.0084</v>
      </c>
    </row>
    <row r="299" spans="1:7" hidden="1">
      <c r="A299" t="s">
        <v>665</v>
      </c>
      <c r="B299" t="s">
        <v>2112</v>
      </c>
      <c r="C299">
        <v>33</v>
      </c>
      <c r="D299" t="s">
        <v>2111</v>
      </c>
      <c r="E299" t="s">
        <v>2110</v>
      </c>
      <c r="F299">
        <v>1.01</v>
      </c>
      <c r="G299">
        <v>1.0133000000000001</v>
      </c>
    </row>
    <row r="300" spans="1:7" hidden="1">
      <c r="A300" t="s">
        <v>671</v>
      </c>
      <c r="B300" t="s">
        <v>4276</v>
      </c>
      <c r="C300">
        <v>66</v>
      </c>
      <c r="D300" t="s">
        <v>4107</v>
      </c>
      <c r="E300" t="s">
        <v>4097</v>
      </c>
      <c r="F300">
        <v>1.0035000000000001</v>
      </c>
      <c r="G300">
        <v>1.0032000000000001</v>
      </c>
    </row>
    <row r="301" spans="1:7" hidden="1">
      <c r="A301" t="s">
        <v>3013</v>
      </c>
      <c r="B301" t="s">
        <v>2121</v>
      </c>
      <c r="C301">
        <v>220</v>
      </c>
      <c r="D301" t="s">
        <v>2120</v>
      </c>
      <c r="E301" t="s">
        <v>2119</v>
      </c>
      <c r="F301">
        <v>1</v>
      </c>
      <c r="G301">
        <v>1</v>
      </c>
    </row>
    <row r="302" spans="1:7" hidden="1">
      <c r="A302" t="s">
        <v>225</v>
      </c>
      <c r="B302" t="s">
        <v>2124</v>
      </c>
      <c r="C302">
        <v>220</v>
      </c>
      <c r="D302" t="s">
        <v>2123</v>
      </c>
      <c r="E302" t="s">
        <v>2122</v>
      </c>
      <c r="F302">
        <v>0.94359999999999999</v>
      </c>
      <c r="G302">
        <v>0.94779999999999998</v>
      </c>
    </row>
    <row r="303" spans="1:7" hidden="1">
      <c r="A303" t="s">
        <v>232</v>
      </c>
      <c r="B303" t="s">
        <v>4109</v>
      </c>
      <c r="C303">
        <v>110</v>
      </c>
      <c r="D303" t="s">
        <v>2126</v>
      </c>
      <c r="E303" t="s">
        <v>2125</v>
      </c>
      <c r="F303">
        <v>0.99939999999999996</v>
      </c>
      <c r="G303">
        <v>0.99990000000000001</v>
      </c>
    </row>
    <row r="304" spans="1:7" hidden="1">
      <c r="A304" t="s">
        <v>234</v>
      </c>
      <c r="B304" t="s">
        <v>4109</v>
      </c>
      <c r="C304">
        <v>110</v>
      </c>
      <c r="D304" t="s">
        <v>2127</v>
      </c>
      <c r="E304" t="s">
        <v>2125</v>
      </c>
      <c r="F304">
        <v>0.99939999999999996</v>
      </c>
      <c r="G304">
        <v>0.99990000000000001</v>
      </c>
    </row>
    <row r="305" spans="1:7" hidden="1">
      <c r="A305" t="s">
        <v>235</v>
      </c>
      <c r="B305" t="s">
        <v>4109</v>
      </c>
      <c r="C305">
        <v>110</v>
      </c>
      <c r="D305" t="s">
        <v>2128</v>
      </c>
      <c r="E305" t="s">
        <v>2125</v>
      </c>
      <c r="F305">
        <v>0.99939999999999996</v>
      </c>
      <c r="G305">
        <v>0.99990000000000001</v>
      </c>
    </row>
    <row r="306" spans="1:7" hidden="1">
      <c r="A306" t="s">
        <v>758</v>
      </c>
      <c r="B306" t="s">
        <v>2131</v>
      </c>
      <c r="C306">
        <v>110</v>
      </c>
      <c r="D306" t="s">
        <v>2130</v>
      </c>
      <c r="E306" t="s">
        <v>2129</v>
      </c>
      <c r="F306">
        <v>0.8972</v>
      </c>
      <c r="G306">
        <v>0.90369999999999995</v>
      </c>
    </row>
    <row r="307" spans="1:7" hidden="1">
      <c r="A307" t="s">
        <v>276</v>
      </c>
      <c r="B307" t="s">
        <v>2134</v>
      </c>
      <c r="C307">
        <v>110</v>
      </c>
      <c r="D307" t="s">
        <v>2133</v>
      </c>
      <c r="E307" t="s">
        <v>2132</v>
      </c>
      <c r="F307">
        <v>0.94799999999999995</v>
      </c>
      <c r="G307">
        <v>0.94530000000000003</v>
      </c>
    </row>
    <row r="308" spans="1:7" hidden="1">
      <c r="A308" t="s">
        <v>467</v>
      </c>
      <c r="B308" t="s">
        <v>2137</v>
      </c>
      <c r="C308">
        <v>220</v>
      </c>
      <c r="D308" t="s">
        <v>2136</v>
      </c>
      <c r="E308" t="s">
        <v>2135</v>
      </c>
      <c r="F308">
        <v>1.0062</v>
      </c>
      <c r="G308">
        <v>1.0055000000000001</v>
      </c>
    </row>
    <row r="309" spans="1:7" hidden="1">
      <c r="A309" t="s">
        <v>304</v>
      </c>
      <c r="B309" t="s">
        <v>2140</v>
      </c>
      <c r="C309">
        <v>220</v>
      </c>
      <c r="D309" t="s">
        <v>2139</v>
      </c>
      <c r="E309" t="s">
        <v>2138</v>
      </c>
      <c r="F309">
        <v>0.96679999999999999</v>
      </c>
      <c r="G309">
        <v>0.96760000000000002</v>
      </c>
    </row>
    <row r="310" spans="1:7" hidden="1">
      <c r="A310" t="s">
        <v>320</v>
      </c>
      <c r="B310" t="s">
        <v>2143</v>
      </c>
      <c r="C310">
        <v>220</v>
      </c>
      <c r="D310" t="s">
        <v>2142</v>
      </c>
      <c r="E310" t="s">
        <v>2141</v>
      </c>
      <c r="F310">
        <v>1.0095000000000001</v>
      </c>
      <c r="G310">
        <v>1.0095000000000001</v>
      </c>
    </row>
    <row r="311" spans="1:7" hidden="1">
      <c r="A311" t="s">
        <v>345</v>
      </c>
      <c r="B311" t="s">
        <v>2146</v>
      </c>
      <c r="C311">
        <v>110</v>
      </c>
      <c r="D311" t="s">
        <v>2145</v>
      </c>
      <c r="E311" t="s">
        <v>2144</v>
      </c>
      <c r="F311">
        <v>0.97150000000000003</v>
      </c>
      <c r="G311">
        <v>0.97099999999999997</v>
      </c>
    </row>
    <row r="312" spans="1:7" hidden="1">
      <c r="A312" t="s">
        <v>366</v>
      </c>
      <c r="B312" t="s">
        <v>2149</v>
      </c>
      <c r="C312">
        <v>220</v>
      </c>
      <c r="D312" t="s">
        <v>2148</v>
      </c>
      <c r="E312" t="s">
        <v>2147</v>
      </c>
      <c r="F312">
        <v>0.97170000000000001</v>
      </c>
      <c r="G312">
        <v>0.97289999999999999</v>
      </c>
    </row>
    <row r="313" spans="1:7" hidden="1">
      <c r="A313" t="s">
        <v>379</v>
      </c>
      <c r="B313" t="s">
        <v>2152</v>
      </c>
      <c r="C313">
        <v>220</v>
      </c>
      <c r="D313" t="s">
        <v>2151</v>
      </c>
      <c r="E313" t="s">
        <v>2150</v>
      </c>
      <c r="F313">
        <v>0.96719999999999995</v>
      </c>
      <c r="G313">
        <v>1.0037</v>
      </c>
    </row>
    <row r="314" spans="1:7" hidden="1">
      <c r="A314" t="s">
        <v>427</v>
      </c>
      <c r="B314" t="s">
        <v>2155</v>
      </c>
      <c r="C314">
        <v>220</v>
      </c>
      <c r="D314" t="s">
        <v>2154</v>
      </c>
      <c r="E314" t="s">
        <v>2153</v>
      </c>
      <c r="F314">
        <v>0.94199999999999995</v>
      </c>
      <c r="G314">
        <v>0.93930000000000002</v>
      </c>
    </row>
    <row r="315" spans="1:7" hidden="1">
      <c r="A315" t="s">
        <v>469</v>
      </c>
      <c r="B315" t="s">
        <v>2158</v>
      </c>
      <c r="C315">
        <v>110</v>
      </c>
      <c r="D315" t="s">
        <v>2157</v>
      </c>
      <c r="E315" t="s">
        <v>2156</v>
      </c>
      <c r="F315">
        <v>0.94279999999999997</v>
      </c>
      <c r="G315">
        <v>0.95379999999999998</v>
      </c>
    </row>
    <row r="316" spans="1:7" hidden="1">
      <c r="A316" t="s">
        <v>465</v>
      </c>
      <c r="B316" t="s">
        <v>2161</v>
      </c>
      <c r="C316">
        <v>220</v>
      </c>
      <c r="D316" t="s">
        <v>2160</v>
      </c>
      <c r="E316" t="s">
        <v>2159</v>
      </c>
      <c r="F316">
        <v>0.97460000000000002</v>
      </c>
      <c r="G316">
        <v>0.97519999999999996</v>
      </c>
    </row>
    <row r="317" spans="1:7" hidden="1">
      <c r="A317" t="s">
        <v>467</v>
      </c>
      <c r="B317" t="s">
        <v>2162</v>
      </c>
      <c r="C317">
        <v>220</v>
      </c>
      <c r="D317" t="s">
        <v>2136</v>
      </c>
      <c r="E317" t="s">
        <v>2135</v>
      </c>
      <c r="F317">
        <v>1.0062</v>
      </c>
      <c r="G317">
        <v>1.0055000000000001</v>
      </c>
    </row>
    <row r="318" spans="1:7" hidden="1">
      <c r="A318" t="s">
        <v>497</v>
      </c>
      <c r="B318" t="s">
        <v>2165</v>
      </c>
      <c r="C318">
        <v>110</v>
      </c>
      <c r="D318" t="s">
        <v>2164</v>
      </c>
      <c r="E318" t="s">
        <v>2163</v>
      </c>
      <c r="F318">
        <v>0.92700000000000005</v>
      </c>
      <c r="G318">
        <v>0.93700000000000006</v>
      </c>
    </row>
    <row r="319" spans="1:7" hidden="1">
      <c r="A319" t="s">
        <v>505</v>
      </c>
      <c r="B319" t="s">
        <v>2168</v>
      </c>
      <c r="C319">
        <v>110</v>
      </c>
      <c r="D319" t="s">
        <v>2167</v>
      </c>
      <c r="E319" t="s">
        <v>2166</v>
      </c>
      <c r="F319">
        <v>1.0064</v>
      </c>
      <c r="G319">
        <v>1.0167999999999999</v>
      </c>
    </row>
    <row r="320" spans="1:7" hidden="1">
      <c r="A320" t="s">
        <v>543</v>
      </c>
      <c r="B320" t="s">
        <v>2171</v>
      </c>
      <c r="C320">
        <v>110</v>
      </c>
      <c r="D320" t="s">
        <v>2170</v>
      </c>
      <c r="E320" t="s">
        <v>2169</v>
      </c>
      <c r="F320">
        <v>0.91300000000000003</v>
      </c>
      <c r="G320">
        <v>0.92030000000000001</v>
      </c>
    </row>
    <row r="321" spans="1:7" hidden="1">
      <c r="A321" t="s">
        <v>563</v>
      </c>
      <c r="B321" t="s">
        <v>2174</v>
      </c>
      <c r="C321">
        <v>110</v>
      </c>
      <c r="D321" t="s">
        <v>2173</v>
      </c>
      <c r="E321" t="s">
        <v>2172</v>
      </c>
      <c r="F321">
        <v>0.97360000000000002</v>
      </c>
      <c r="G321">
        <v>0.97319999999999995</v>
      </c>
    </row>
    <row r="322" spans="1:7" hidden="1">
      <c r="A322" t="s">
        <v>573</v>
      </c>
      <c r="B322" t="s">
        <v>2177</v>
      </c>
      <c r="C322">
        <v>220</v>
      </c>
      <c r="D322" t="s">
        <v>2176</v>
      </c>
      <c r="E322" t="s">
        <v>2175</v>
      </c>
      <c r="F322">
        <v>0.98829999999999996</v>
      </c>
      <c r="G322">
        <v>0.99009999999999998</v>
      </c>
    </row>
    <row r="323" spans="1:7" hidden="1">
      <c r="A323" t="s">
        <v>571</v>
      </c>
      <c r="B323" t="s">
        <v>2177</v>
      </c>
      <c r="C323">
        <v>110</v>
      </c>
      <c r="D323" t="s">
        <v>2179</v>
      </c>
      <c r="E323" t="s">
        <v>2178</v>
      </c>
      <c r="F323">
        <v>0.9758</v>
      </c>
      <c r="G323">
        <v>0.97770000000000001</v>
      </c>
    </row>
    <row r="324" spans="1:7" hidden="1">
      <c r="A324" t="s">
        <v>598</v>
      </c>
      <c r="B324" t="s">
        <v>2182</v>
      </c>
      <c r="C324">
        <v>220</v>
      </c>
      <c r="D324" t="s">
        <v>2181</v>
      </c>
      <c r="E324" t="s">
        <v>2180</v>
      </c>
      <c r="F324">
        <v>0.93479999999999996</v>
      </c>
      <c r="G324">
        <v>0.94</v>
      </c>
    </row>
    <row r="325" spans="1:7" hidden="1">
      <c r="A325" t="s">
        <v>600</v>
      </c>
      <c r="B325" t="s">
        <v>2185</v>
      </c>
      <c r="C325">
        <v>220</v>
      </c>
      <c r="D325" t="s">
        <v>2184</v>
      </c>
      <c r="E325" t="s">
        <v>2183</v>
      </c>
      <c r="F325">
        <v>0.9365</v>
      </c>
      <c r="G325">
        <v>0.93759999999999999</v>
      </c>
    </row>
    <row r="326" spans="1:7" hidden="1">
      <c r="A326" t="s">
        <v>603</v>
      </c>
      <c r="B326" t="s">
        <v>2187</v>
      </c>
      <c r="C326">
        <v>220</v>
      </c>
      <c r="D326" t="s">
        <v>2186</v>
      </c>
      <c r="E326" t="s">
        <v>2141</v>
      </c>
      <c r="F326">
        <v>1.0095000000000001</v>
      </c>
      <c r="G326">
        <v>1.0095000000000001</v>
      </c>
    </row>
    <row r="327" spans="1:7" hidden="1">
      <c r="A327" t="s">
        <v>610</v>
      </c>
      <c r="B327" t="s">
        <v>2189</v>
      </c>
      <c r="C327">
        <v>220</v>
      </c>
      <c r="D327" t="s">
        <v>2188</v>
      </c>
      <c r="E327" t="s">
        <v>2147</v>
      </c>
      <c r="F327">
        <v>0.97170000000000001</v>
      </c>
      <c r="G327">
        <v>0.97289999999999999</v>
      </c>
    </row>
    <row r="328" spans="1:7" hidden="1">
      <c r="A328" t="s">
        <v>699</v>
      </c>
      <c r="B328" t="s">
        <v>2192</v>
      </c>
      <c r="C328">
        <v>220</v>
      </c>
      <c r="D328" t="s">
        <v>2191</v>
      </c>
      <c r="E328" t="s">
        <v>2190</v>
      </c>
      <c r="F328">
        <v>0.99890000000000001</v>
      </c>
      <c r="G328">
        <v>0.99909999999999999</v>
      </c>
    </row>
    <row r="329" spans="1:7" hidden="1">
      <c r="A329" t="s">
        <v>701</v>
      </c>
      <c r="B329" t="s">
        <v>2194</v>
      </c>
      <c r="C329">
        <v>110</v>
      </c>
      <c r="D329" t="s">
        <v>2193</v>
      </c>
      <c r="E329" t="s">
        <v>2125</v>
      </c>
      <c r="F329">
        <v>0.99939999999999996</v>
      </c>
      <c r="G329">
        <v>0.99990000000000001</v>
      </c>
    </row>
    <row r="330" spans="1:7" hidden="1">
      <c r="A330" t="s">
        <v>663</v>
      </c>
      <c r="B330" t="s">
        <v>2197</v>
      </c>
      <c r="C330">
        <v>110</v>
      </c>
      <c r="D330" t="s">
        <v>2196</v>
      </c>
      <c r="E330" t="s">
        <v>2195</v>
      </c>
      <c r="F330">
        <v>0.95220000000000005</v>
      </c>
      <c r="G330">
        <v>0.95130000000000003</v>
      </c>
    </row>
    <row r="331" spans="1:7" hidden="1">
      <c r="A331" t="s">
        <v>692</v>
      </c>
      <c r="B331" t="s">
        <v>2200</v>
      </c>
      <c r="C331">
        <v>110</v>
      </c>
      <c r="D331" t="s">
        <v>2199</v>
      </c>
      <c r="E331" t="s">
        <v>2198</v>
      </c>
      <c r="F331">
        <v>0.99739999999999995</v>
      </c>
      <c r="G331">
        <v>0.99009999999999998</v>
      </c>
    </row>
    <row r="332" spans="1:7" hidden="1">
      <c r="A332" t="s">
        <v>694</v>
      </c>
      <c r="B332" t="s">
        <v>2203</v>
      </c>
      <c r="C332">
        <v>220</v>
      </c>
      <c r="D332" t="s">
        <v>2202</v>
      </c>
      <c r="E332" t="s">
        <v>2201</v>
      </c>
      <c r="F332">
        <v>0.93779999999999997</v>
      </c>
      <c r="G332">
        <v>0.93969999999999998</v>
      </c>
    </row>
    <row r="333" spans="1:7" hidden="1">
      <c r="A333" t="s">
        <v>697</v>
      </c>
      <c r="B333" t="s">
        <v>2206</v>
      </c>
      <c r="C333">
        <v>110</v>
      </c>
      <c r="D333" t="s">
        <v>2205</v>
      </c>
      <c r="E333" t="s">
        <v>2204</v>
      </c>
      <c r="F333">
        <v>0.9395</v>
      </c>
      <c r="G333">
        <v>0.94269999999999998</v>
      </c>
    </row>
    <row r="334" spans="1:7" hidden="1">
      <c r="A334" t="s">
        <v>467</v>
      </c>
      <c r="B334" t="s">
        <v>2207</v>
      </c>
      <c r="C334">
        <v>220</v>
      </c>
      <c r="D334" t="s">
        <v>2136</v>
      </c>
      <c r="E334" t="s">
        <v>2135</v>
      </c>
      <c r="F334">
        <v>1.0062</v>
      </c>
      <c r="G334">
        <v>1.0055000000000001</v>
      </c>
    </row>
    <row r="335" spans="1:7" hidden="1">
      <c r="A335" t="s">
        <v>465</v>
      </c>
      <c r="B335" t="s">
        <v>2208</v>
      </c>
      <c r="C335">
        <v>22</v>
      </c>
      <c r="D335" t="s">
        <v>2160</v>
      </c>
      <c r="E335" t="s">
        <v>2159</v>
      </c>
      <c r="F335">
        <v>0.97460000000000002</v>
      </c>
      <c r="G335">
        <v>0.97519999999999996</v>
      </c>
    </row>
    <row r="336" spans="1:7" hidden="1">
      <c r="A336" t="s">
        <v>601</v>
      </c>
      <c r="B336" t="s">
        <v>2215</v>
      </c>
      <c r="C336">
        <v>22</v>
      </c>
      <c r="D336" t="s">
        <v>2213</v>
      </c>
      <c r="E336" t="s">
        <v>4277</v>
      </c>
      <c r="F336">
        <v>1.0024999999999999</v>
      </c>
      <c r="G336">
        <v>0.99539999999999995</v>
      </c>
    </row>
  </sheetData>
  <autoFilter ref="A1:G336">
    <filterColumn colId="1">
      <filters>
        <filter val="Valley Power Unit 1"/>
      </filters>
    </filterColumn>
  </autoFilter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theme="1"/>
  </sheetPr>
  <dimension ref="A1:G350"/>
  <sheetViews>
    <sheetView workbookViewId="0">
      <selection activeCell="G1" sqref="A1:G1"/>
    </sheetView>
  </sheetViews>
  <sheetFormatPr baseColWidth="10" defaultRowHeight="15" x14ac:dyDescent="0"/>
  <sheetData>
    <row r="1" spans="1:7">
      <c r="A1" t="s">
        <v>1459</v>
      </c>
      <c r="B1" t="s">
        <v>1457</v>
      </c>
      <c r="C1" t="s">
        <v>1458</v>
      </c>
      <c r="D1" t="s">
        <v>1588</v>
      </c>
      <c r="E1" t="s">
        <v>1460</v>
      </c>
      <c r="F1" t="s">
        <v>3980</v>
      </c>
      <c r="G1" t="s">
        <v>3981</v>
      </c>
    </row>
    <row r="2" spans="1:7">
      <c r="A2" t="s">
        <v>221</v>
      </c>
      <c r="B2" t="s">
        <v>3976</v>
      </c>
      <c r="C2">
        <v>132</v>
      </c>
      <c r="D2" t="s">
        <v>1536</v>
      </c>
      <c r="E2" t="s">
        <v>1535</v>
      </c>
      <c r="F2">
        <v>1.0677000000000001</v>
      </c>
      <c r="G2">
        <v>1.0883</v>
      </c>
    </row>
    <row r="3" spans="1:7">
      <c r="A3" t="s">
        <v>224</v>
      </c>
      <c r="B3" t="s">
        <v>1538</v>
      </c>
      <c r="C3">
        <v>132</v>
      </c>
      <c r="D3" t="s">
        <v>1537</v>
      </c>
      <c r="E3" t="s">
        <v>1535</v>
      </c>
      <c r="F3">
        <v>1.0677000000000001</v>
      </c>
      <c r="G3">
        <v>1.0883</v>
      </c>
    </row>
    <row r="4" spans="1:7">
      <c r="A4" t="s">
        <v>255</v>
      </c>
      <c r="B4" t="s">
        <v>1541</v>
      </c>
      <c r="C4">
        <v>275</v>
      </c>
      <c r="D4" t="s">
        <v>1540</v>
      </c>
      <c r="E4" t="s">
        <v>1539</v>
      </c>
      <c r="F4">
        <v>0.95669999999999999</v>
      </c>
      <c r="G4">
        <v>0.94799999999999995</v>
      </c>
    </row>
    <row r="5" spans="1:7">
      <c r="A5" t="s">
        <v>258</v>
      </c>
      <c r="B5" t="s">
        <v>1543</v>
      </c>
      <c r="C5">
        <v>275</v>
      </c>
      <c r="D5" t="s">
        <v>1542</v>
      </c>
      <c r="E5" t="s">
        <v>1539</v>
      </c>
      <c r="F5">
        <v>0.95669999999999999</v>
      </c>
      <c r="G5">
        <v>0.94799999999999995</v>
      </c>
    </row>
    <row r="6" spans="1:7">
      <c r="A6" t="s">
        <v>259</v>
      </c>
      <c r="B6" t="s">
        <v>1545</v>
      </c>
      <c r="C6">
        <v>275</v>
      </c>
      <c r="D6" t="s">
        <v>1544</v>
      </c>
      <c r="E6" t="s">
        <v>1539</v>
      </c>
      <c r="F6">
        <v>0.95669999999999999</v>
      </c>
      <c r="G6">
        <v>0.94799999999999995</v>
      </c>
    </row>
    <row r="7" spans="1:7">
      <c r="A7" t="s">
        <v>260</v>
      </c>
      <c r="B7" t="s">
        <v>1547</v>
      </c>
      <c r="C7">
        <v>275</v>
      </c>
      <c r="D7" t="s">
        <v>1546</v>
      </c>
      <c r="E7" t="s">
        <v>1539</v>
      </c>
      <c r="F7">
        <v>0.95669999999999999</v>
      </c>
      <c r="G7">
        <v>0.94799999999999995</v>
      </c>
    </row>
    <row r="8" spans="1:7">
      <c r="A8" t="s">
        <v>262</v>
      </c>
      <c r="B8" t="s">
        <v>1549</v>
      </c>
      <c r="C8">
        <v>275</v>
      </c>
      <c r="D8" t="s">
        <v>1548</v>
      </c>
      <c r="E8" t="s">
        <v>1539</v>
      </c>
      <c r="F8">
        <v>0.95669999999999999</v>
      </c>
      <c r="G8">
        <v>0.94799999999999995</v>
      </c>
    </row>
    <row r="9" spans="1:7">
      <c r="A9" t="s">
        <v>263</v>
      </c>
      <c r="B9" t="s">
        <v>1551</v>
      </c>
      <c r="C9">
        <v>275</v>
      </c>
      <c r="D9" t="s">
        <v>1550</v>
      </c>
      <c r="E9" t="s">
        <v>1539</v>
      </c>
      <c r="F9">
        <v>0.95669999999999999</v>
      </c>
      <c r="G9">
        <v>0.94799999999999995</v>
      </c>
    </row>
    <row r="10" spans="1:7">
      <c r="A10" t="s">
        <v>2232</v>
      </c>
      <c r="B10" t="s">
        <v>1553</v>
      </c>
      <c r="C10">
        <v>132</v>
      </c>
      <c r="D10" t="s">
        <v>1552</v>
      </c>
      <c r="E10" t="s">
        <v>1552</v>
      </c>
      <c r="F10">
        <v>0.95899999999999996</v>
      </c>
      <c r="G10">
        <v>0.94120000000000004</v>
      </c>
    </row>
    <row r="11" spans="1:7">
      <c r="A11" t="s">
        <v>288</v>
      </c>
      <c r="B11" t="s">
        <v>1556</v>
      </c>
      <c r="C11">
        <v>132</v>
      </c>
      <c r="D11" t="s">
        <v>1555</v>
      </c>
      <c r="E11" t="s">
        <v>1554</v>
      </c>
      <c r="F11">
        <v>0.95630000000000004</v>
      </c>
      <c r="G11">
        <v>0.9365</v>
      </c>
    </row>
    <row r="12" spans="1:7">
      <c r="A12" t="s">
        <v>1346</v>
      </c>
      <c r="B12" t="s">
        <v>1558</v>
      </c>
      <c r="C12">
        <v>132</v>
      </c>
      <c r="D12" t="s">
        <v>1557</v>
      </c>
      <c r="E12" t="s">
        <v>1554</v>
      </c>
      <c r="F12">
        <v>0.95630000000000004</v>
      </c>
      <c r="G12">
        <v>0.9365</v>
      </c>
    </row>
    <row r="13" spans="1:7">
      <c r="A13" t="s">
        <v>290</v>
      </c>
      <c r="B13" t="s">
        <v>1561</v>
      </c>
      <c r="C13">
        <v>275</v>
      </c>
      <c r="D13" t="s">
        <v>1560</v>
      </c>
      <c r="E13" t="s">
        <v>1559</v>
      </c>
      <c r="F13">
        <v>0.96709999999999996</v>
      </c>
      <c r="G13">
        <v>0.95250000000000001</v>
      </c>
    </row>
    <row r="14" spans="1:7">
      <c r="A14" t="s">
        <v>292</v>
      </c>
      <c r="B14" t="s">
        <v>1563</v>
      </c>
      <c r="C14">
        <v>275</v>
      </c>
      <c r="D14" t="s">
        <v>1562</v>
      </c>
      <c r="E14" t="s">
        <v>1559</v>
      </c>
      <c r="F14">
        <v>0.96709999999999996</v>
      </c>
      <c r="G14">
        <v>0.95250000000000001</v>
      </c>
    </row>
    <row r="15" spans="1:7">
      <c r="A15" t="s">
        <v>332</v>
      </c>
      <c r="B15" t="s">
        <v>1566</v>
      </c>
      <c r="C15">
        <v>275</v>
      </c>
      <c r="D15" t="s">
        <v>1565</v>
      </c>
      <c r="E15" t="s">
        <v>1564</v>
      </c>
      <c r="F15">
        <v>0.96479999999999999</v>
      </c>
      <c r="G15">
        <v>0.95250000000000001</v>
      </c>
    </row>
    <row r="16" spans="1:7">
      <c r="A16" t="s">
        <v>335</v>
      </c>
      <c r="B16" t="s">
        <v>1568</v>
      </c>
      <c r="C16">
        <v>275</v>
      </c>
      <c r="D16" t="s">
        <v>1567</v>
      </c>
      <c r="E16" t="s">
        <v>1564</v>
      </c>
      <c r="F16">
        <v>0.96479999999999999</v>
      </c>
      <c r="G16">
        <v>0.95250000000000001</v>
      </c>
    </row>
    <row r="17" spans="1:7">
      <c r="A17" t="s">
        <v>336</v>
      </c>
      <c r="B17" t="s">
        <v>3977</v>
      </c>
      <c r="C17">
        <v>132</v>
      </c>
      <c r="D17" t="s">
        <v>1570</v>
      </c>
      <c r="E17" t="s">
        <v>1569</v>
      </c>
      <c r="F17">
        <v>0.96419999999999995</v>
      </c>
      <c r="G17">
        <v>0.95189999999999997</v>
      </c>
    </row>
    <row r="18" spans="1:7">
      <c r="A18" t="s">
        <v>344</v>
      </c>
      <c r="B18" t="s">
        <v>1572</v>
      </c>
      <c r="C18">
        <v>275</v>
      </c>
      <c r="D18" t="s">
        <v>1571</v>
      </c>
      <c r="E18" t="s">
        <v>1539</v>
      </c>
      <c r="F18">
        <v>0.95669999999999999</v>
      </c>
      <c r="G18">
        <v>0.94799999999999995</v>
      </c>
    </row>
    <row r="19" spans="1:7">
      <c r="A19" t="s">
        <v>386</v>
      </c>
      <c r="B19" t="s">
        <v>1575</v>
      </c>
      <c r="C19">
        <v>132</v>
      </c>
      <c r="D19" t="s">
        <v>1574</v>
      </c>
      <c r="E19" t="s">
        <v>1573</v>
      </c>
      <c r="F19">
        <v>0.98550000000000004</v>
      </c>
      <c r="G19">
        <v>0.97770000000000001</v>
      </c>
    </row>
    <row r="20" spans="1:7">
      <c r="A20" t="s">
        <v>387</v>
      </c>
      <c r="B20" t="s">
        <v>1577</v>
      </c>
      <c r="C20">
        <v>132</v>
      </c>
      <c r="D20" t="s">
        <v>1576</v>
      </c>
      <c r="E20" t="s">
        <v>1573</v>
      </c>
      <c r="F20">
        <v>0.98550000000000004</v>
      </c>
      <c r="G20">
        <v>0.97770000000000001</v>
      </c>
    </row>
    <row r="21" spans="1:7">
      <c r="A21" t="s">
        <v>2265</v>
      </c>
      <c r="B21" t="s">
        <v>1578</v>
      </c>
      <c r="C21">
        <v>132</v>
      </c>
      <c r="D21" t="s">
        <v>1573</v>
      </c>
      <c r="E21" t="s">
        <v>1573</v>
      </c>
      <c r="F21">
        <v>0.98550000000000004</v>
      </c>
      <c r="G21">
        <v>0.97770000000000001</v>
      </c>
    </row>
    <row r="22" spans="1:7">
      <c r="A22" t="s">
        <v>383</v>
      </c>
      <c r="B22" t="s">
        <v>1581</v>
      </c>
      <c r="C22">
        <v>275</v>
      </c>
      <c r="D22" t="s">
        <v>1580</v>
      </c>
      <c r="E22" t="s">
        <v>1579</v>
      </c>
      <c r="F22">
        <v>0.98680000000000001</v>
      </c>
      <c r="G22">
        <v>0.98070000000000002</v>
      </c>
    </row>
    <row r="23" spans="1:7">
      <c r="A23" t="s">
        <v>385</v>
      </c>
      <c r="B23" t="s">
        <v>1583</v>
      </c>
      <c r="C23">
        <v>275</v>
      </c>
      <c r="D23" t="s">
        <v>1582</v>
      </c>
      <c r="E23" t="s">
        <v>1579</v>
      </c>
      <c r="F23">
        <v>0.98680000000000001</v>
      </c>
      <c r="G23">
        <v>0.98070000000000002</v>
      </c>
    </row>
    <row r="24" spans="1:7">
      <c r="A24" t="s">
        <v>388</v>
      </c>
      <c r="B24" t="s">
        <v>1585</v>
      </c>
      <c r="C24">
        <v>275</v>
      </c>
      <c r="D24" t="s">
        <v>1584</v>
      </c>
      <c r="E24" t="s">
        <v>1579</v>
      </c>
      <c r="F24">
        <v>0.98680000000000001</v>
      </c>
      <c r="G24">
        <v>0.98070000000000002</v>
      </c>
    </row>
    <row r="25" spans="1:7">
      <c r="A25" t="s">
        <v>389</v>
      </c>
      <c r="B25" t="s">
        <v>1587</v>
      </c>
      <c r="C25">
        <v>275</v>
      </c>
      <c r="D25" t="s">
        <v>1586</v>
      </c>
      <c r="E25" t="s">
        <v>1579</v>
      </c>
      <c r="F25">
        <v>0.98680000000000001</v>
      </c>
      <c r="G25">
        <v>0.98070000000000002</v>
      </c>
    </row>
    <row r="26" spans="1:7">
      <c r="A26" t="s">
        <v>442</v>
      </c>
      <c r="B26" t="s">
        <v>1466</v>
      </c>
      <c r="C26">
        <v>132</v>
      </c>
      <c r="D26" t="s">
        <v>1495</v>
      </c>
      <c r="E26" t="s">
        <v>1494</v>
      </c>
      <c r="F26">
        <v>1.069</v>
      </c>
      <c r="G26">
        <v>1.087</v>
      </c>
    </row>
    <row r="27" spans="1:7">
      <c r="A27" t="s">
        <v>444</v>
      </c>
      <c r="B27" t="s">
        <v>1467</v>
      </c>
      <c r="C27">
        <v>132</v>
      </c>
      <c r="D27" t="s">
        <v>1496</v>
      </c>
      <c r="E27" t="s">
        <v>1494</v>
      </c>
      <c r="F27">
        <v>1.069</v>
      </c>
      <c r="G27">
        <v>1.087</v>
      </c>
    </row>
    <row r="28" spans="1:7">
      <c r="A28" t="s">
        <v>445</v>
      </c>
      <c r="B28" t="s">
        <v>1468</v>
      </c>
      <c r="C28">
        <v>132</v>
      </c>
      <c r="D28" t="s">
        <v>1497</v>
      </c>
      <c r="E28" t="s">
        <v>1494</v>
      </c>
      <c r="F28">
        <v>1.069</v>
      </c>
      <c r="G28">
        <v>1.087</v>
      </c>
    </row>
    <row r="29" spans="1:7">
      <c r="A29" t="s">
        <v>446</v>
      </c>
      <c r="B29" t="s">
        <v>1469</v>
      </c>
      <c r="C29">
        <v>132</v>
      </c>
      <c r="D29" t="s">
        <v>1498</v>
      </c>
      <c r="E29" t="s">
        <v>1494</v>
      </c>
      <c r="F29">
        <v>1.069</v>
      </c>
      <c r="G29">
        <v>1.087</v>
      </c>
    </row>
    <row r="30" spans="1:7">
      <c r="A30" t="s">
        <v>453</v>
      </c>
      <c r="B30" t="s">
        <v>1470</v>
      </c>
      <c r="C30">
        <v>275</v>
      </c>
      <c r="D30" t="s">
        <v>1500</v>
      </c>
      <c r="E30" t="s">
        <v>1499</v>
      </c>
      <c r="F30">
        <v>0.95820000000000005</v>
      </c>
      <c r="G30">
        <v>0.94930000000000003</v>
      </c>
    </row>
    <row r="31" spans="1:7">
      <c r="A31" t="s">
        <v>447</v>
      </c>
      <c r="B31" t="s">
        <v>1471</v>
      </c>
      <c r="C31">
        <v>132</v>
      </c>
      <c r="D31" t="s">
        <v>1501</v>
      </c>
      <c r="E31" t="s">
        <v>1494</v>
      </c>
      <c r="F31">
        <v>1.069</v>
      </c>
      <c r="G31">
        <v>1.087</v>
      </c>
    </row>
    <row r="32" spans="1:7">
      <c r="A32" t="s">
        <v>532</v>
      </c>
      <c r="B32" t="s">
        <v>3978</v>
      </c>
      <c r="C32">
        <v>330</v>
      </c>
      <c r="D32" t="s">
        <v>1503</v>
      </c>
      <c r="E32" t="s">
        <v>1502</v>
      </c>
      <c r="F32">
        <v>0.96120000000000005</v>
      </c>
      <c r="G32">
        <v>0.95320000000000005</v>
      </c>
    </row>
    <row r="33" spans="1:7">
      <c r="A33" t="s">
        <v>534</v>
      </c>
      <c r="B33" t="s">
        <v>3979</v>
      </c>
      <c r="C33">
        <v>330</v>
      </c>
      <c r="D33" t="s">
        <v>1504</v>
      </c>
      <c r="E33" t="s">
        <v>1502</v>
      </c>
      <c r="F33">
        <v>0.96120000000000005</v>
      </c>
      <c r="G33">
        <v>0.95320000000000005</v>
      </c>
    </row>
    <row r="34" spans="1:7">
      <c r="A34" t="s">
        <v>535</v>
      </c>
      <c r="B34" t="s">
        <v>1472</v>
      </c>
      <c r="C34">
        <v>132</v>
      </c>
      <c r="D34" t="s">
        <v>1506</v>
      </c>
      <c r="E34" t="s">
        <v>1505</v>
      </c>
      <c r="F34">
        <v>1.0156000000000001</v>
      </c>
      <c r="G34">
        <v>1.0041</v>
      </c>
    </row>
    <row r="35" spans="1:7">
      <c r="A35" t="s">
        <v>537</v>
      </c>
      <c r="B35" t="s">
        <v>1473</v>
      </c>
      <c r="C35">
        <v>132</v>
      </c>
      <c r="D35" t="s">
        <v>1507</v>
      </c>
      <c r="E35" t="s">
        <v>1505</v>
      </c>
      <c r="F35">
        <v>1.0156000000000001</v>
      </c>
      <c r="G35">
        <v>1.0041</v>
      </c>
    </row>
    <row r="36" spans="1:7">
      <c r="A36" t="s">
        <v>538</v>
      </c>
      <c r="B36" t="s">
        <v>1474</v>
      </c>
      <c r="C36">
        <v>132</v>
      </c>
      <c r="D36" t="s">
        <v>1508</v>
      </c>
      <c r="E36" t="s">
        <v>1505</v>
      </c>
      <c r="F36">
        <v>1.0156000000000001</v>
      </c>
      <c r="G36">
        <v>1.0041</v>
      </c>
    </row>
    <row r="37" spans="1:7">
      <c r="A37" t="s">
        <v>556</v>
      </c>
      <c r="B37" t="s">
        <v>1475</v>
      </c>
      <c r="C37">
        <v>110</v>
      </c>
      <c r="D37" t="s">
        <v>1510</v>
      </c>
      <c r="E37" t="s">
        <v>1509</v>
      </c>
      <c r="F37">
        <v>0.94979999999999998</v>
      </c>
      <c r="G37">
        <v>0.95189999999999997</v>
      </c>
    </row>
    <row r="38" spans="1:7">
      <c r="A38" t="s">
        <v>558</v>
      </c>
      <c r="B38" t="s">
        <v>1476</v>
      </c>
      <c r="C38">
        <v>110</v>
      </c>
      <c r="D38" t="s">
        <v>1511</v>
      </c>
      <c r="E38" t="s">
        <v>1509</v>
      </c>
      <c r="F38">
        <v>0.94979999999999998</v>
      </c>
      <c r="G38">
        <v>0.95189999999999997</v>
      </c>
    </row>
    <row r="39" spans="1:7">
      <c r="A39" t="s">
        <v>2318</v>
      </c>
      <c r="B39" t="s">
        <v>1477</v>
      </c>
      <c r="C39">
        <v>132</v>
      </c>
      <c r="D39" t="s">
        <v>1512</v>
      </c>
      <c r="E39" t="s">
        <v>1512</v>
      </c>
      <c r="F39">
        <v>0.98970000000000002</v>
      </c>
      <c r="G39">
        <v>0.98580000000000001</v>
      </c>
    </row>
    <row r="40" spans="1:7">
      <c r="A40" t="s">
        <v>636</v>
      </c>
      <c r="B40" t="s">
        <v>1478</v>
      </c>
      <c r="C40">
        <v>275</v>
      </c>
      <c r="D40" t="s">
        <v>1514</v>
      </c>
      <c r="E40" t="s">
        <v>1513</v>
      </c>
      <c r="F40">
        <v>0.97840000000000005</v>
      </c>
      <c r="G40">
        <v>0.96930000000000005</v>
      </c>
    </row>
    <row r="41" spans="1:7">
      <c r="A41" t="s">
        <v>638</v>
      </c>
      <c r="B41" t="s">
        <v>1479</v>
      </c>
      <c r="C41">
        <v>275</v>
      </c>
      <c r="D41" t="s">
        <v>1515</v>
      </c>
      <c r="E41" t="s">
        <v>1513</v>
      </c>
      <c r="F41">
        <v>0.97840000000000005</v>
      </c>
      <c r="G41">
        <v>0.96930000000000005</v>
      </c>
    </row>
    <row r="42" spans="1:7">
      <c r="A42" t="s">
        <v>639</v>
      </c>
      <c r="B42" t="s">
        <v>1480</v>
      </c>
      <c r="C42">
        <v>275</v>
      </c>
      <c r="D42" t="s">
        <v>1516</v>
      </c>
      <c r="E42" t="s">
        <v>1513</v>
      </c>
      <c r="F42">
        <v>0.97840000000000005</v>
      </c>
      <c r="G42">
        <v>0.96930000000000005</v>
      </c>
    </row>
    <row r="43" spans="1:7">
      <c r="A43" t="s">
        <v>640</v>
      </c>
      <c r="B43" t="s">
        <v>1481</v>
      </c>
      <c r="C43">
        <v>275</v>
      </c>
      <c r="D43" t="s">
        <v>1517</v>
      </c>
      <c r="E43" t="s">
        <v>1513</v>
      </c>
      <c r="F43">
        <v>0.97840000000000005</v>
      </c>
      <c r="G43">
        <v>0.96930000000000005</v>
      </c>
    </row>
    <row r="44" spans="1:7">
      <c r="A44" t="s">
        <v>652</v>
      </c>
      <c r="B44" t="s">
        <v>1482</v>
      </c>
      <c r="C44">
        <v>275</v>
      </c>
      <c r="D44" t="s">
        <v>1519</v>
      </c>
      <c r="E44" t="s">
        <v>1519</v>
      </c>
      <c r="F44">
        <v>0.99719999999999998</v>
      </c>
      <c r="G44">
        <v>0.99339999999999995</v>
      </c>
    </row>
    <row r="45" spans="1:7">
      <c r="A45" t="s">
        <v>679</v>
      </c>
      <c r="B45" t="s">
        <v>1483</v>
      </c>
      <c r="C45">
        <v>275</v>
      </c>
      <c r="D45" t="s">
        <v>1520</v>
      </c>
      <c r="E45" t="s">
        <v>1520</v>
      </c>
      <c r="F45">
        <v>0.97070000000000001</v>
      </c>
      <c r="G45">
        <v>0.96779999999999999</v>
      </c>
    </row>
    <row r="46" spans="1:7">
      <c r="A46" t="s">
        <v>658</v>
      </c>
      <c r="B46" t="s">
        <v>1484</v>
      </c>
      <c r="C46">
        <v>275</v>
      </c>
      <c r="D46" t="s">
        <v>1522</v>
      </c>
      <c r="E46" t="s">
        <v>1521</v>
      </c>
      <c r="F46">
        <v>0.9708</v>
      </c>
      <c r="G46">
        <v>0.9677</v>
      </c>
    </row>
    <row r="47" spans="1:7">
      <c r="A47" t="s">
        <v>660</v>
      </c>
      <c r="B47" t="s">
        <v>1485</v>
      </c>
      <c r="C47">
        <v>275</v>
      </c>
      <c r="D47" t="s">
        <v>1523</v>
      </c>
      <c r="E47" t="s">
        <v>1521</v>
      </c>
      <c r="F47">
        <v>0.9708</v>
      </c>
      <c r="G47">
        <v>0.9677</v>
      </c>
    </row>
    <row r="48" spans="1:7">
      <c r="A48" t="s">
        <v>661</v>
      </c>
      <c r="B48" t="s">
        <v>1486</v>
      </c>
      <c r="C48">
        <v>275</v>
      </c>
      <c r="D48" t="s">
        <v>1524</v>
      </c>
      <c r="E48" t="s">
        <v>1521</v>
      </c>
      <c r="F48">
        <v>0.9708</v>
      </c>
      <c r="G48">
        <v>0.9677</v>
      </c>
    </row>
    <row r="49" spans="1:7">
      <c r="A49" t="s">
        <v>662</v>
      </c>
      <c r="B49" t="s">
        <v>1487</v>
      </c>
      <c r="C49">
        <v>275</v>
      </c>
      <c r="D49" t="s">
        <v>1525</v>
      </c>
      <c r="E49" t="s">
        <v>1521</v>
      </c>
      <c r="F49">
        <v>0.9708</v>
      </c>
      <c r="G49">
        <v>0.9677</v>
      </c>
    </row>
    <row r="50" spans="1:7">
      <c r="A50" t="s">
        <v>721</v>
      </c>
      <c r="B50" t="s">
        <v>1488</v>
      </c>
      <c r="C50">
        <v>275</v>
      </c>
      <c r="D50" t="s">
        <v>1527</v>
      </c>
      <c r="E50" t="s">
        <v>1526</v>
      </c>
      <c r="F50">
        <v>0.98950000000000005</v>
      </c>
      <c r="G50">
        <v>0.98909999999999998</v>
      </c>
    </row>
    <row r="51" spans="1:7">
      <c r="A51" t="s">
        <v>724</v>
      </c>
      <c r="B51" t="s">
        <v>1489</v>
      </c>
      <c r="C51">
        <v>275</v>
      </c>
      <c r="D51" t="s">
        <v>1528</v>
      </c>
      <c r="E51" t="s">
        <v>1526</v>
      </c>
      <c r="F51">
        <v>0.98950000000000005</v>
      </c>
      <c r="G51">
        <v>0.98909999999999998</v>
      </c>
    </row>
    <row r="52" spans="1:7">
      <c r="A52" t="s">
        <v>585</v>
      </c>
      <c r="B52" t="s">
        <v>1490</v>
      </c>
      <c r="C52">
        <v>275</v>
      </c>
      <c r="D52" t="s">
        <v>1530</v>
      </c>
      <c r="E52" t="s">
        <v>1529</v>
      </c>
      <c r="F52">
        <v>0.99409999999999998</v>
      </c>
      <c r="G52">
        <v>0.99299999999999999</v>
      </c>
    </row>
    <row r="53" spans="1:7">
      <c r="A53" t="s">
        <v>588</v>
      </c>
      <c r="B53" t="s">
        <v>1491</v>
      </c>
      <c r="C53">
        <v>275</v>
      </c>
      <c r="D53" t="s">
        <v>1531</v>
      </c>
      <c r="E53" t="s">
        <v>1529</v>
      </c>
      <c r="F53">
        <v>0.99409999999999998</v>
      </c>
      <c r="G53">
        <v>0.99299999999999999</v>
      </c>
    </row>
    <row r="54" spans="1:7">
      <c r="A54" t="s">
        <v>770</v>
      </c>
      <c r="B54" t="s">
        <v>1492</v>
      </c>
      <c r="C54">
        <v>132</v>
      </c>
      <c r="D54" t="s">
        <v>1532</v>
      </c>
      <c r="E54" t="s">
        <v>1532</v>
      </c>
      <c r="F54">
        <v>1.0337000000000001</v>
      </c>
      <c r="G54">
        <v>1.0291999999999999</v>
      </c>
    </row>
    <row r="55" spans="1:7">
      <c r="A55" t="s">
        <v>775</v>
      </c>
      <c r="B55" t="s">
        <v>1493</v>
      </c>
      <c r="C55">
        <v>132</v>
      </c>
      <c r="D55" t="s">
        <v>1534</v>
      </c>
      <c r="E55" t="s">
        <v>1533</v>
      </c>
      <c r="F55">
        <v>0.9879</v>
      </c>
      <c r="G55">
        <v>0.98370000000000002</v>
      </c>
    </row>
    <row r="56" spans="1:7">
      <c r="A56" t="s">
        <v>213</v>
      </c>
      <c r="B56" t="s">
        <v>3982</v>
      </c>
      <c r="C56">
        <v>132</v>
      </c>
      <c r="D56" t="s">
        <v>1591</v>
      </c>
      <c r="E56" t="s">
        <v>1591</v>
      </c>
      <c r="F56">
        <v>0.99350000000000005</v>
      </c>
      <c r="G56">
        <v>0.98709999999999998</v>
      </c>
    </row>
    <row r="57" spans="1:7">
      <c r="A57" t="s">
        <v>252</v>
      </c>
      <c r="B57" t="s">
        <v>1593</v>
      </c>
      <c r="C57">
        <v>110</v>
      </c>
      <c r="D57" t="s">
        <v>1592</v>
      </c>
      <c r="E57" t="s">
        <v>1518</v>
      </c>
      <c r="F57">
        <v>1.0078</v>
      </c>
      <c r="G57">
        <v>1.0055000000000001</v>
      </c>
    </row>
    <row r="58" spans="1:7">
      <c r="A58" t="s">
        <v>340</v>
      </c>
      <c r="B58" t="s">
        <v>1596</v>
      </c>
      <c r="C58">
        <v>110</v>
      </c>
      <c r="D58" t="s">
        <v>1595</v>
      </c>
      <c r="E58" t="s">
        <v>1594</v>
      </c>
      <c r="F58">
        <v>0.97470000000000001</v>
      </c>
      <c r="G58">
        <v>0.97019999999999995</v>
      </c>
    </row>
    <row r="59" spans="1:7">
      <c r="A59" t="s">
        <v>373</v>
      </c>
      <c r="B59" t="s">
        <v>1599</v>
      </c>
      <c r="C59">
        <v>66</v>
      </c>
      <c r="D59" t="s">
        <v>1598</v>
      </c>
      <c r="E59" t="s">
        <v>1597</v>
      </c>
      <c r="F59">
        <v>1.0373000000000001</v>
      </c>
      <c r="G59">
        <v>1.0351999999999999</v>
      </c>
    </row>
    <row r="60" spans="1:7">
      <c r="A60" t="s">
        <v>421</v>
      </c>
      <c r="B60" t="s">
        <v>2217</v>
      </c>
      <c r="C60">
        <v>132</v>
      </c>
      <c r="D60" t="s">
        <v>1601</v>
      </c>
      <c r="E60" t="s">
        <v>1600</v>
      </c>
      <c r="F60">
        <v>1.0106999999999999</v>
      </c>
      <c r="G60">
        <v>1.0125999999999999</v>
      </c>
    </row>
    <row r="61" spans="1:7">
      <c r="A61" t="s">
        <v>495</v>
      </c>
      <c r="B61" t="s">
        <v>1603</v>
      </c>
      <c r="C61">
        <v>33</v>
      </c>
      <c r="D61" t="s">
        <v>1602</v>
      </c>
      <c r="E61" t="s">
        <v>1602</v>
      </c>
      <c r="F61">
        <v>1.0549999999999999</v>
      </c>
      <c r="G61">
        <v>1.0305</v>
      </c>
    </row>
    <row r="62" spans="1:7">
      <c r="A62" t="s">
        <v>520</v>
      </c>
      <c r="B62" t="s">
        <v>3983</v>
      </c>
      <c r="C62">
        <v>11</v>
      </c>
      <c r="D62" t="s">
        <v>1605</v>
      </c>
      <c r="E62" t="s">
        <v>1604</v>
      </c>
      <c r="F62">
        <v>1.0824</v>
      </c>
      <c r="G62">
        <v>1.1000000000000001</v>
      </c>
    </row>
    <row r="63" spans="1:7">
      <c r="A63" t="s">
        <v>499</v>
      </c>
      <c r="B63" t="s">
        <v>1608</v>
      </c>
      <c r="C63">
        <v>66</v>
      </c>
      <c r="D63" t="s">
        <v>1607</v>
      </c>
      <c r="E63" t="s">
        <v>1606</v>
      </c>
      <c r="F63">
        <v>1.089</v>
      </c>
      <c r="G63">
        <v>1.107</v>
      </c>
    </row>
    <row r="64" spans="1:7">
      <c r="A64" t="s">
        <v>2401</v>
      </c>
      <c r="B64" t="s">
        <v>3984</v>
      </c>
      <c r="C64">
        <v>66</v>
      </c>
      <c r="D64" t="s">
        <v>1609</v>
      </c>
      <c r="E64" t="s">
        <v>1597</v>
      </c>
      <c r="F64">
        <v>1.0373000000000001</v>
      </c>
      <c r="G64">
        <v>1.0351999999999999</v>
      </c>
    </row>
    <row r="65" spans="1:7">
      <c r="A65" t="s">
        <v>605</v>
      </c>
      <c r="B65" t="s">
        <v>1612</v>
      </c>
      <c r="C65">
        <v>110</v>
      </c>
      <c r="D65" t="s">
        <v>1611</v>
      </c>
      <c r="E65" t="s">
        <v>1610</v>
      </c>
      <c r="F65">
        <v>1.0066999999999999</v>
      </c>
      <c r="G65">
        <v>1.0061</v>
      </c>
    </row>
    <row r="66" spans="1:7">
      <c r="A66" t="s">
        <v>614</v>
      </c>
      <c r="B66" t="s">
        <v>1614</v>
      </c>
      <c r="C66">
        <v>110</v>
      </c>
      <c r="D66" t="s">
        <v>1613</v>
      </c>
      <c r="E66" t="s">
        <v>1518</v>
      </c>
      <c r="F66">
        <v>1.0078</v>
      </c>
      <c r="G66">
        <v>1.0055000000000001</v>
      </c>
    </row>
    <row r="67" spans="1:7">
      <c r="A67" t="s">
        <v>353</v>
      </c>
      <c r="B67" t="s">
        <v>1617</v>
      </c>
      <c r="C67">
        <v>110</v>
      </c>
      <c r="D67" t="s">
        <v>1616</v>
      </c>
      <c r="E67" t="s">
        <v>1615</v>
      </c>
      <c r="F67">
        <v>1.0057</v>
      </c>
      <c r="G67">
        <v>1.0071000000000001</v>
      </c>
    </row>
    <row r="68" spans="1:7">
      <c r="A68" t="s">
        <v>607</v>
      </c>
      <c r="B68" t="s">
        <v>3985</v>
      </c>
      <c r="C68">
        <v>132</v>
      </c>
      <c r="D68" t="s">
        <v>1619</v>
      </c>
      <c r="E68" t="s">
        <v>1618</v>
      </c>
      <c r="F68">
        <v>0.95909999999999995</v>
      </c>
      <c r="G68">
        <v>0.94040000000000001</v>
      </c>
    </row>
    <row r="69" spans="1:7">
      <c r="A69" t="s">
        <v>609</v>
      </c>
      <c r="B69" t="s">
        <v>3986</v>
      </c>
      <c r="C69">
        <v>132</v>
      </c>
      <c r="D69" t="s">
        <v>1620</v>
      </c>
      <c r="E69" t="s">
        <v>1618</v>
      </c>
      <c r="F69">
        <v>0.95909999999999995</v>
      </c>
      <c r="G69">
        <v>0.94040000000000001</v>
      </c>
    </row>
    <row r="70" spans="1:7">
      <c r="A70" t="s">
        <v>645</v>
      </c>
      <c r="B70" t="s">
        <v>1623</v>
      </c>
      <c r="C70">
        <v>110</v>
      </c>
      <c r="D70" t="s">
        <v>1622</v>
      </c>
      <c r="E70" t="s">
        <v>1621</v>
      </c>
      <c r="F70">
        <v>1.0141</v>
      </c>
      <c r="G70">
        <v>1.0237000000000001</v>
      </c>
    </row>
    <row r="71" spans="1:7">
      <c r="A71" t="s">
        <v>647</v>
      </c>
      <c r="B71" t="s">
        <v>3988</v>
      </c>
      <c r="C71">
        <v>110132</v>
      </c>
      <c r="D71" t="s">
        <v>3987</v>
      </c>
      <c r="E71" t="s">
        <v>1624</v>
      </c>
      <c r="F71">
        <v>1.0124</v>
      </c>
      <c r="G71">
        <v>1.0155000000000001</v>
      </c>
    </row>
    <row r="72" spans="1:7">
      <c r="A72" t="s">
        <v>677</v>
      </c>
      <c r="B72" t="s">
        <v>1627</v>
      </c>
      <c r="C72">
        <v>33</v>
      </c>
      <c r="D72" t="s">
        <v>1626</v>
      </c>
      <c r="E72" t="s">
        <v>1625</v>
      </c>
      <c r="F72">
        <v>0.99650000000000005</v>
      </c>
      <c r="G72">
        <v>0.99429999999999996</v>
      </c>
    </row>
    <row r="73" spans="1:7">
      <c r="A73" t="s">
        <v>737</v>
      </c>
      <c r="B73" t="s">
        <v>1630</v>
      </c>
      <c r="C73">
        <v>110</v>
      </c>
      <c r="D73" t="s">
        <v>1629</v>
      </c>
      <c r="E73" t="s">
        <v>1628</v>
      </c>
      <c r="F73">
        <v>0.99529999999999996</v>
      </c>
      <c r="G73">
        <v>0.99270000000000003</v>
      </c>
    </row>
    <row r="74" spans="1:7">
      <c r="A74" t="s">
        <v>735</v>
      </c>
      <c r="B74" t="s">
        <v>3989</v>
      </c>
      <c r="C74">
        <v>66</v>
      </c>
      <c r="D74" t="s">
        <v>1631</v>
      </c>
      <c r="E74" t="s">
        <v>1631</v>
      </c>
      <c r="F74">
        <v>1.1136999999999999</v>
      </c>
      <c r="G74">
        <v>1.1355</v>
      </c>
    </row>
    <row r="75" spans="1:7">
      <c r="A75" t="s">
        <v>2438</v>
      </c>
      <c r="B75" t="s">
        <v>1634</v>
      </c>
      <c r="C75">
        <v>110</v>
      </c>
      <c r="D75" t="s">
        <v>1633</v>
      </c>
      <c r="E75" t="s">
        <v>1632</v>
      </c>
      <c r="F75">
        <v>0.99450000000000005</v>
      </c>
      <c r="G75">
        <v>0.99150000000000005</v>
      </c>
    </row>
    <row r="76" spans="1:7">
      <c r="A76" t="s">
        <v>772</v>
      </c>
      <c r="B76" t="s">
        <v>1637</v>
      </c>
      <c r="C76">
        <v>66</v>
      </c>
      <c r="D76" t="s">
        <v>1636</v>
      </c>
      <c r="E76" t="s">
        <v>1635</v>
      </c>
      <c r="F76">
        <v>1.0427999999999999</v>
      </c>
      <c r="G76">
        <v>1.0285</v>
      </c>
    </row>
    <row r="77" spans="1:7">
      <c r="A77" t="s">
        <v>278</v>
      </c>
      <c r="B77" t="s">
        <v>1640</v>
      </c>
      <c r="C77">
        <v>330</v>
      </c>
      <c r="D77" t="s">
        <v>1639</v>
      </c>
      <c r="E77" t="s">
        <v>1638</v>
      </c>
      <c r="F77">
        <v>0.96679999999999999</v>
      </c>
      <c r="G77">
        <v>0.96560000000000001</v>
      </c>
    </row>
    <row r="78" spans="1:7">
      <c r="A78" t="s">
        <v>281</v>
      </c>
      <c r="B78" t="s">
        <v>1642</v>
      </c>
      <c r="C78">
        <v>330</v>
      </c>
      <c r="D78" t="s">
        <v>1641</v>
      </c>
      <c r="E78" t="s">
        <v>1638</v>
      </c>
      <c r="F78">
        <v>0.96679999999999999</v>
      </c>
      <c r="G78">
        <v>0.96560000000000001</v>
      </c>
    </row>
    <row r="79" spans="1:7">
      <c r="A79" t="s">
        <v>282</v>
      </c>
      <c r="B79" t="s">
        <v>1645</v>
      </c>
      <c r="C79">
        <v>500</v>
      </c>
      <c r="D79" t="s">
        <v>1644</v>
      </c>
      <c r="E79" t="s">
        <v>1643</v>
      </c>
      <c r="F79">
        <v>0.96679999999999999</v>
      </c>
      <c r="G79">
        <v>0.96499999999999997</v>
      </c>
    </row>
    <row r="80" spans="1:7">
      <c r="A80" t="s">
        <v>283</v>
      </c>
      <c r="B80" t="s">
        <v>1647</v>
      </c>
      <c r="C80">
        <v>500</v>
      </c>
      <c r="D80" t="s">
        <v>1646</v>
      </c>
      <c r="E80" t="s">
        <v>1643</v>
      </c>
      <c r="F80">
        <v>0.96679999999999999</v>
      </c>
      <c r="G80">
        <v>0.96499999999999997</v>
      </c>
    </row>
    <row r="81" spans="1:7">
      <c r="A81" t="s">
        <v>241</v>
      </c>
      <c r="B81" t="s">
        <v>1650</v>
      </c>
      <c r="C81">
        <v>132</v>
      </c>
      <c r="D81" t="s">
        <v>1649</v>
      </c>
      <c r="E81" t="s">
        <v>1648</v>
      </c>
      <c r="F81">
        <v>0.94310000000000005</v>
      </c>
      <c r="G81">
        <v>0.93679999999999997</v>
      </c>
    </row>
    <row r="82" spans="1:7">
      <c r="A82" t="s">
        <v>368</v>
      </c>
      <c r="B82" t="s">
        <v>1654</v>
      </c>
      <c r="C82">
        <v>22</v>
      </c>
      <c r="D82" t="s">
        <v>1653</v>
      </c>
      <c r="E82" t="s">
        <v>1652</v>
      </c>
      <c r="F82">
        <v>1.048</v>
      </c>
      <c r="G82">
        <v>0.99780000000000002</v>
      </c>
    </row>
    <row r="83" spans="1:7">
      <c r="A83" t="s">
        <v>274</v>
      </c>
      <c r="B83" t="s">
        <v>1656</v>
      </c>
      <c r="C83">
        <v>132</v>
      </c>
      <c r="D83" t="s">
        <v>1655</v>
      </c>
      <c r="E83" t="s">
        <v>1655</v>
      </c>
      <c r="F83">
        <v>0.95889999999999997</v>
      </c>
      <c r="G83">
        <v>0.94810000000000005</v>
      </c>
    </row>
    <row r="84" spans="1:7">
      <c r="A84" t="s">
        <v>293</v>
      </c>
      <c r="B84" t="s">
        <v>1659</v>
      </c>
      <c r="C84">
        <v>330</v>
      </c>
      <c r="D84" t="s">
        <v>1658</v>
      </c>
      <c r="E84" t="s">
        <v>1657</v>
      </c>
      <c r="F84">
        <v>0.9748</v>
      </c>
      <c r="G84">
        <v>0.96179999999999999</v>
      </c>
    </row>
    <row r="85" spans="1:7">
      <c r="A85" t="s">
        <v>306</v>
      </c>
      <c r="B85" t="s">
        <v>1662</v>
      </c>
      <c r="C85">
        <v>330</v>
      </c>
      <c r="D85" t="s">
        <v>1661</v>
      </c>
      <c r="E85" t="s">
        <v>1660</v>
      </c>
      <c r="F85">
        <v>0.97929999999999995</v>
      </c>
      <c r="G85">
        <v>0.98550000000000004</v>
      </c>
    </row>
    <row r="86" spans="1:7">
      <c r="A86" t="s">
        <v>308</v>
      </c>
      <c r="B86" t="s">
        <v>1664</v>
      </c>
      <c r="C86">
        <v>330</v>
      </c>
      <c r="D86" t="s">
        <v>1663</v>
      </c>
      <c r="E86" t="s">
        <v>1660</v>
      </c>
      <c r="F86">
        <v>0.97929999999999995</v>
      </c>
      <c r="G86">
        <v>0.98550000000000004</v>
      </c>
    </row>
    <row r="87" spans="1:7">
      <c r="A87" t="s">
        <v>309</v>
      </c>
      <c r="B87" t="s">
        <v>1666</v>
      </c>
      <c r="C87">
        <v>330</v>
      </c>
      <c r="D87" t="s">
        <v>1665</v>
      </c>
      <c r="E87" t="s">
        <v>1660</v>
      </c>
      <c r="F87">
        <v>0.97929999999999995</v>
      </c>
      <c r="G87">
        <v>0.98550000000000004</v>
      </c>
    </row>
    <row r="88" spans="1:7">
      <c r="A88" t="s">
        <v>310</v>
      </c>
      <c r="B88" t="s">
        <v>1668</v>
      </c>
      <c r="C88">
        <v>330</v>
      </c>
      <c r="D88" t="s">
        <v>1667</v>
      </c>
      <c r="E88" t="s">
        <v>1660</v>
      </c>
      <c r="F88">
        <v>0.97929999999999995</v>
      </c>
      <c r="G88">
        <v>0.98550000000000004</v>
      </c>
    </row>
    <row r="89" spans="1:7">
      <c r="A89" t="s">
        <v>360</v>
      </c>
      <c r="B89" t="s">
        <v>1671</v>
      </c>
      <c r="C89">
        <v>330</v>
      </c>
      <c r="D89" t="s">
        <v>1670</v>
      </c>
      <c r="E89" t="s">
        <v>1669</v>
      </c>
      <c r="F89">
        <v>0.98560000000000003</v>
      </c>
      <c r="G89">
        <v>0.98419999999999996</v>
      </c>
    </row>
    <row r="90" spans="1:7">
      <c r="A90" t="s">
        <v>362</v>
      </c>
      <c r="B90" t="s">
        <v>1673</v>
      </c>
      <c r="C90">
        <v>330</v>
      </c>
      <c r="D90" t="s">
        <v>1672</v>
      </c>
      <c r="E90" t="s">
        <v>1669</v>
      </c>
      <c r="F90">
        <v>0.98560000000000003</v>
      </c>
      <c r="G90">
        <v>0.98419999999999996</v>
      </c>
    </row>
    <row r="91" spans="1:7">
      <c r="A91" t="s">
        <v>363</v>
      </c>
      <c r="B91" t="s">
        <v>1676</v>
      </c>
      <c r="C91">
        <v>500</v>
      </c>
      <c r="D91" t="s">
        <v>1675</v>
      </c>
      <c r="E91" t="s">
        <v>1674</v>
      </c>
      <c r="F91">
        <v>0.98670000000000002</v>
      </c>
      <c r="G91">
        <v>0.98570000000000002</v>
      </c>
    </row>
    <row r="92" spans="1:7">
      <c r="A92" t="s">
        <v>364</v>
      </c>
      <c r="B92" t="s">
        <v>1678</v>
      </c>
      <c r="C92">
        <v>500</v>
      </c>
      <c r="D92" t="s">
        <v>1677</v>
      </c>
      <c r="E92" t="s">
        <v>1674</v>
      </c>
      <c r="F92">
        <v>0.98670000000000002</v>
      </c>
      <c r="G92">
        <v>0.98570000000000002</v>
      </c>
    </row>
    <row r="93" spans="1:7">
      <c r="A93" t="s">
        <v>2483</v>
      </c>
      <c r="B93" t="s">
        <v>1680</v>
      </c>
      <c r="C93">
        <v>500</v>
      </c>
      <c r="D93" t="s">
        <v>1679</v>
      </c>
      <c r="E93" t="s">
        <v>1674</v>
      </c>
      <c r="F93">
        <v>0.98670000000000002</v>
      </c>
      <c r="G93">
        <v>0.98570000000000002</v>
      </c>
    </row>
    <row r="94" spans="1:7">
      <c r="A94" t="s">
        <v>390</v>
      </c>
      <c r="B94" t="s">
        <v>1683</v>
      </c>
      <c r="C94">
        <v>330</v>
      </c>
      <c r="D94" t="s">
        <v>1682</v>
      </c>
      <c r="E94" t="s">
        <v>1681</v>
      </c>
      <c r="F94">
        <v>0.97699999999999998</v>
      </c>
      <c r="G94">
        <v>0.9667</v>
      </c>
    </row>
    <row r="95" spans="1:7">
      <c r="A95" t="s">
        <v>393</v>
      </c>
      <c r="B95" t="s">
        <v>1686</v>
      </c>
      <c r="C95">
        <v>132</v>
      </c>
      <c r="D95" t="s">
        <v>1685</v>
      </c>
      <c r="E95" t="s">
        <v>1684</v>
      </c>
      <c r="F95">
        <v>0.88819999999999999</v>
      </c>
      <c r="G95">
        <v>0.89870000000000005</v>
      </c>
    </row>
    <row r="96" spans="1:7">
      <c r="A96" t="s">
        <v>2496</v>
      </c>
      <c r="B96" t="s">
        <v>1689</v>
      </c>
      <c r="C96">
        <v>11</v>
      </c>
      <c r="D96" t="s">
        <v>1688</v>
      </c>
      <c r="E96" t="s">
        <v>1687</v>
      </c>
      <c r="F96">
        <v>0.95489999999999997</v>
      </c>
      <c r="G96">
        <v>0.98850000000000005</v>
      </c>
    </row>
    <row r="97" spans="1:7">
      <c r="A97" t="s">
        <v>407</v>
      </c>
      <c r="B97" t="s">
        <v>3990</v>
      </c>
      <c r="C97">
        <v>132</v>
      </c>
      <c r="D97" t="s">
        <v>1690</v>
      </c>
      <c r="E97" t="s">
        <v>1690</v>
      </c>
      <c r="F97">
        <v>0.94830000000000003</v>
      </c>
      <c r="G97">
        <v>0.92320000000000002</v>
      </c>
    </row>
    <row r="98" spans="1:7">
      <c r="A98" t="s">
        <v>620</v>
      </c>
      <c r="B98" t="s">
        <v>3992</v>
      </c>
      <c r="C98">
        <v>330</v>
      </c>
      <c r="D98" t="s">
        <v>1691</v>
      </c>
      <c r="E98" t="s">
        <v>3991</v>
      </c>
      <c r="F98">
        <v>0.98380000000000001</v>
      </c>
      <c r="G98">
        <v>0.97370000000000001</v>
      </c>
    </row>
    <row r="99" spans="1:7">
      <c r="A99" t="s">
        <v>623</v>
      </c>
      <c r="B99" t="s">
        <v>3993</v>
      </c>
      <c r="C99">
        <v>330</v>
      </c>
      <c r="D99" t="s">
        <v>1692</v>
      </c>
      <c r="E99" t="s">
        <v>3991</v>
      </c>
      <c r="F99">
        <v>0.99409999999999998</v>
      </c>
      <c r="G99">
        <v>0.98770000000000002</v>
      </c>
    </row>
    <row r="100" spans="1:7">
      <c r="A100" t="s">
        <v>2504</v>
      </c>
      <c r="B100" t="s">
        <v>1695</v>
      </c>
      <c r="C100">
        <v>330</v>
      </c>
      <c r="D100" t="s">
        <v>1694</v>
      </c>
      <c r="E100" t="s">
        <v>1693</v>
      </c>
      <c r="F100">
        <v>0.96760000000000002</v>
      </c>
      <c r="G100">
        <v>0.96630000000000005</v>
      </c>
    </row>
    <row r="101" spans="1:7">
      <c r="A101" t="s">
        <v>460</v>
      </c>
      <c r="B101" t="s">
        <v>1697</v>
      </c>
      <c r="C101">
        <v>330</v>
      </c>
      <c r="D101" t="s">
        <v>1696</v>
      </c>
      <c r="E101" t="s">
        <v>1693</v>
      </c>
      <c r="F101">
        <v>0.96760000000000002</v>
      </c>
      <c r="G101">
        <v>0.96630000000000005</v>
      </c>
    </row>
    <row r="102" spans="1:7">
      <c r="A102" t="s">
        <v>462</v>
      </c>
      <c r="B102" t="s">
        <v>1699</v>
      </c>
      <c r="C102">
        <v>330</v>
      </c>
      <c r="D102" t="s">
        <v>1698</v>
      </c>
      <c r="E102" t="s">
        <v>1693</v>
      </c>
      <c r="F102">
        <v>0.96760000000000002</v>
      </c>
      <c r="G102">
        <v>0.96630000000000005</v>
      </c>
    </row>
    <row r="103" spans="1:7">
      <c r="A103" t="s">
        <v>463</v>
      </c>
      <c r="B103" t="s">
        <v>1701</v>
      </c>
      <c r="C103">
        <v>330</v>
      </c>
      <c r="D103" t="s">
        <v>1700</v>
      </c>
      <c r="E103" t="s">
        <v>1693</v>
      </c>
      <c r="F103">
        <v>0.96760000000000002</v>
      </c>
      <c r="G103">
        <v>0.96630000000000005</v>
      </c>
    </row>
    <row r="104" spans="1:7">
      <c r="A104" t="s">
        <v>464</v>
      </c>
      <c r="B104" t="s">
        <v>1703</v>
      </c>
      <c r="C104">
        <v>330</v>
      </c>
      <c r="D104" t="s">
        <v>1702</v>
      </c>
      <c r="E104" t="s">
        <v>1693</v>
      </c>
      <c r="F104">
        <v>0.96760000000000002</v>
      </c>
      <c r="G104">
        <v>0.96630000000000005</v>
      </c>
    </row>
    <row r="105" spans="1:7">
      <c r="A105" t="s">
        <v>696</v>
      </c>
      <c r="B105" t="s">
        <v>3994</v>
      </c>
      <c r="C105">
        <v>330</v>
      </c>
      <c r="D105" t="s">
        <v>1705</v>
      </c>
      <c r="E105" t="s">
        <v>1704</v>
      </c>
      <c r="F105">
        <v>0.94650000000000001</v>
      </c>
      <c r="G105">
        <v>0.93089999999999995</v>
      </c>
    </row>
    <row r="106" spans="1:7">
      <c r="A106" t="s">
        <v>2514</v>
      </c>
      <c r="B106" t="s">
        <v>1708</v>
      </c>
      <c r="C106">
        <v>66</v>
      </c>
      <c r="D106" t="s">
        <v>1707</v>
      </c>
      <c r="E106" t="s">
        <v>1706</v>
      </c>
      <c r="F106">
        <v>0.99099999999999999</v>
      </c>
      <c r="G106">
        <v>0.96660000000000001</v>
      </c>
    </row>
    <row r="107" spans="1:7">
      <c r="A107" t="s">
        <v>2518</v>
      </c>
      <c r="B107" t="s">
        <v>3995</v>
      </c>
      <c r="C107">
        <v>330</v>
      </c>
      <c r="D107" t="s">
        <v>1709</v>
      </c>
      <c r="E107" t="s">
        <v>1704</v>
      </c>
      <c r="F107">
        <v>0.97729999999999995</v>
      </c>
      <c r="G107">
        <v>0.94899999999999995</v>
      </c>
    </row>
    <row r="108" spans="1:7">
      <c r="A108" t="s">
        <v>2521</v>
      </c>
      <c r="B108" t="s">
        <v>1711</v>
      </c>
      <c r="C108">
        <v>66</v>
      </c>
      <c r="D108" t="s">
        <v>1710</v>
      </c>
      <c r="E108" t="s">
        <v>1706</v>
      </c>
      <c r="F108">
        <v>0.99099999999999999</v>
      </c>
      <c r="G108">
        <v>0.96660000000000001</v>
      </c>
    </row>
    <row r="109" spans="1:7">
      <c r="A109" t="s">
        <v>2524</v>
      </c>
      <c r="B109" t="s">
        <v>1713</v>
      </c>
      <c r="C109">
        <v>66</v>
      </c>
      <c r="D109" t="s">
        <v>1712</v>
      </c>
      <c r="E109" t="s">
        <v>1706</v>
      </c>
      <c r="F109">
        <v>0.99099999999999999</v>
      </c>
      <c r="G109">
        <v>0.96660000000000001</v>
      </c>
    </row>
    <row r="110" spans="1:7">
      <c r="A110" t="s">
        <v>2527</v>
      </c>
      <c r="B110" t="s">
        <v>1716</v>
      </c>
      <c r="C110">
        <v>330</v>
      </c>
      <c r="D110" t="s">
        <v>1715</v>
      </c>
      <c r="E110" t="s">
        <v>1714</v>
      </c>
      <c r="F110">
        <v>0.97440000000000004</v>
      </c>
      <c r="G110">
        <v>0.9698</v>
      </c>
    </row>
    <row r="111" spans="1:7">
      <c r="A111" t="s">
        <v>529</v>
      </c>
      <c r="B111" t="s">
        <v>1718</v>
      </c>
      <c r="C111">
        <v>330</v>
      </c>
      <c r="D111" t="s">
        <v>1717</v>
      </c>
      <c r="E111" t="s">
        <v>1714</v>
      </c>
      <c r="F111">
        <v>0.97440000000000004</v>
      </c>
      <c r="G111">
        <v>0.9698</v>
      </c>
    </row>
    <row r="112" spans="1:7">
      <c r="A112" t="s">
        <v>531</v>
      </c>
      <c r="B112" t="s">
        <v>1720</v>
      </c>
      <c r="C112">
        <v>330</v>
      </c>
      <c r="D112" t="s">
        <v>1719</v>
      </c>
      <c r="E112" t="s">
        <v>1714</v>
      </c>
      <c r="F112">
        <v>0.97440000000000004</v>
      </c>
      <c r="G112">
        <v>0.9698</v>
      </c>
    </row>
    <row r="113" spans="1:7">
      <c r="A113" t="s">
        <v>4112</v>
      </c>
      <c r="B113" t="s">
        <v>3998</v>
      </c>
      <c r="C113">
        <v>330</v>
      </c>
      <c r="D113" t="s">
        <v>3997</v>
      </c>
      <c r="E113" t="s">
        <v>3996</v>
      </c>
      <c r="F113">
        <v>0.9899</v>
      </c>
      <c r="G113">
        <v>0.98939999999999995</v>
      </c>
    </row>
    <row r="114" spans="1:7">
      <c r="A114" t="s">
        <v>656</v>
      </c>
      <c r="B114" t="s">
        <v>1819</v>
      </c>
      <c r="C114">
        <v>132</v>
      </c>
      <c r="D114" t="s">
        <v>1818</v>
      </c>
      <c r="E114" t="s">
        <v>3999</v>
      </c>
      <c r="F114">
        <v>0.98440000000000005</v>
      </c>
      <c r="G114">
        <v>0.97619999999999996</v>
      </c>
    </row>
    <row r="115" spans="1:7">
      <c r="A115" t="s">
        <v>703</v>
      </c>
      <c r="B115" t="s">
        <v>4000</v>
      </c>
      <c r="C115">
        <v>330</v>
      </c>
      <c r="D115" t="s">
        <v>1723</v>
      </c>
      <c r="E115" t="s">
        <v>1722</v>
      </c>
      <c r="F115">
        <v>0.95379999999999998</v>
      </c>
      <c r="G115">
        <v>0.93630000000000002</v>
      </c>
    </row>
    <row r="116" spans="1:7">
      <c r="A116" t="s">
        <v>705</v>
      </c>
      <c r="B116" t="s">
        <v>1727</v>
      </c>
      <c r="C116">
        <v>132</v>
      </c>
      <c r="D116" t="s">
        <v>1726</v>
      </c>
      <c r="E116" t="s">
        <v>1725</v>
      </c>
      <c r="F116">
        <v>0.89700000000000002</v>
      </c>
      <c r="G116">
        <v>0.86750000000000005</v>
      </c>
    </row>
    <row r="117" spans="1:7">
      <c r="A117" t="s">
        <v>707</v>
      </c>
      <c r="B117" t="s">
        <v>1729</v>
      </c>
      <c r="C117">
        <v>132</v>
      </c>
      <c r="D117" t="s">
        <v>1728</v>
      </c>
      <c r="E117" t="s">
        <v>1725</v>
      </c>
      <c r="F117">
        <v>0.89700000000000002</v>
      </c>
      <c r="G117">
        <v>0.86750000000000005</v>
      </c>
    </row>
    <row r="118" spans="1:7">
      <c r="A118" t="s">
        <v>708</v>
      </c>
      <c r="B118" t="s">
        <v>1731</v>
      </c>
      <c r="C118">
        <v>132</v>
      </c>
      <c r="D118" t="s">
        <v>1730</v>
      </c>
      <c r="E118" t="s">
        <v>1725</v>
      </c>
      <c r="F118">
        <v>0.89700000000000002</v>
      </c>
      <c r="G118">
        <v>0.86750000000000005</v>
      </c>
    </row>
    <row r="119" spans="1:7">
      <c r="A119" t="s">
        <v>709</v>
      </c>
      <c r="B119" t="s">
        <v>1733</v>
      </c>
      <c r="C119">
        <v>132</v>
      </c>
      <c r="D119" t="s">
        <v>1732</v>
      </c>
      <c r="E119" t="s">
        <v>1725</v>
      </c>
      <c r="F119">
        <v>0.89700000000000002</v>
      </c>
      <c r="G119">
        <v>0.86750000000000005</v>
      </c>
    </row>
    <row r="120" spans="1:7">
      <c r="A120" t="s">
        <v>2554</v>
      </c>
      <c r="B120" t="s">
        <v>1736</v>
      </c>
      <c r="C120">
        <v>330</v>
      </c>
      <c r="D120" t="s">
        <v>1735</v>
      </c>
      <c r="E120" t="s">
        <v>1734</v>
      </c>
      <c r="F120">
        <v>0.98770000000000002</v>
      </c>
      <c r="G120">
        <v>0.98650000000000004</v>
      </c>
    </row>
    <row r="121" spans="1:7">
      <c r="A121" t="s">
        <v>710</v>
      </c>
      <c r="B121" t="s">
        <v>1738</v>
      </c>
      <c r="C121">
        <v>330</v>
      </c>
      <c r="D121" t="s">
        <v>1737</v>
      </c>
      <c r="E121" t="s">
        <v>1734</v>
      </c>
      <c r="F121">
        <v>0.98770000000000002</v>
      </c>
      <c r="G121">
        <v>0.98650000000000004</v>
      </c>
    </row>
    <row r="122" spans="1:7">
      <c r="A122" t="s">
        <v>712</v>
      </c>
      <c r="B122" t="s">
        <v>1740</v>
      </c>
      <c r="C122">
        <v>330</v>
      </c>
      <c r="D122" t="s">
        <v>1739</v>
      </c>
      <c r="E122" t="s">
        <v>1734</v>
      </c>
      <c r="F122">
        <v>0.98770000000000002</v>
      </c>
      <c r="G122">
        <v>0.98650000000000004</v>
      </c>
    </row>
    <row r="123" spans="1:7">
      <c r="A123" t="s">
        <v>756</v>
      </c>
      <c r="B123" t="s">
        <v>1742</v>
      </c>
      <c r="C123">
        <v>330</v>
      </c>
      <c r="D123" t="s">
        <v>1741</v>
      </c>
      <c r="E123" t="s">
        <v>1657</v>
      </c>
      <c r="F123">
        <v>0.9748</v>
      </c>
      <c r="G123">
        <v>0.96179999999999999</v>
      </c>
    </row>
    <row r="124" spans="1:7">
      <c r="A124" t="s">
        <v>202</v>
      </c>
      <c r="B124" t="s">
        <v>1746</v>
      </c>
      <c r="C124">
        <v>132</v>
      </c>
      <c r="D124" t="s">
        <v>1745</v>
      </c>
      <c r="E124" t="s">
        <v>1744</v>
      </c>
      <c r="F124">
        <v>0.99260000000000004</v>
      </c>
      <c r="G124">
        <v>0.99</v>
      </c>
    </row>
    <row r="125" spans="1:7">
      <c r="A125" t="s">
        <v>206</v>
      </c>
      <c r="B125" t="s">
        <v>4002</v>
      </c>
      <c r="C125">
        <v>132</v>
      </c>
      <c r="D125" t="s">
        <v>4001</v>
      </c>
      <c r="E125" t="s">
        <v>1800</v>
      </c>
      <c r="F125">
        <v>1.0016</v>
      </c>
      <c r="G125">
        <v>1.0011000000000001</v>
      </c>
    </row>
    <row r="126" spans="1:7">
      <c r="A126" t="s">
        <v>284</v>
      </c>
      <c r="B126" t="s">
        <v>4003</v>
      </c>
      <c r="C126">
        <v>132</v>
      </c>
      <c r="D126" t="s">
        <v>1748</v>
      </c>
      <c r="E126" t="s">
        <v>1747</v>
      </c>
      <c r="F126">
        <v>1.0267999999999999</v>
      </c>
      <c r="G126">
        <v>1.1047</v>
      </c>
    </row>
    <row r="127" spans="1:7">
      <c r="A127" t="s">
        <v>272</v>
      </c>
      <c r="B127" t="s">
        <v>1752</v>
      </c>
      <c r="C127">
        <v>66</v>
      </c>
      <c r="D127" t="s">
        <v>1751</v>
      </c>
      <c r="E127" t="s">
        <v>1750</v>
      </c>
      <c r="F127">
        <v>0.97629999999999995</v>
      </c>
      <c r="G127">
        <v>0.96830000000000005</v>
      </c>
    </row>
    <row r="128" spans="1:7">
      <c r="A128" t="s">
        <v>239</v>
      </c>
      <c r="B128" t="s">
        <v>1755</v>
      </c>
      <c r="C128">
        <v>132</v>
      </c>
      <c r="D128" t="s">
        <v>1754</v>
      </c>
      <c r="E128" t="s">
        <v>1753</v>
      </c>
      <c r="F128">
        <v>0.99029999999999996</v>
      </c>
      <c r="G128">
        <v>0.98750000000000004</v>
      </c>
    </row>
    <row r="129" spans="1:7">
      <c r="A129" t="s">
        <v>731</v>
      </c>
      <c r="B129" t="s">
        <v>1758</v>
      </c>
      <c r="C129">
        <v>66</v>
      </c>
      <c r="D129" t="s">
        <v>1757</v>
      </c>
      <c r="E129" t="s">
        <v>1756</v>
      </c>
      <c r="F129">
        <v>0.99909999999999999</v>
      </c>
      <c r="G129">
        <v>0.99770000000000003</v>
      </c>
    </row>
    <row r="130" spans="1:7">
      <c r="A130" t="s">
        <v>326</v>
      </c>
      <c r="B130" t="s">
        <v>1761</v>
      </c>
      <c r="C130">
        <v>110</v>
      </c>
      <c r="D130" t="s">
        <v>1760</v>
      </c>
      <c r="E130" t="s">
        <v>1759</v>
      </c>
      <c r="F130">
        <v>1.0347</v>
      </c>
      <c r="G130">
        <v>1.0955999999999999</v>
      </c>
    </row>
    <row r="131" spans="1:7">
      <c r="A131" t="s">
        <v>328</v>
      </c>
      <c r="B131" t="s">
        <v>1764</v>
      </c>
      <c r="C131">
        <v>66</v>
      </c>
      <c r="D131" t="s">
        <v>1763</v>
      </c>
      <c r="E131" t="s">
        <v>1762</v>
      </c>
      <c r="F131">
        <v>1.0377000000000001</v>
      </c>
      <c r="G131">
        <v>1.0786</v>
      </c>
    </row>
    <row r="132" spans="1:7">
      <c r="A132" t="s">
        <v>338</v>
      </c>
      <c r="B132" t="s">
        <v>1767</v>
      </c>
      <c r="C132">
        <v>132</v>
      </c>
      <c r="D132" t="s">
        <v>1766</v>
      </c>
      <c r="E132" t="s">
        <v>1765</v>
      </c>
      <c r="F132">
        <v>0.97419999999999995</v>
      </c>
      <c r="G132">
        <v>0.96089999999999998</v>
      </c>
    </row>
    <row r="133" spans="1:7">
      <c r="A133" t="s">
        <v>351</v>
      </c>
      <c r="B133" t="s">
        <v>1770</v>
      </c>
      <c r="C133">
        <v>132</v>
      </c>
      <c r="D133" t="s">
        <v>1769</v>
      </c>
      <c r="E133" t="s">
        <v>4004</v>
      </c>
      <c r="F133">
        <v>1.0018</v>
      </c>
      <c r="G133">
        <v>1.0025999999999999</v>
      </c>
    </row>
    <row r="134" spans="1:7">
      <c r="A134" t="s">
        <v>365</v>
      </c>
      <c r="B134" t="s">
        <v>1772</v>
      </c>
      <c r="C134">
        <v>330</v>
      </c>
      <c r="D134" t="s">
        <v>1771</v>
      </c>
      <c r="E134" t="s">
        <v>1669</v>
      </c>
      <c r="F134">
        <v>0.98560000000000003</v>
      </c>
      <c r="G134">
        <v>0.98419999999999996</v>
      </c>
    </row>
    <row r="135" spans="1:7">
      <c r="A135" t="s">
        <v>375</v>
      </c>
      <c r="B135" t="s">
        <v>1775</v>
      </c>
      <c r="C135">
        <v>132</v>
      </c>
      <c r="D135" t="s">
        <v>1774</v>
      </c>
      <c r="E135" t="s">
        <v>1773</v>
      </c>
      <c r="F135">
        <v>0.98280000000000001</v>
      </c>
      <c r="G135">
        <v>0.97570000000000001</v>
      </c>
    </row>
    <row r="136" spans="1:7">
      <c r="A136" t="s">
        <v>567</v>
      </c>
      <c r="B136" t="s">
        <v>1778</v>
      </c>
      <c r="C136">
        <v>66</v>
      </c>
      <c r="D136" t="s">
        <v>1777</v>
      </c>
      <c r="E136" t="s">
        <v>1776</v>
      </c>
      <c r="F136">
        <v>1.0217000000000001</v>
      </c>
      <c r="G136">
        <v>1.0671999999999999</v>
      </c>
    </row>
    <row r="137" spans="1:7">
      <c r="A137" t="s">
        <v>381</v>
      </c>
      <c r="B137" t="s">
        <v>1783</v>
      </c>
      <c r="C137">
        <v>132</v>
      </c>
      <c r="D137" t="s">
        <v>1782</v>
      </c>
      <c r="E137" t="s">
        <v>1781</v>
      </c>
      <c r="F137">
        <v>0.99960000000000004</v>
      </c>
      <c r="G137">
        <v>0.99980000000000002</v>
      </c>
    </row>
    <row r="138" spans="1:7">
      <c r="A138" t="s">
        <v>392</v>
      </c>
      <c r="B138" t="s">
        <v>1785</v>
      </c>
      <c r="C138">
        <v>132</v>
      </c>
      <c r="D138" t="s">
        <v>1784</v>
      </c>
      <c r="E138" t="s">
        <v>1765</v>
      </c>
      <c r="F138">
        <v>0.97419999999999995</v>
      </c>
      <c r="G138">
        <v>0.96089999999999998</v>
      </c>
    </row>
    <row r="139" spans="1:7">
      <c r="A139" t="s">
        <v>4113</v>
      </c>
      <c r="B139" t="s">
        <v>4007</v>
      </c>
      <c r="C139">
        <v>33</v>
      </c>
      <c r="D139" t="s">
        <v>4006</v>
      </c>
      <c r="E139" t="s">
        <v>4005</v>
      </c>
      <c r="F139">
        <v>0.99690000000000001</v>
      </c>
      <c r="G139">
        <v>0.99490000000000001</v>
      </c>
    </row>
    <row r="140" spans="1:7">
      <c r="A140" t="s">
        <v>438</v>
      </c>
      <c r="B140" t="s">
        <v>1787</v>
      </c>
      <c r="C140">
        <v>66</v>
      </c>
      <c r="D140" t="s">
        <v>1786</v>
      </c>
      <c r="E140" t="s">
        <v>1750</v>
      </c>
      <c r="F140">
        <v>0.97629999999999995</v>
      </c>
      <c r="G140">
        <v>0.96830000000000005</v>
      </c>
    </row>
    <row r="141" spans="1:7">
      <c r="A141" t="s">
        <v>440</v>
      </c>
      <c r="B141" t="s">
        <v>1789</v>
      </c>
      <c r="C141">
        <v>66</v>
      </c>
      <c r="D141" t="s">
        <v>1788</v>
      </c>
      <c r="E141" t="s">
        <v>1706</v>
      </c>
      <c r="F141">
        <v>0.99099999999999999</v>
      </c>
      <c r="G141">
        <v>0.96660000000000001</v>
      </c>
    </row>
    <row r="142" spans="1:7">
      <c r="A142" t="s">
        <v>448</v>
      </c>
      <c r="B142" t="s">
        <v>1791</v>
      </c>
      <c r="C142">
        <v>66</v>
      </c>
      <c r="D142" t="s">
        <v>1790</v>
      </c>
      <c r="E142" t="s">
        <v>1790</v>
      </c>
      <c r="F142">
        <v>1.036</v>
      </c>
      <c r="G142">
        <v>1.0570999999999999</v>
      </c>
    </row>
    <row r="143" spans="1:7">
      <c r="A143" t="s">
        <v>450</v>
      </c>
      <c r="B143" t="s">
        <v>1794</v>
      </c>
      <c r="C143">
        <v>66</v>
      </c>
      <c r="D143" t="s">
        <v>1793</v>
      </c>
      <c r="E143" t="s">
        <v>1792</v>
      </c>
      <c r="F143">
        <v>1.0017</v>
      </c>
      <c r="G143">
        <v>1.0001</v>
      </c>
    </row>
    <row r="144" spans="1:7">
      <c r="A144" t="s">
        <v>409</v>
      </c>
      <c r="B144" t="s">
        <v>1797</v>
      </c>
      <c r="C144">
        <v>33</v>
      </c>
      <c r="D144" t="s">
        <v>1796</v>
      </c>
      <c r="E144" t="s">
        <v>1796</v>
      </c>
      <c r="F144">
        <v>0.97399999999999998</v>
      </c>
      <c r="G144">
        <v>0.97550000000000003</v>
      </c>
    </row>
    <row r="145" spans="1:7">
      <c r="A145" t="s">
        <v>425</v>
      </c>
      <c r="B145" t="s">
        <v>1799</v>
      </c>
      <c r="C145">
        <v>132</v>
      </c>
      <c r="D145" t="s">
        <v>1798</v>
      </c>
      <c r="E145" t="s">
        <v>1768</v>
      </c>
      <c r="F145">
        <v>1.0018</v>
      </c>
      <c r="G145">
        <v>1.0025999999999999</v>
      </c>
    </row>
    <row r="146" spans="1:7">
      <c r="A146" t="s">
        <v>488</v>
      </c>
      <c r="B146" t="s">
        <v>1802</v>
      </c>
      <c r="C146">
        <v>132</v>
      </c>
      <c r="D146" t="s">
        <v>1801</v>
      </c>
      <c r="E146" t="s">
        <v>1800</v>
      </c>
      <c r="F146">
        <v>1.0016</v>
      </c>
      <c r="G146">
        <v>1.0011000000000001</v>
      </c>
    </row>
    <row r="147" spans="1:7">
      <c r="A147" t="s">
        <v>486</v>
      </c>
      <c r="B147" t="s">
        <v>4008</v>
      </c>
      <c r="C147">
        <v>132</v>
      </c>
      <c r="D147" t="s">
        <v>1803</v>
      </c>
      <c r="E147" t="s">
        <v>1800</v>
      </c>
      <c r="F147">
        <v>1.0016</v>
      </c>
      <c r="G147">
        <v>1.0011000000000001</v>
      </c>
    </row>
    <row r="148" spans="1:7">
      <c r="A148" t="s">
        <v>547</v>
      </c>
      <c r="B148" t="s">
        <v>1807</v>
      </c>
      <c r="C148">
        <v>132</v>
      </c>
      <c r="D148" t="s">
        <v>1806</v>
      </c>
      <c r="E148" t="s">
        <v>1805</v>
      </c>
      <c r="F148">
        <v>1.0051000000000001</v>
      </c>
      <c r="G148">
        <v>1.0041</v>
      </c>
    </row>
    <row r="149" spans="1:7">
      <c r="A149" t="s">
        <v>554</v>
      </c>
      <c r="B149" t="s">
        <v>1809</v>
      </c>
      <c r="C149">
        <v>132</v>
      </c>
      <c r="D149" t="s">
        <v>1808</v>
      </c>
      <c r="E149" t="s">
        <v>1753</v>
      </c>
      <c r="F149">
        <v>0.99029999999999996</v>
      </c>
      <c r="G149">
        <v>0.98750000000000004</v>
      </c>
    </row>
    <row r="150" spans="1:7">
      <c r="A150" t="s">
        <v>1183</v>
      </c>
      <c r="B150" t="s">
        <v>4011</v>
      </c>
      <c r="C150">
        <v>132</v>
      </c>
      <c r="D150" t="s">
        <v>4010</v>
      </c>
      <c r="E150" t="s">
        <v>4009</v>
      </c>
      <c r="F150">
        <v>0.98429999999999995</v>
      </c>
      <c r="G150">
        <v>0.97440000000000004</v>
      </c>
    </row>
    <row r="151" spans="1:7">
      <c r="A151" t="s">
        <v>625</v>
      </c>
      <c r="B151" t="s">
        <v>4012</v>
      </c>
      <c r="C151">
        <v>132</v>
      </c>
      <c r="D151" t="s">
        <v>1810</v>
      </c>
      <c r="E151" t="s">
        <v>1768</v>
      </c>
      <c r="F151">
        <v>1.0018</v>
      </c>
      <c r="G151">
        <v>1.0025999999999999</v>
      </c>
    </row>
    <row r="152" spans="1:7">
      <c r="A152" t="s">
        <v>643</v>
      </c>
      <c r="B152" t="s">
        <v>1813</v>
      </c>
      <c r="C152">
        <v>33</v>
      </c>
      <c r="D152" t="s">
        <v>1812</v>
      </c>
      <c r="E152" t="s">
        <v>1811</v>
      </c>
      <c r="F152">
        <v>1.0059</v>
      </c>
      <c r="G152">
        <v>1.0054000000000001</v>
      </c>
    </row>
    <row r="153" spans="1:7">
      <c r="A153" t="s">
        <v>654</v>
      </c>
      <c r="B153" t="s">
        <v>1816</v>
      </c>
      <c r="C153">
        <v>132</v>
      </c>
      <c r="D153" t="s">
        <v>1815</v>
      </c>
      <c r="E153" t="s">
        <v>1814</v>
      </c>
      <c r="F153">
        <v>0.99119999999999997</v>
      </c>
      <c r="G153">
        <v>0.9839</v>
      </c>
    </row>
    <row r="154" spans="1:7">
      <c r="A154" t="s">
        <v>669</v>
      </c>
      <c r="B154" t="s">
        <v>4013</v>
      </c>
      <c r="C154">
        <v>132</v>
      </c>
      <c r="D154" t="s">
        <v>1820</v>
      </c>
      <c r="E154" t="s">
        <v>1744</v>
      </c>
      <c r="F154">
        <v>0.99260000000000004</v>
      </c>
      <c r="G154">
        <v>0.99</v>
      </c>
    </row>
    <row r="155" spans="1:7">
      <c r="A155" t="s">
        <v>675</v>
      </c>
      <c r="B155" t="s">
        <v>4014</v>
      </c>
      <c r="C155">
        <v>2266</v>
      </c>
      <c r="D155" t="s">
        <v>1822</v>
      </c>
      <c r="E155" t="s">
        <v>1821</v>
      </c>
      <c r="F155">
        <v>1.0235000000000001</v>
      </c>
      <c r="G155">
        <v>0.97519999999999996</v>
      </c>
    </row>
    <row r="156" spans="1:7">
      <c r="A156" t="s">
        <v>675</v>
      </c>
      <c r="B156" t="s">
        <v>4015</v>
      </c>
      <c r="C156">
        <v>2266</v>
      </c>
      <c r="D156" t="s">
        <v>1822</v>
      </c>
      <c r="E156" t="s">
        <v>1821</v>
      </c>
      <c r="F156">
        <v>0.96699999999999997</v>
      </c>
      <c r="G156">
        <v>0.97519999999999996</v>
      </c>
    </row>
    <row r="157" spans="1:7">
      <c r="A157" t="s">
        <v>174</v>
      </c>
      <c r="B157" t="s">
        <v>1826</v>
      </c>
      <c r="C157">
        <v>132</v>
      </c>
      <c r="D157" t="s">
        <v>1825</v>
      </c>
      <c r="E157" t="s">
        <v>1824</v>
      </c>
      <c r="F157">
        <v>0.99160000000000004</v>
      </c>
      <c r="G157">
        <v>0.98829999999999996</v>
      </c>
    </row>
    <row r="158" spans="1:7">
      <c r="A158" t="s">
        <v>733</v>
      </c>
      <c r="B158" t="s">
        <v>1828</v>
      </c>
      <c r="C158">
        <v>132</v>
      </c>
      <c r="D158" t="s">
        <v>1827</v>
      </c>
      <c r="E158" t="s">
        <v>1824</v>
      </c>
      <c r="F158">
        <v>0.99160000000000004</v>
      </c>
      <c r="G158">
        <v>0.98829999999999996</v>
      </c>
    </row>
    <row r="159" spans="1:7">
      <c r="A159" t="s">
        <v>739</v>
      </c>
      <c r="B159" t="s">
        <v>1831</v>
      </c>
      <c r="C159">
        <v>66</v>
      </c>
      <c r="D159" t="s">
        <v>1830</v>
      </c>
      <c r="E159" t="s">
        <v>1829</v>
      </c>
      <c r="F159">
        <v>1.0699000000000001</v>
      </c>
      <c r="G159">
        <v>1.1055999999999999</v>
      </c>
    </row>
    <row r="160" spans="1:7">
      <c r="A160" t="s">
        <v>741</v>
      </c>
      <c r="B160" t="s">
        <v>1833</v>
      </c>
      <c r="C160">
        <v>66</v>
      </c>
      <c r="D160" t="s">
        <v>1832</v>
      </c>
      <c r="E160" t="s">
        <v>1829</v>
      </c>
      <c r="F160">
        <v>1.0699000000000001</v>
      </c>
      <c r="G160">
        <v>1.1055999999999999</v>
      </c>
    </row>
    <row r="161" spans="1:7">
      <c r="A161" t="s">
        <v>760</v>
      </c>
      <c r="B161" t="s">
        <v>4016</v>
      </c>
      <c r="C161">
        <v>66</v>
      </c>
      <c r="D161" t="s">
        <v>1836</v>
      </c>
      <c r="E161" t="s">
        <v>1792</v>
      </c>
      <c r="F161">
        <v>1.0017</v>
      </c>
      <c r="G161">
        <v>1.0001</v>
      </c>
    </row>
    <row r="162" spans="1:7">
      <c r="A162" t="s">
        <v>764</v>
      </c>
      <c r="B162" t="s">
        <v>1839</v>
      </c>
      <c r="C162">
        <v>66</v>
      </c>
      <c r="D162" t="s">
        <v>1838</v>
      </c>
      <c r="E162" t="s">
        <v>1837</v>
      </c>
      <c r="F162">
        <v>1.0099</v>
      </c>
      <c r="G162">
        <v>1.004</v>
      </c>
    </row>
    <row r="163" spans="1:7">
      <c r="A163" t="s">
        <v>766</v>
      </c>
      <c r="B163" t="s">
        <v>1841</v>
      </c>
      <c r="C163">
        <v>66</v>
      </c>
      <c r="D163" t="s">
        <v>1840</v>
      </c>
      <c r="E163" t="s">
        <v>1837</v>
      </c>
      <c r="F163">
        <v>1.0099</v>
      </c>
      <c r="G163">
        <v>1.004</v>
      </c>
    </row>
    <row r="164" spans="1:7">
      <c r="A164" t="s">
        <v>301</v>
      </c>
      <c r="B164" t="s">
        <v>1844</v>
      </c>
      <c r="C164">
        <v>66</v>
      </c>
      <c r="D164" t="s">
        <v>1843</v>
      </c>
      <c r="E164" t="s">
        <v>1842</v>
      </c>
      <c r="F164">
        <v>0.99239999999999995</v>
      </c>
      <c r="G164">
        <v>0.97519999999999996</v>
      </c>
    </row>
    <row r="165" spans="1:7">
      <c r="A165" t="s">
        <v>612</v>
      </c>
      <c r="B165" t="s">
        <v>1846</v>
      </c>
      <c r="C165">
        <v>132</v>
      </c>
      <c r="D165" t="s">
        <v>1845</v>
      </c>
      <c r="E165" t="s">
        <v>4017</v>
      </c>
      <c r="F165">
        <v>0.98280000000000001</v>
      </c>
      <c r="G165">
        <v>0.96419999999999995</v>
      </c>
    </row>
    <row r="166" spans="1:7">
      <c r="A166" t="s">
        <v>191</v>
      </c>
      <c r="B166" t="s">
        <v>4020</v>
      </c>
      <c r="C166">
        <v>220</v>
      </c>
      <c r="D166" t="s">
        <v>4019</v>
      </c>
      <c r="E166" t="s">
        <v>4018</v>
      </c>
      <c r="F166">
        <v>0.99150000000000005</v>
      </c>
      <c r="G166">
        <v>0.9849</v>
      </c>
    </row>
    <row r="167" spans="1:7">
      <c r="A167" t="s">
        <v>208</v>
      </c>
      <c r="B167" t="s">
        <v>1849</v>
      </c>
      <c r="C167">
        <v>220</v>
      </c>
      <c r="D167" t="s">
        <v>1848</v>
      </c>
      <c r="E167" t="s">
        <v>1847</v>
      </c>
      <c r="F167">
        <v>1.0004</v>
      </c>
      <c r="G167">
        <v>1.0097</v>
      </c>
    </row>
    <row r="168" spans="1:7">
      <c r="A168" t="s">
        <v>2708</v>
      </c>
      <c r="B168" t="s">
        <v>4021</v>
      </c>
      <c r="C168">
        <v>500</v>
      </c>
      <c r="D168" t="s">
        <v>1851</v>
      </c>
      <c r="E168" t="s">
        <v>1850</v>
      </c>
      <c r="F168">
        <v>0.98280000000000001</v>
      </c>
      <c r="G168">
        <v>0.96840000000000004</v>
      </c>
    </row>
    <row r="169" spans="1:7">
      <c r="A169" t="s">
        <v>342</v>
      </c>
      <c r="B169" t="s">
        <v>1853</v>
      </c>
      <c r="C169">
        <v>220</v>
      </c>
      <c r="D169" t="s">
        <v>1847</v>
      </c>
      <c r="E169" t="s">
        <v>1847</v>
      </c>
      <c r="F169">
        <v>1.0004</v>
      </c>
      <c r="G169">
        <v>1.0097</v>
      </c>
    </row>
    <row r="170" spans="1:7">
      <c r="A170" t="s">
        <v>355</v>
      </c>
      <c r="B170" t="s">
        <v>1856</v>
      </c>
      <c r="C170">
        <v>220</v>
      </c>
      <c r="D170" t="s">
        <v>1855</v>
      </c>
      <c r="E170" t="s">
        <v>1854</v>
      </c>
      <c r="F170">
        <v>1.0025999999999999</v>
      </c>
      <c r="G170">
        <v>1.0078</v>
      </c>
    </row>
    <row r="171" spans="1:7">
      <c r="A171" t="s">
        <v>357</v>
      </c>
      <c r="B171" t="s">
        <v>1858</v>
      </c>
      <c r="C171">
        <v>220</v>
      </c>
      <c r="D171" t="s">
        <v>1857</v>
      </c>
      <c r="E171" t="s">
        <v>1854</v>
      </c>
      <c r="F171">
        <v>1.0025999999999999</v>
      </c>
      <c r="G171">
        <v>1.0078</v>
      </c>
    </row>
    <row r="172" spans="1:7">
      <c r="A172" t="s">
        <v>3939</v>
      </c>
      <c r="B172" t="s">
        <v>4024</v>
      </c>
      <c r="C172">
        <v>220</v>
      </c>
      <c r="D172" t="s">
        <v>4023</v>
      </c>
      <c r="E172" t="s">
        <v>4022</v>
      </c>
      <c r="F172">
        <v>0.97230000000000005</v>
      </c>
      <c r="G172">
        <v>0.96909999999999996</v>
      </c>
    </row>
    <row r="173" spans="1:7">
      <c r="A173" t="s">
        <v>412</v>
      </c>
      <c r="B173" t="s">
        <v>4026</v>
      </c>
      <c r="C173">
        <v>220</v>
      </c>
      <c r="D173" t="s">
        <v>4025</v>
      </c>
      <c r="E173" t="s">
        <v>4022</v>
      </c>
      <c r="F173">
        <v>0.97230000000000005</v>
      </c>
      <c r="G173">
        <v>0.96909999999999996</v>
      </c>
    </row>
    <row r="174" spans="1:7">
      <c r="A174" t="s">
        <v>414</v>
      </c>
      <c r="B174" t="s">
        <v>4028</v>
      </c>
      <c r="C174">
        <v>220</v>
      </c>
      <c r="D174" t="s">
        <v>4027</v>
      </c>
      <c r="E174" t="s">
        <v>4022</v>
      </c>
      <c r="F174">
        <v>0.97230000000000005</v>
      </c>
      <c r="G174">
        <v>0.96909999999999996</v>
      </c>
    </row>
    <row r="175" spans="1:7">
      <c r="A175" t="s">
        <v>415</v>
      </c>
      <c r="B175" t="s">
        <v>4030</v>
      </c>
      <c r="C175">
        <v>220</v>
      </c>
      <c r="D175" t="s">
        <v>4029</v>
      </c>
      <c r="E175" t="s">
        <v>4022</v>
      </c>
      <c r="F175">
        <v>0.97230000000000005</v>
      </c>
      <c r="G175">
        <v>0.96909999999999996</v>
      </c>
    </row>
    <row r="176" spans="1:7">
      <c r="A176" t="s">
        <v>416</v>
      </c>
      <c r="B176" t="s">
        <v>4032</v>
      </c>
      <c r="C176">
        <v>220</v>
      </c>
      <c r="D176" t="s">
        <v>4031</v>
      </c>
      <c r="E176" t="s">
        <v>4022</v>
      </c>
      <c r="F176">
        <v>0.97230000000000005</v>
      </c>
      <c r="G176">
        <v>0.96909999999999996</v>
      </c>
    </row>
    <row r="177" spans="1:7">
      <c r="A177" t="s">
        <v>417</v>
      </c>
      <c r="B177" t="s">
        <v>4034</v>
      </c>
      <c r="C177">
        <v>220</v>
      </c>
      <c r="D177" t="s">
        <v>4033</v>
      </c>
      <c r="E177" t="s">
        <v>4022</v>
      </c>
      <c r="F177">
        <v>0.97230000000000005</v>
      </c>
      <c r="G177">
        <v>0.96909999999999996</v>
      </c>
    </row>
    <row r="178" spans="1:7">
      <c r="A178" t="s">
        <v>418</v>
      </c>
      <c r="B178" t="s">
        <v>4036</v>
      </c>
      <c r="C178">
        <v>220</v>
      </c>
      <c r="D178" t="s">
        <v>4035</v>
      </c>
      <c r="E178" t="s">
        <v>4022</v>
      </c>
      <c r="F178">
        <v>0.97230000000000005</v>
      </c>
      <c r="G178">
        <v>0.96909999999999996</v>
      </c>
    </row>
    <row r="179" spans="1:7">
      <c r="A179" t="s">
        <v>419</v>
      </c>
      <c r="B179" t="s">
        <v>4038</v>
      </c>
      <c r="C179">
        <v>220</v>
      </c>
      <c r="D179" t="s">
        <v>4037</v>
      </c>
      <c r="E179" t="s">
        <v>4022</v>
      </c>
      <c r="F179">
        <v>0.97230000000000005</v>
      </c>
      <c r="G179">
        <v>0.96909999999999996</v>
      </c>
    </row>
    <row r="180" spans="1:7">
      <c r="A180" t="s">
        <v>420</v>
      </c>
      <c r="B180" t="s">
        <v>4040</v>
      </c>
      <c r="C180">
        <v>220</v>
      </c>
      <c r="D180" t="s">
        <v>4039</v>
      </c>
      <c r="E180" t="s">
        <v>4022</v>
      </c>
      <c r="F180">
        <v>0.97230000000000005</v>
      </c>
      <c r="G180">
        <v>0.96909999999999996</v>
      </c>
    </row>
    <row r="181" spans="1:7">
      <c r="A181" t="s">
        <v>429</v>
      </c>
      <c r="B181" t="s">
        <v>1861</v>
      </c>
      <c r="C181">
        <v>220</v>
      </c>
      <c r="D181" t="s">
        <v>1860</v>
      </c>
      <c r="E181" t="s">
        <v>1859</v>
      </c>
      <c r="F181">
        <v>0.9667</v>
      </c>
      <c r="G181">
        <v>0.9647</v>
      </c>
    </row>
    <row r="182" spans="1:7">
      <c r="A182" t="s">
        <v>431</v>
      </c>
      <c r="B182" t="s">
        <v>1863</v>
      </c>
      <c r="C182">
        <v>220</v>
      </c>
      <c r="D182" t="s">
        <v>1862</v>
      </c>
      <c r="E182" t="s">
        <v>1859</v>
      </c>
      <c r="F182">
        <v>0.9667</v>
      </c>
      <c r="G182">
        <v>0.9647</v>
      </c>
    </row>
    <row r="183" spans="1:7">
      <c r="A183" t="s">
        <v>432</v>
      </c>
      <c r="B183" t="s">
        <v>1865</v>
      </c>
      <c r="C183">
        <v>220</v>
      </c>
      <c r="D183" t="s">
        <v>1864</v>
      </c>
      <c r="E183" t="s">
        <v>1859</v>
      </c>
      <c r="F183">
        <v>0.9667</v>
      </c>
      <c r="G183">
        <v>0.9647</v>
      </c>
    </row>
    <row r="184" spans="1:7">
      <c r="A184" t="s">
        <v>433</v>
      </c>
      <c r="B184" t="s">
        <v>1867</v>
      </c>
      <c r="C184">
        <v>220</v>
      </c>
      <c r="D184" t="s">
        <v>1866</v>
      </c>
      <c r="E184" t="s">
        <v>1859</v>
      </c>
      <c r="F184">
        <v>0.9667</v>
      </c>
      <c r="G184">
        <v>0.9647</v>
      </c>
    </row>
    <row r="185" spans="1:7">
      <c r="A185" t="s">
        <v>434</v>
      </c>
      <c r="B185" t="s">
        <v>1869</v>
      </c>
      <c r="C185">
        <v>220</v>
      </c>
      <c r="D185" t="s">
        <v>1868</v>
      </c>
      <c r="E185" t="s">
        <v>1859</v>
      </c>
      <c r="F185">
        <v>0.9667</v>
      </c>
      <c r="G185">
        <v>0.9647</v>
      </c>
    </row>
    <row r="186" spans="1:7">
      <c r="A186" t="s">
        <v>436</v>
      </c>
      <c r="B186" t="s">
        <v>1871</v>
      </c>
      <c r="C186">
        <v>220</v>
      </c>
      <c r="D186" t="s">
        <v>1870</v>
      </c>
      <c r="E186" t="s">
        <v>1859</v>
      </c>
      <c r="F186">
        <v>0.9667</v>
      </c>
      <c r="G186">
        <v>0.9647</v>
      </c>
    </row>
    <row r="187" spans="1:7">
      <c r="A187" t="s">
        <v>437</v>
      </c>
      <c r="B187" t="s">
        <v>1873</v>
      </c>
      <c r="C187">
        <v>220</v>
      </c>
      <c r="D187" t="s">
        <v>1872</v>
      </c>
      <c r="E187" t="s">
        <v>1859</v>
      </c>
      <c r="F187">
        <v>0.9667</v>
      </c>
      <c r="G187">
        <v>0.9647</v>
      </c>
    </row>
    <row r="188" spans="1:7">
      <c r="A188" t="s">
        <v>2738</v>
      </c>
      <c r="B188" t="s">
        <v>1875</v>
      </c>
      <c r="C188">
        <v>132</v>
      </c>
      <c r="D188" t="s">
        <v>1874</v>
      </c>
      <c r="E188" t="s">
        <v>1874</v>
      </c>
      <c r="F188">
        <v>1.1379999999999999</v>
      </c>
      <c r="G188">
        <v>1.1865000000000001</v>
      </c>
    </row>
    <row r="189" spans="1:7">
      <c r="A189" t="s">
        <v>4114</v>
      </c>
      <c r="B189" t="s">
        <v>1878</v>
      </c>
      <c r="C189">
        <v>220</v>
      </c>
      <c r="D189" t="s">
        <v>1877</v>
      </c>
      <c r="E189" t="s">
        <v>1876</v>
      </c>
      <c r="F189">
        <v>0.99850000000000005</v>
      </c>
      <c r="G189">
        <v>0.99719999999999998</v>
      </c>
    </row>
    <row r="190" spans="1:7">
      <c r="A190" t="s">
        <v>478</v>
      </c>
      <c r="B190" t="s">
        <v>1880</v>
      </c>
      <c r="C190">
        <v>220</v>
      </c>
      <c r="D190" t="s">
        <v>1879</v>
      </c>
      <c r="E190" t="s">
        <v>1876</v>
      </c>
      <c r="F190">
        <v>0.99850000000000005</v>
      </c>
      <c r="G190">
        <v>0.99719999999999998</v>
      </c>
    </row>
    <row r="191" spans="1:7">
      <c r="A191" t="s">
        <v>2750</v>
      </c>
      <c r="B191" t="s">
        <v>1883</v>
      </c>
      <c r="C191">
        <v>500</v>
      </c>
      <c r="D191" t="s">
        <v>1882</v>
      </c>
      <c r="E191" t="s">
        <v>1881</v>
      </c>
      <c r="F191">
        <v>0.97419999999999995</v>
      </c>
      <c r="G191">
        <v>0.97040000000000004</v>
      </c>
    </row>
    <row r="192" spans="1:7">
      <c r="A192" t="s">
        <v>489</v>
      </c>
      <c r="B192" t="s">
        <v>1885</v>
      </c>
      <c r="C192">
        <v>500</v>
      </c>
      <c r="D192" t="s">
        <v>1884</v>
      </c>
      <c r="E192" t="s">
        <v>1881</v>
      </c>
      <c r="F192">
        <v>0.97419999999999995</v>
      </c>
      <c r="G192">
        <v>0.97040000000000004</v>
      </c>
    </row>
    <row r="193" spans="1:7">
      <c r="A193" t="s">
        <v>491</v>
      </c>
      <c r="B193" t="s">
        <v>1887</v>
      </c>
      <c r="C193">
        <v>500</v>
      </c>
      <c r="D193" t="s">
        <v>1886</v>
      </c>
      <c r="E193" t="s">
        <v>1881</v>
      </c>
      <c r="F193">
        <v>0.97419999999999995</v>
      </c>
      <c r="G193">
        <v>0.97040000000000004</v>
      </c>
    </row>
    <row r="194" spans="1:7">
      <c r="A194" t="s">
        <v>492</v>
      </c>
      <c r="B194" t="s">
        <v>1889</v>
      </c>
      <c r="C194">
        <v>500</v>
      </c>
      <c r="D194" t="s">
        <v>1888</v>
      </c>
      <c r="E194" t="s">
        <v>1881</v>
      </c>
      <c r="F194">
        <v>0.97419999999999995</v>
      </c>
      <c r="G194">
        <v>0.97040000000000004</v>
      </c>
    </row>
    <row r="195" spans="1:7">
      <c r="A195" t="s">
        <v>493</v>
      </c>
      <c r="B195" t="s">
        <v>1891</v>
      </c>
      <c r="C195">
        <v>500</v>
      </c>
      <c r="D195" t="s">
        <v>1890</v>
      </c>
      <c r="E195" t="s">
        <v>1881</v>
      </c>
      <c r="F195">
        <v>0.97419999999999995</v>
      </c>
      <c r="G195">
        <v>0.97040000000000004</v>
      </c>
    </row>
    <row r="196" spans="1:7">
      <c r="A196" t="s">
        <v>483</v>
      </c>
      <c r="B196" t="s">
        <v>1893</v>
      </c>
      <c r="C196">
        <v>500</v>
      </c>
      <c r="D196" t="s">
        <v>1892</v>
      </c>
      <c r="E196" t="s">
        <v>1881</v>
      </c>
      <c r="F196">
        <v>0.97419999999999995</v>
      </c>
      <c r="G196">
        <v>0.97040000000000004</v>
      </c>
    </row>
    <row r="197" spans="1:7">
      <c r="A197" t="s">
        <v>485</v>
      </c>
      <c r="B197" t="s">
        <v>1895</v>
      </c>
      <c r="C197">
        <v>500</v>
      </c>
      <c r="D197" t="s">
        <v>1894</v>
      </c>
      <c r="E197" t="s">
        <v>1881</v>
      </c>
      <c r="F197">
        <v>0.97419999999999995</v>
      </c>
      <c r="G197">
        <v>0.97040000000000004</v>
      </c>
    </row>
    <row r="198" spans="1:7">
      <c r="A198" t="s">
        <v>494</v>
      </c>
      <c r="B198" t="s">
        <v>1898</v>
      </c>
      <c r="C198">
        <v>500</v>
      </c>
      <c r="D198" t="s">
        <v>1897</v>
      </c>
      <c r="E198" t="s">
        <v>1896</v>
      </c>
      <c r="F198">
        <v>0.99399999999999999</v>
      </c>
      <c r="G198">
        <v>0.99460000000000004</v>
      </c>
    </row>
    <row r="199" spans="1:7">
      <c r="A199" t="s">
        <v>501</v>
      </c>
      <c r="B199" t="s">
        <v>1901</v>
      </c>
      <c r="C199">
        <v>220</v>
      </c>
      <c r="D199" t="s">
        <v>1900</v>
      </c>
      <c r="E199" t="s">
        <v>1899</v>
      </c>
      <c r="F199">
        <v>0.98829999999999996</v>
      </c>
      <c r="G199">
        <v>1.0083</v>
      </c>
    </row>
    <row r="200" spans="1:7">
      <c r="A200" t="s">
        <v>526</v>
      </c>
      <c r="B200" t="s">
        <v>1904</v>
      </c>
      <c r="C200">
        <v>500</v>
      </c>
      <c r="D200" t="s">
        <v>1903</v>
      </c>
      <c r="E200" t="s">
        <v>1902</v>
      </c>
      <c r="F200">
        <v>0.99419999999999997</v>
      </c>
      <c r="G200">
        <v>0.99219999999999997</v>
      </c>
    </row>
    <row r="201" spans="1:7">
      <c r="A201" t="s">
        <v>528</v>
      </c>
      <c r="B201" t="s">
        <v>1906</v>
      </c>
      <c r="C201">
        <v>500</v>
      </c>
      <c r="D201" t="s">
        <v>1905</v>
      </c>
      <c r="E201" t="s">
        <v>1902</v>
      </c>
      <c r="F201">
        <v>0.99419999999999997</v>
      </c>
      <c r="G201">
        <v>0.99219999999999997</v>
      </c>
    </row>
    <row r="202" spans="1:7">
      <c r="A202" t="s">
        <v>518</v>
      </c>
      <c r="B202" t="s">
        <v>4043</v>
      </c>
      <c r="C202">
        <v>66</v>
      </c>
      <c r="D202" t="s">
        <v>4042</v>
      </c>
      <c r="E202" t="s">
        <v>4041</v>
      </c>
      <c r="F202">
        <v>0.97040000000000004</v>
      </c>
      <c r="G202">
        <v>0.96819999999999995</v>
      </c>
    </row>
    <row r="203" spans="1:7">
      <c r="A203" t="s">
        <v>1080</v>
      </c>
      <c r="B203" t="s">
        <v>4046</v>
      </c>
      <c r="C203">
        <v>11</v>
      </c>
      <c r="D203" t="s">
        <v>4045</v>
      </c>
      <c r="E203" t="s">
        <v>4044</v>
      </c>
      <c r="F203">
        <v>0.97319999999999995</v>
      </c>
      <c r="G203">
        <v>0.9698</v>
      </c>
    </row>
    <row r="204" spans="1:7">
      <c r="A204" t="s">
        <v>1082</v>
      </c>
      <c r="B204" t="s">
        <v>4048</v>
      </c>
      <c r="C204">
        <v>11</v>
      </c>
      <c r="D204" t="s">
        <v>4047</v>
      </c>
      <c r="E204" t="s">
        <v>4044</v>
      </c>
      <c r="F204">
        <v>0.97319999999999995</v>
      </c>
      <c r="G204">
        <v>0.9698</v>
      </c>
    </row>
    <row r="205" spans="1:7">
      <c r="A205" t="s">
        <v>4115</v>
      </c>
      <c r="B205" t="s">
        <v>4050</v>
      </c>
      <c r="C205">
        <v>66</v>
      </c>
      <c r="D205" t="s">
        <v>4049</v>
      </c>
      <c r="E205" t="s">
        <v>1952</v>
      </c>
      <c r="F205">
        <v>0.97989999999999999</v>
      </c>
      <c r="G205">
        <v>0.97770000000000001</v>
      </c>
    </row>
    <row r="206" spans="1:7">
      <c r="A206" t="s">
        <v>507</v>
      </c>
      <c r="B206" t="s">
        <v>1909</v>
      </c>
      <c r="C206">
        <v>220</v>
      </c>
      <c r="D206" t="s">
        <v>1908</v>
      </c>
      <c r="E206" t="s">
        <v>1907</v>
      </c>
      <c r="F206">
        <v>1.0033000000000001</v>
      </c>
      <c r="G206">
        <v>1.0064</v>
      </c>
    </row>
    <row r="207" spans="1:7">
      <c r="A207" t="s">
        <v>541</v>
      </c>
      <c r="B207" t="s">
        <v>1911</v>
      </c>
      <c r="C207">
        <v>330</v>
      </c>
      <c r="D207" t="s">
        <v>1910</v>
      </c>
      <c r="E207" t="s">
        <v>1721</v>
      </c>
      <c r="F207">
        <v>0.98850000000000005</v>
      </c>
      <c r="G207">
        <v>1.0178</v>
      </c>
    </row>
    <row r="208" spans="1:7">
      <c r="A208" t="s">
        <v>549</v>
      </c>
      <c r="B208" t="s">
        <v>1913</v>
      </c>
      <c r="C208">
        <v>220</v>
      </c>
      <c r="D208" t="s">
        <v>1912</v>
      </c>
      <c r="E208" t="s">
        <v>1912</v>
      </c>
      <c r="F208">
        <v>0.99519999999999997</v>
      </c>
      <c r="G208">
        <v>0.99529999999999996</v>
      </c>
    </row>
    <row r="209" spans="1:7">
      <c r="A209" t="s">
        <v>715</v>
      </c>
      <c r="B209" t="s">
        <v>4051</v>
      </c>
      <c r="C209">
        <v>500</v>
      </c>
      <c r="D209" t="s">
        <v>1915</v>
      </c>
      <c r="E209" t="s">
        <v>1881</v>
      </c>
      <c r="F209">
        <v>0.97419999999999995</v>
      </c>
      <c r="G209">
        <v>0.97040000000000004</v>
      </c>
    </row>
    <row r="210" spans="1:7">
      <c r="A210" t="s">
        <v>716</v>
      </c>
      <c r="B210" t="s">
        <v>1918</v>
      </c>
      <c r="C210">
        <v>500</v>
      </c>
      <c r="D210" t="s">
        <v>1917</v>
      </c>
      <c r="E210" t="s">
        <v>1881</v>
      </c>
      <c r="F210">
        <v>0.97419999999999995</v>
      </c>
      <c r="G210">
        <v>0.97040000000000004</v>
      </c>
    </row>
    <row r="211" spans="1:7">
      <c r="A211" t="s">
        <v>717</v>
      </c>
      <c r="B211" t="s">
        <v>1920</v>
      </c>
      <c r="C211">
        <v>500</v>
      </c>
      <c r="D211" t="s">
        <v>1919</v>
      </c>
      <c r="E211" t="s">
        <v>1881</v>
      </c>
      <c r="F211">
        <v>0.97419999999999995</v>
      </c>
      <c r="G211">
        <v>0.97040000000000004</v>
      </c>
    </row>
    <row r="212" spans="1:7">
      <c r="A212" t="s">
        <v>718</v>
      </c>
      <c r="B212" t="s">
        <v>1922</v>
      </c>
      <c r="C212">
        <v>500</v>
      </c>
      <c r="D212" t="s">
        <v>1921</v>
      </c>
      <c r="E212" t="s">
        <v>1881</v>
      </c>
      <c r="F212">
        <v>0.97419999999999995</v>
      </c>
      <c r="G212">
        <v>0.97040000000000004</v>
      </c>
    </row>
    <row r="213" spans="1:7">
      <c r="A213" t="s">
        <v>719</v>
      </c>
      <c r="B213" t="s">
        <v>1924</v>
      </c>
      <c r="C213">
        <v>500</v>
      </c>
      <c r="D213" t="s">
        <v>1923</v>
      </c>
      <c r="E213" t="s">
        <v>1881</v>
      </c>
      <c r="F213">
        <v>0.97419999999999995</v>
      </c>
      <c r="G213">
        <v>0.97040000000000004</v>
      </c>
    </row>
    <row r="214" spans="1:7">
      <c r="A214" t="s">
        <v>720</v>
      </c>
      <c r="B214" t="s">
        <v>1926</v>
      </c>
      <c r="C214">
        <v>500</v>
      </c>
      <c r="D214" t="s">
        <v>1925</v>
      </c>
      <c r="E214" t="s">
        <v>1881</v>
      </c>
      <c r="F214">
        <v>0.97419999999999995</v>
      </c>
      <c r="G214">
        <v>0.97040000000000004</v>
      </c>
    </row>
    <row r="215" spans="1:7">
      <c r="A215" t="s">
        <v>727</v>
      </c>
      <c r="B215" t="s">
        <v>1929</v>
      </c>
      <c r="C215">
        <v>220</v>
      </c>
      <c r="D215" t="s">
        <v>1928</v>
      </c>
      <c r="E215" t="s">
        <v>1927</v>
      </c>
      <c r="F215">
        <v>1.0122</v>
      </c>
      <c r="G215">
        <v>1.0157</v>
      </c>
    </row>
    <row r="216" spans="1:7">
      <c r="A216" t="s">
        <v>749</v>
      </c>
      <c r="B216" t="s">
        <v>1932</v>
      </c>
      <c r="C216">
        <v>220</v>
      </c>
      <c r="D216" t="s">
        <v>1931</v>
      </c>
      <c r="E216" t="s">
        <v>1930</v>
      </c>
      <c r="F216">
        <v>1.0246999999999999</v>
      </c>
      <c r="G216">
        <v>1.0416000000000001</v>
      </c>
    </row>
    <row r="217" spans="1:7">
      <c r="A217" t="s">
        <v>751</v>
      </c>
      <c r="B217" t="s">
        <v>1934</v>
      </c>
      <c r="C217">
        <v>220</v>
      </c>
      <c r="D217" t="s">
        <v>1933</v>
      </c>
      <c r="E217" t="s">
        <v>1930</v>
      </c>
      <c r="F217">
        <v>1.0246999999999999</v>
      </c>
      <c r="G217">
        <v>1.0416000000000001</v>
      </c>
    </row>
    <row r="218" spans="1:7">
      <c r="A218" t="s">
        <v>2802</v>
      </c>
      <c r="B218" t="s">
        <v>1947</v>
      </c>
      <c r="C218">
        <v>220</v>
      </c>
      <c r="D218" t="s">
        <v>1936</v>
      </c>
      <c r="E218" t="s">
        <v>1935</v>
      </c>
      <c r="F218">
        <v>0.95630000000000004</v>
      </c>
      <c r="G218">
        <v>0.9536</v>
      </c>
    </row>
    <row r="219" spans="1:7">
      <c r="A219" t="s">
        <v>777</v>
      </c>
      <c r="B219" t="s">
        <v>1939</v>
      </c>
      <c r="C219">
        <v>220</v>
      </c>
      <c r="D219" t="s">
        <v>1938</v>
      </c>
      <c r="E219" t="s">
        <v>1937</v>
      </c>
      <c r="F219">
        <v>0.95889999999999997</v>
      </c>
      <c r="G219">
        <v>0.95379999999999998</v>
      </c>
    </row>
    <row r="220" spans="1:7">
      <c r="A220" t="s">
        <v>779</v>
      </c>
      <c r="B220" t="s">
        <v>1941</v>
      </c>
      <c r="C220">
        <v>220</v>
      </c>
      <c r="D220" t="s">
        <v>1940</v>
      </c>
      <c r="E220" t="s">
        <v>1935</v>
      </c>
      <c r="F220">
        <v>0.95630000000000004</v>
      </c>
      <c r="G220">
        <v>0.9536</v>
      </c>
    </row>
    <row r="221" spans="1:7">
      <c r="A221" t="s">
        <v>780</v>
      </c>
      <c r="B221" t="s">
        <v>1943</v>
      </c>
      <c r="C221">
        <v>220</v>
      </c>
      <c r="D221" t="s">
        <v>1942</v>
      </c>
      <c r="E221" t="s">
        <v>1935</v>
      </c>
      <c r="F221">
        <v>0.95630000000000004</v>
      </c>
      <c r="G221">
        <v>0.9536</v>
      </c>
    </row>
    <row r="222" spans="1:7">
      <c r="A222" t="s">
        <v>781</v>
      </c>
      <c r="B222" t="s">
        <v>1945</v>
      </c>
      <c r="C222">
        <v>220</v>
      </c>
      <c r="D222" t="s">
        <v>1944</v>
      </c>
      <c r="E222" t="s">
        <v>1935</v>
      </c>
      <c r="F222">
        <v>0.95630000000000004</v>
      </c>
      <c r="G222">
        <v>0.9536</v>
      </c>
    </row>
    <row r="223" spans="1:7">
      <c r="A223" t="s">
        <v>236</v>
      </c>
      <c r="B223" t="s">
        <v>4052</v>
      </c>
      <c r="C223">
        <v>66</v>
      </c>
      <c r="D223" t="s">
        <v>1949</v>
      </c>
      <c r="E223" t="s">
        <v>1948</v>
      </c>
      <c r="F223">
        <v>0.97709999999999997</v>
      </c>
      <c r="G223">
        <v>0.97450000000000003</v>
      </c>
    </row>
    <row r="224" spans="1:7">
      <c r="A224" t="s">
        <v>238</v>
      </c>
      <c r="B224" t="s">
        <v>4053</v>
      </c>
      <c r="C224">
        <v>66</v>
      </c>
      <c r="D224" t="s">
        <v>1950</v>
      </c>
      <c r="E224" t="s">
        <v>1948</v>
      </c>
      <c r="F224">
        <v>0.97709999999999997</v>
      </c>
      <c r="G224">
        <v>0.97450000000000003</v>
      </c>
    </row>
    <row r="225" spans="1:7">
      <c r="A225" t="s">
        <v>204</v>
      </c>
      <c r="B225" t="s">
        <v>4054</v>
      </c>
      <c r="C225">
        <v>66</v>
      </c>
      <c r="D225" t="s">
        <v>1953</v>
      </c>
      <c r="E225" t="s">
        <v>1952</v>
      </c>
      <c r="F225">
        <v>0.97989999999999999</v>
      </c>
      <c r="G225">
        <v>0.97770000000000001</v>
      </c>
    </row>
    <row r="226" spans="1:7">
      <c r="A226" t="s">
        <v>228</v>
      </c>
      <c r="B226" t="s">
        <v>4055</v>
      </c>
      <c r="C226">
        <v>66</v>
      </c>
      <c r="D226" t="s">
        <v>1954</v>
      </c>
      <c r="E226" t="s">
        <v>1946</v>
      </c>
      <c r="F226">
        <v>1.0206999999999999</v>
      </c>
      <c r="G226">
        <v>1.0239</v>
      </c>
    </row>
    <row r="227" spans="1:7">
      <c r="A227" t="s">
        <v>269</v>
      </c>
      <c r="B227" t="s">
        <v>1957</v>
      </c>
      <c r="C227">
        <v>66</v>
      </c>
      <c r="D227" t="s">
        <v>1956</v>
      </c>
      <c r="E227" t="s">
        <v>1955</v>
      </c>
      <c r="F227">
        <v>1.0053000000000001</v>
      </c>
      <c r="G227">
        <v>1.0034000000000001</v>
      </c>
    </row>
    <row r="228" spans="1:7">
      <c r="A228" t="s">
        <v>314</v>
      </c>
      <c r="B228" t="s">
        <v>4056</v>
      </c>
      <c r="C228">
        <v>2266</v>
      </c>
      <c r="D228" t="s">
        <v>1959</v>
      </c>
      <c r="E228" t="s">
        <v>1958</v>
      </c>
      <c r="F228">
        <v>0.997</v>
      </c>
      <c r="G228">
        <v>0.99650000000000005</v>
      </c>
    </row>
    <row r="229" spans="1:7">
      <c r="A229" t="s">
        <v>324</v>
      </c>
      <c r="B229" t="s">
        <v>1961</v>
      </c>
      <c r="C229">
        <v>66</v>
      </c>
      <c r="D229" t="s">
        <v>1960</v>
      </c>
      <c r="E229" t="s">
        <v>1914</v>
      </c>
      <c r="F229">
        <v>1.03</v>
      </c>
      <c r="G229">
        <v>1.0262</v>
      </c>
    </row>
    <row r="230" spans="1:7">
      <c r="A230" t="s">
        <v>330</v>
      </c>
      <c r="B230" t="s">
        <v>1964</v>
      </c>
      <c r="C230">
        <v>2266</v>
      </c>
      <c r="D230" t="s">
        <v>1963</v>
      </c>
      <c r="E230" t="s">
        <v>1962</v>
      </c>
      <c r="F230">
        <v>0.99870000000000003</v>
      </c>
      <c r="G230">
        <v>0.99819999999999998</v>
      </c>
    </row>
    <row r="231" spans="1:7">
      <c r="A231" t="s">
        <v>377</v>
      </c>
      <c r="B231" t="s">
        <v>1967</v>
      </c>
      <c r="C231">
        <v>66</v>
      </c>
      <c r="D231" t="s">
        <v>1966</v>
      </c>
      <c r="E231" t="s">
        <v>1952</v>
      </c>
      <c r="F231">
        <v>0.97989999999999999</v>
      </c>
      <c r="G231">
        <v>0.97770000000000001</v>
      </c>
    </row>
    <row r="232" spans="1:7">
      <c r="A232" t="s">
        <v>405</v>
      </c>
      <c r="B232" t="s">
        <v>1970</v>
      </c>
      <c r="C232">
        <v>66</v>
      </c>
      <c r="D232" t="s">
        <v>1969</v>
      </c>
      <c r="E232" t="s">
        <v>1968</v>
      </c>
      <c r="F232">
        <v>0.99309999999999998</v>
      </c>
      <c r="G232">
        <v>0.99160000000000004</v>
      </c>
    </row>
    <row r="233" spans="1:7">
      <c r="A233" t="s">
        <v>395</v>
      </c>
      <c r="B233" t="s">
        <v>1972</v>
      </c>
      <c r="C233">
        <v>66</v>
      </c>
      <c r="D233" t="s">
        <v>1971</v>
      </c>
      <c r="E233" t="s">
        <v>1968</v>
      </c>
      <c r="F233">
        <v>0.99309999999999998</v>
      </c>
      <c r="G233">
        <v>0.99160000000000004</v>
      </c>
    </row>
    <row r="234" spans="1:7">
      <c r="A234" t="s">
        <v>403</v>
      </c>
      <c r="B234" t="s">
        <v>4057</v>
      </c>
      <c r="C234">
        <v>66</v>
      </c>
      <c r="D234" t="s">
        <v>1973</v>
      </c>
      <c r="E234" t="s">
        <v>1946</v>
      </c>
      <c r="F234">
        <v>1.0206999999999999</v>
      </c>
      <c r="G234">
        <v>1.0239</v>
      </c>
    </row>
    <row r="235" spans="1:7">
      <c r="A235" t="s">
        <v>2852</v>
      </c>
      <c r="B235" t="s">
        <v>1975</v>
      </c>
      <c r="C235">
        <v>66</v>
      </c>
      <c r="D235" t="s">
        <v>1974</v>
      </c>
      <c r="E235" t="s">
        <v>1974</v>
      </c>
      <c r="F235">
        <v>0.9768</v>
      </c>
      <c r="G235">
        <v>0.99119999999999997</v>
      </c>
    </row>
    <row r="236" spans="1:7">
      <c r="A236" t="s">
        <v>479</v>
      </c>
      <c r="B236" t="s">
        <v>1977</v>
      </c>
      <c r="C236">
        <v>66</v>
      </c>
      <c r="D236" t="s">
        <v>1976</v>
      </c>
      <c r="E236" t="s">
        <v>1952</v>
      </c>
      <c r="F236">
        <v>0.97989999999999999</v>
      </c>
      <c r="G236">
        <v>0.97770000000000001</v>
      </c>
    </row>
    <row r="237" spans="1:7">
      <c r="A237" t="s">
        <v>524</v>
      </c>
      <c r="B237" t="s">
        <v>4060</v>
      </c>
      <c r="C237">
        <v>66</v>
      </c>
      <c r="D237" t="s">
        <v>4059</v>
      </c>
      <c r="E237" t="s">
        <v>4058</v>
      </c>
      <c r="F237">
        <v>0.99239999999999995</v>
      </c>
      <c r="G237">
        <v>0.9909</v>
      </c>
    </row>
    <row r="238" spans="1:7">
      <c r="A238" t="s">
        <v>516</v>
      </c>
      <c r="B238" t="s">
        <v>1979</v>
      </c>
      <c r="C238">
        <v>66</v>
      </c>
      <c r="D238" t="s">
        <v>1978</v>
      </c>
      <c r="E238" t="s">
        <v>1914</v>
      </c>
      <c r="F238">
        <v>1.03</v>
      </c>
      <c r="G238">
        <v>1.0262</v>
      </c>
    </row>
    <row r="239" spans="1:7">
      <c r="A239" t="s">
        <v>559</v>
      </c>
      <c r="B239" t="s">
        <v>1981</v>
      </c>
      <c r="C239">
        <v>66</v>
      </c>
      <c r="D239" t="s">
        <v>1980</v>
      </c>
      <c r="E239" t="s">
        <v>1914</v>
      </c>
      <c r="F239">
        <v>1.03</v>
      </c>
      <c r="G239">
        <v>1.0262</v>
      </c>
    </row>
    <row r="240" spans="1:7">
      <c r="A240" t="s">
        <v>617</v>
      </c>
      <c r="B240" t="s">
        <v>1984</v>
      </c>
      <c r="C240">
        <v>66</v>
      </c>
      <c r="D240" t="s">
        <v>1983</v>
      </c>
      <c r="E240" t="s">
        <v>1982</v>
      </c>
      <c r="F240">
        <v>1.0639000000000001</v>
      </c>
      <c r="G240">
        <v>1.0869</v>
      </c>
    </row>
    <row r="241" spans="1:7">
      <c r="A241" t="s">
        <v>182</v>
      </c>
      <c r="B241" t="s">
        <v>4061</v>
      </c>
      <c r="C241">
        <v>66</v>
      </c>
      <c r="D241" t="s">
        <v>1986</v>
      </c>
      <c r="E241" t="s">
        <v>1985</v>
      </c>
      <c r="F241">
        <v>0.99460000000000004</v>
      </c>
      <c r="G241">
        <v>0.99270000000000003</v>
      </c>
    </row>
    <row r="242" spans="1:7">
      <c r="A242" t="s">
        <v>650</v>
      </c>
      <c r="B242" t="s">
        <v>1989</v>
      </c>
      <c r="C242">
        <v>2266</v>
      </c>
      <c r="D242" t="s">
        <v>1988</v>
      </c>
      <c r="E242" t="s">
        <v>1958</v>
      </c>
      <c r="F242">
        <v>0.997</v>
      </c>
      <c r="G242">
        <v>0.99650000000000005</v>
      </c>
    </row>
    <row r="243" spans="1:7">
      <c r="A243" t="s">
        <v>667</v>
      </c>
      <c r="B243" t="s">
        <v>1991</v>
      </c>
      <c r="C243">
        <v>66</v>
      </c>
      <c r="D243" t="s">
        <v>1990</v>
      </c>
      <c r="E243" t="s">
        <v>1982</v>
      </c>
      <c r="F243">
        <v>1.0639000000000001</v>
      </c>
      <c r="G243">
        <v>1.0869</v>
      </c>
    </row>
    <row r="244" spans="1:7">
      <c r="A244" t="s">
        <v>681</v>
      </c>
      <c r="B244" t="s">
        <v>1993</v>
      </c>
      <c r="C244">
        <v>66</v>
      </c>
      <c r="D244" t="s">
        <v>1992</v>
      </c>
      <c r="E244" t="s">
        <v>1952</v>
      </c>
      <c r="F244">
        <v>0.97989999999999999</v>
      </c>
      <c r="G244">
        <v>0.97770000000000001</v>
      </c>
    </row>
    <row r="245" spans="1:7">
      <c r="A245" t="s">
        <v>673</v>
      </c>
      <c r="B245" t="s">
        <v>1995</v>
      </c>
      <c r="C245">
        <v>2266</v>
      </c>
      <c r="D245" t="s">
        <v>1994</v>
      </c>
      <c r="E245" t="s">
        <v>1952</v>
      </c>
      <c r="F245">
        <v>0.97989999999999999</v>
      </c>
      <c r="G245">
        <v>0.97770000000000001</v>
      </c>
    </row>
    <row r="246" spans="1:7">
      <c r="A246" t="s">
        <v>743</v>
      </c>
      <c r="B246" t="s">
        <v>4063</v>
      </c>
      <c r="C246">
        <v>66</v>
      </c>
      <c r="D246" t="s">
        <v>1996</v>
      </c>
      <c r="E246" t="s">
        <v>4062</v>
      </c>
      <c r="F246">
        <v>1.048</v>
      </c>
      <c r="G246">
        <v>1.0732999999999999</v>
      </c>
    </row>
    <row r="247" spans="1:7">
      <c r="A247" t="s">
        <v>752</v>
      </c>
      <c r="B247" t="s">
        <v>1998</v>
      </c>
      <c r="C247">
        <v>66</v>
      </c>
      <c r="D247" t="s">
        <v>1997</v>
      </c>
      <c r="E247" t="s">
        <v>1965</v>
      </c>
      <c r="F247">
        <v>0.99870000000000003</v>
      </c>
      <c r="G247">
        <v>0.99919999999999998</v>
      </c>
    </row>
    <row r="248" spans="1:7">
      <c r="A248" t="s">
        <v>754</v>
      </c>
      <c r="B248" t="s">
        <v>2000</v>
      </c>
      <c r="C248">
        <v>66</v>
      </c>
      <c r="D248" t="s">
        <v>1999</v>
      </c>
      <c r="E248" t="s">
        <v>1952</v>
      </c>
      <c r="F248">
        <v>0.97989999999999999</v>
      </c>
      <c r="G248">
        <v>0.97770000000000001</v>
      </c>
    </row>
    <row r="249" spans="1:7">
      <c r="A249" t="s">
        <v>768</v>
      </c>
      <c r="B249" t="s">
        <v>4066</v>
      </c>
      <c r="C249">
        <v>66</v>
      </c>
      <c r="D249" t="s">
        <v>4065</v>
      </c>
      <c r="E249" t="s">
        <v>4064</v>
      </c>
      <c r="F249">
        <v>1.0032000000000001</v>
      </c>
      <c r="G249">
        <v>1.0036</v>
      </c>
    </row>
    <row r="250" spans="1:7">
      <c r="A250" t="s">
        <v>773</v>
      </c>
      <c r="B250" t="s">
        <v>774</v>
      </c>
      <c r="C250">
        <v>66</v>
      </c>
      <c r="D250" t="s">
        <v>2001</v>
      </c>
      <c r="E250" t="s">
        <v>1914</v>
      </c>
      <c r="F250">
        <v>1.03</v>
      </c>
      <c r="G250">
        <v>1.0262</v>
      </c>
    </row>
    <row r="251" spans="1:7">
      <c r="A251" t="s">
        <v>2885</v>
      </c>
      <c r="B251" t="s">
        <v>4067</v>
      </c>
      <c r="C251">
        <v>66</v>
      </c>
      <c r="D251" t="s">
        <v>2002</v>
      </c>
      <c r="E251" t="s">
        <v>1982</v>
      </c>
      <c r="F251">
        <v>1.0639000000000001</v>
      </c>
      <c r="G251">
        <v>1.0869</v>
      </c>
    </row>
    <row r="252" spans="1:7">
      <c r="A252" t="s">
        <v>297</v>
      </c>
      <c r="B252" t="s">
        <v>2004</v>
      </c>
      <c r="C252">
        <v>132</v>
      </c>
      <c r="D252" t="s">
        <v>2003</v>
      </c>
      <c r="E252" t="s">
        <v>2003</v>
      </c>
      <c r="F252">
        <v>0.87749999999999995</v>
      </c>
      <c r="G252">
        <v>0.87739999999999996</v>
      </c>
    </row>
    <row r="253" spans="1:7">
      <c r="A253" t="s">
        <v>316</v>
      </c>
      <c r="B253" t="s">
        <v>2007</v>
      </c>
      <c r="C253">
        <v>132</v>
      </c>
      <c r="D253" t="s">
        <v>2006</v>
      </c>
      <c r="E253" t="s">
        <v>2005</v>
      </c>
      <c r="F253">
        <v>0.97009999999999996</v>
      </c>
      <c r="G253">
        <v>0.96579999999999999</v>
      </c>
    </row>
    <row r="254" spans="1:7">
      <c r="A254" t="s">
        <v>347</v>
      </c>
      <c r="B254" t="s">
        <v>2010</v>
      </c>
      <c r="C254">
        <v>66</v>
      </c>
      <c r="D254" t="s">
        <v>2009</v>
      </c>
      <c r="E254" t="s">
        <v>2008</v>
      </c>
      <c r="F254">
        <v>1.0018</v>
      </c>
      <c r="G254">
        <v>1.0022</v>
      </c>
    </row>
    <row r="255" spans="1:7">
      <c r="A255" t="s">
        <v>349</v>
      </c>
      <c r="B255" t="s">
        <v>2012</v>
      </c>
      <c r="C255">
        <v>66</v>
      </c>
      <c r="D255" t="s">
        <v>2011</v>
      </c>
      <c r="E255" t="s">
        <v>2008</v>
      </c>
      <c r="F255">
        <v>1.0018</v>
      </c>
      <c r="G255">
        <v>1.0022</v>
      </c>
    </row>
    <row r="256" spans="1:7">
      <c r="A256" t="s">
        <v>350</v>
      </c>
      <c r="B256" t="s">
        <v>2014</v>
      </c>
      <c r="C256">
        <v>66</v>
      </c>
      <c r="D256" t="s">
        <v>2013</v>
      </c>
      <c r="E256" t="s">
        <v>2008</v>
      </c>
      <c r="F256">
        <v>1.0018</v>
      </c>
      <c r="G256">
        <v>1.0022</v>
      </c>
    </row>
    <row r="257" spans="1:7">
      <c r="A257" t="s">
        <v>399</v>
      </c>
      <c r="B257" t="s">
        <v>4068</v>
      </c>
      <c r="C257">
        <v>275</v>
      </c>
      <c r="D257" t="s">
        <v>2020</v>
      </c>
      <c r="E257" t="s">
        <v>2019</v>
      </c>
      <c r="F257">
        <v>0.98109999999999997</v>
      </c>
      <c r="G257">
        <v>0.98429999999999995</v>
      </c>
    </row>
    <row r="258" spans="1:7">
      <c r="A258" t="s">
        <v>164</v>
      </c>
      <c r="B258" t="s">
        <v>4069</v>
      </c>
      <c r="C258">
        <v>275</v>
      </c>
      <c r="D258" t="s">
        <v>2016</v>
      </c>
      <c r="E258" t="s">
        <v>2015</v>
      </c>
      <c r="F258">
        <v>0.98350000000000004</v>
      </c>
      <c r="G258">
        <v>0.9869</v>
      </c>
    </row>
    <row r="259" spans="1:7">
      <c r="A259" t="s">
        <v>397</v>
      </c>
      <c r="B259" t="s">
        <v>4070</v>
      </c>
      <c r="C259">
        <v>275</v>
      </c>
      <c r="D259" t="s">
        <v>2018</v>
      </c>
      <c r="E259" t="s">
        <v>2015</v>
      </c>
      <c r="F259">
        <v>0.98350000000000004</v>
      </c>
      <c r="G259">
        <v>0.9869</v>
      </c>
    </row>
    <row r="260" spans="1:7">
      <c r="A260" t="s">
        <v>455</v>
      </c>
      <c r="B260" t="s">
        <v>2023</v>
      </c>
      <c r="C260">
        <v>132</v>
      </c>
      <c r="D260" t="s">
        <v>2022</v>
      </c>
      <c r="E260" t="s">
        <v>2021</v>
      </c>
      <c r="F260">
        <v>0.95630000000000004</v>
      </c>
      <c r="G260">
        <v>0.98839999999999995</v>
      </c>
    </row>
    <row r="261" spans="1:7">
      <c r="A261" t="s">
        <v>457</v>
      </c>
      <c r="B261" t="s">
        <v>2025</v>
      </c>
      <c r="C261">
        <v>132</v>
      </c>
      <c r="D261" t="s">
        <v>2024</v>
      </c>
      <c r="E261" t="s">
        <v>2021</v>
      </c>
      <c r="F261">
        <v>0.95630000000000004</v>
      </c>
      <c r="G261">
        <v>0.98839999999999995</v>
      </c>
    </row>
    <row r="262" spans="1:7">
      <c r="A262" t="s">
        <v>471</v>
      </c>
      <c r="B262" t="s">
        <v>2028</v>
      </c>
      <c r="C262">
        <v>33</v>
      </c>
      <c r="D262" t="s">
        <v>2027</v>
      </c>
      <c r="E262" t="s">
        <v>2026</v>
      </c>
      <c r="F262">
        <v>0.93520000000000003</v>
      </c>
      <c r="G262">
        <v>0.96650000000000003</v>
      </c>
    </row>
    <row r="263" spans="1:7">
      <c r="A263" t="s">
        <v>473</v>
      </c>
      <c r="B263" t="s">
        <v>2030</v>
      </c>
      <c r="C263">
        <v>33</v>
      </c>
      <c r="D263" t="s">
        <v>2029</v>
      </c>
      <c r="E263" t="s">
        <v>2026</v>
      </c>
      <c r="F263">
        <v>0.93520000000000003</v>
      </c>
      <c r="G263">
        <v>0.96650000000000003</v>
      </c>
    </row>
    <row r="264" spans="1:7">
      <c r="A264" t="s">
        <v>475</v>
      </c>
      <c r="B264" t="s">
        <v>2032</v>
      </c>
      <c r="C264">
        <v>33</v>
      </c>
      <c r="D264" t="s">
        <v>2031</v>
      </c>
      <c r="E264" t="s">
        <v>2026</v>
      </c>
      <c r="F264">
        <v>0.93520000000000003</v>
      </c>
      <c r="G264">
        <v>0.96650000000000003</v>
      </c>
    </row>
    <row r="265" spans="1:7">
      <c r="A265" t="s">
        <v>4116</v>
      </c>
      <c r="B265" t="s">
        <v>4073</v>
      </c>
      <c r="C265">
        <v>33</v>
      </c>
      <c r="D265" t="s">
        <v>4072</v>
      </c>
      <c r="E265" t="s">
        <v>4071</v>
      </c>
      <c r="F265">
        <v>1.0482</v>
      </c>
      <c r="G265">
        <v>1.0347999999999999</v>
      </c>
    </row>
    <row r="266" spans="1:7">
      <c r="A266" t="s">
        <v>511</v>
      </c>
      <c r="B266" t="s">
        <v>2034</v>
      </c>
      <c r="C266">
        <v>132</v>
      </c>
      <c r="D266" t="s">
        <v>2033</v>
      </c>
      <c r="E266" t="s">
        <v>2033</v>
      </c>
      <c r="F266">
        <v>0.97360000000000002</v>
      </c>
      <c r="G266">
        <v>0.9879</v>
      </c>
    </row>
    <row r="267" spans="1:7">
      <c r="A267" t="s">
        <v>539</v>
      </c>
      <c r="B267" t="s">
        <v>2037</v>
      </c>
      <c r="C267">
        <v>33</v>
      </c>
      <c r="D267" t="s">
        <v>2036</v>
      </c>
      <c r="E267" t="s">
        <v>2035</v>
      </c>
      <c r="F267">
        <v>0.90159999999999996</v>
      </c>
      <c r="G267">
        <v>0.89710000000000001</v>
      </c>
    </row>
    <row r="268" spans="1:7">
      <c r="A268" t="s">
        <v>545</v>
      </c>
      <c r="B268" t="s">
        <v>2040</v>
      </c>
      <c r="C268">
        <v>275</v>
      </c>
      <c r="D268" t="s">
        <v>2039</v>
      </c>
      <c r="E268" t="s">
        <v>2038</v>
      </c>
      <c r="F268">
        <v>0.97670000000000001</v>
      </c>
      <c r="G268">
        <v>0.97950000000000004</v>
      </c>
    </row>
    <row r="269" spans="1:7">
      <c r="A269" t="s">
        <v>551</v>
      </c>
      <c r="B269" t="s">
        <v>4076</v>
      </c>
      <c r="C269">
        <v>275</v>
      </c>
      <c r="D269" t="s">
        <v>4075</v>
      </c>
      <c r="E269" t="s">
        <v>4074</v>
      </c>
      <c r="F269">
        <v>0.98260000000000003</v>
      </c>
      <c r="G269">
        <v>0.97440000000000004</v>
      </c>
    </row>
    <row r="270" spans="1:7">
      <c r="A270" t="s">
        <v>553</v>
      </c>
      <c r="B270" t="s">
        <v>4078</v>
      </c>
      <c r="C270">
        <v>275</v>
      </c>
      <c r="D270" t="s">
        <v>4077</v>
      </c>
      <c r="E270" t="s">
        <v>4074</v>
      </c>
      <c r="F270">
        <v>0.98260000000000003</v>
      </c>
      <c r="G270">
        <v>0.97440000000000004</v>
      </c>
    </row>
    <row r="271" spans="1:7">
      <c r="A271" t="s">
        <v>561</v>
      </c>
      <c r="B271" t="s">
        <v>2043</v>
      </c>
      <c r="C271">
        <v>66</v>
      </c>
      <c r="D271" t="s">
        <v>2042</v>
      </c>
      <c r="E271" t="s">
        <v>2041</v>
      </c>
      <c r="F271">
        <v>0.99950000000000006</v>
      </c>
      <c r="G271">
        <v>0.999</v>
      </c>
    </row>
    <row r="272" spans="1:7">
      <c r="A272" t="s">
        <v>581</v>
      </c>
      <c r="B272" t="s">
        <v>2045</v>
      </c>
      <c r="C272">
        <v>275</v>
      </c>
      <c r="D272" t="s">
        <v>2044</v>
      </c>
      <c r="E272" t="s">
        <v>2044</v>
      </c>
      <c r="F272">
        <v>1.0009999999999999</v>
      </c>
      <c r="G272">
        <v>0.99939999999999996</v>
      </c>
    </row>
    <row r="273" spans="1:7">
      <c r="A273" t="s">
        <v>4117</v>
      </c>
      <c r="B273" t="s">
        <v>4081</v>
      </c>
      <c r="C273">
        <v>132</v>
      </c>
      <c r="D273" t="s">
        <v>4080</v>
      </c>
      <c r="E273" t="s">
        <v>4079</v>
      </c>
      <c r="F273">
        <v>0.9929</v>
      </c>
      <c r="G273">
        <v>0.99929999999999997</v>
      </c>
    </row>
    <row r="274" spans="1:7">
      <c r="A274" t="s">
        <v>818</v>
      </c>
      <c r="B274" t="s">
        <v>4084</v>
      </c>
      <c r="C274">
        <v>275</v>
      </c>
      <c r="D274" t="s">
        <v>4083</v>
      </c>
      <c r="E274" t="s">
        <v>4082</v>
      </c>
      <c r="F274">
        <v>0.98809999999999998</v>
      </c>
      <c r="G274">
        <v>0.98819999999999997</v>
      </c>
    </row>
    <row r="275" spans="1:7">
      <c r="A275" t="s">
        <v>576</v>
      </c>
      <c r="B275" t="s">
        <v>2048</v>
      </c>
      <c r="C275">
        <v>33</v>
      </c>
      <c r="D275" t="s">
        <v>2047</v>
      </c>
      <c r="E275" t="s">
        <v>2046</v>
      </c>
      <c r="F275">
        <v>0.89759999999999995</v>
      </c>
      <c r="G275">
        <v>0.91080000000000005</v>
      </c>
    </row>
    <row r="276" spans="1:7">
      <c r="A276" t="s">
        <v>574</v>
      </c>
      <c r="B276" t="s">
        <v>2051</v>
      </c>
      <c r="C276">
        <v>132</v>
      </c>
      <c r="D276" t="s">
        <v>2050</v>
      </c>
      <c r="E276" t="s">
        <v>2049</v>
      </c>
      <c r="F276">
        <v>0.95199999999999996</v>
      </c>
      <c r="G276">
        <v>0.94469999999999998</v>
      </c>
    </row>
    <row r="277" spans="1:7">
      <c r="A277" t="s">
        <v>590</v>
      </c>
      <c r="B277" t="s">
        <v>2054</v>
      </c>
      <c r="C277">
        <v>66</v>
      </c>
      <c r="D277" t="s">
        <v>2053</v>
      </c>
      <c r="E277" t="s">
        <v>2052</v>
      </c>
      <c r="F277">
        <v>0.99319999999999997</v>
      </c>
      <c r="G277">
        <v>0.99390000000000001</v>
      </c>
    </row>
    <row r="278" spans="1:7">
      <c r="A278" t="s">
        <v>592</v>
      </c>
      <c r="B278" t="s">
        <v>2056</v>
      </c>
      <c r="C278">
        <v>66</v>
      </c>
      <c r="D278" t="s">
        <v>2055</v>
      </c>
      <c r="E278" t="s">
        <v>2052</v>
      </c>
      <c r="F278">
        <v>0.99319999999999997</v>
      </c>
      <c r="G278">
        <v>0.99390000000000001</v>
      </c>
    </row>
    <row r="279" spans="1:7">
      <c r="A279" t="s">
        <v>593</v>
      </c>
      <c r="B279" t="s">
        <v>2058</v>
      </c>
      <c r="C279">
        <v>66</v>
      </c>
      <c r="D279" t="s">
        <v>2057</v>
      </c>
      <c r="E279" t="s">
        <v>2052</v>
      </c>
      <c r="F279">
        <v>0.99319999999999997</v>
      </c>
      <c r="G279">
        <v>0.99390000000000001</v>
      </c>
    </row>
    <row r="280" spans="1:7">
      <c r="A280" t="s">
        <v>594</v>
      </c>
      <c r="B280" t="s">
        <v>2060</v>
      </c>
      <c r="C280">
        <v>66</v>
      </c>
      <c r="D280" t="s">
        <v>2059</v>
      </c>
      <c r="E280" t="s">
        <v>2052</v>
      </c>
      <c r="F280">
        <v>0.99319999999999997</v>
      </c>
      <c r="G280">
        <v>0.99390000000000001</v>
      </c>
    </row>
    <row r="281" spans="1:7">
      <c r="A281" t="s">
        <v>595</v>
      </c>
      <c r="B281" t="s">
        <v>2062</v>
      </c>
      <c r="C281">
        <v>66</v>
      </c>
      <c r="D281" t="s">
        <v>2061</v>
      </c>
      <c r="E281" t="s">
        <v>2052</v>
      </c>
      <c r="F281">
        <v>0.99319999999999997</v>
      </c>
      <c r="G281">
        <v>0.99390000000000001</v>
      </c>
    </row>
    <row r="282" spans="1:7">
      <c r="A282" t="s">
        <v>627</v>
      </c>
      <c r="B282" t="s">
        <v>4085</v>
      </c>
      <c r="C282">
        <v>275</v>
      </c>
      <c r="D282" t="s">
        <v>2064</v>
      </c>
      <c r="E282" t="s">
        <v>2063</v>
      </c>
      <c r="F282">
        <v>0.97819999999999996</v>
      </c>
      <c r="G282">
        <v>0.98609999999999998</v>
      </c>
    </row>
    <row r="283" spans="1:7">
      <c r="A283" t="s">
        <v>629</v>
      </c>
      <c r="B283" t="s">
        <v>4086</v>
      </c>
      <c r="C283">
        <v>275</v>
      </c>
      <c r="D283" t="s">
        <v>2065</v>
      </c>
      <c r="E283" t="s">
        <v>2063</v>
      </c>
      <c r="F283">
        <v>0.97819999999999996</v>
      </c>
      <c r="G283">
        <v>0.98609999999999998</v>
      </c>
    </row>
    <row r="284" spans="1:7">
      <c r="A284" t="s">
        <v>631</v>
      </c>
      <c r="B284" t="s">
        <v>2068</v>
      </c>
      <c r="C284">
        <v>33</v>
      </c>
      <c r="D284" t="s">
        <v>2067</v>
      </c>
      <c r="E284" t="s">
        <v>2066</v>
      </c>
      <c r="F284">
        <v>0.91979999999999995</v>
      </c>
      <c r="G284">
        <v>0.91359999999999997</v>
      </c>
    </row>
    <row r="285" spans="1:7">
      <c r="A285" t="s">
        <v>634</v>
      </c>
      <c r="B285" t="s">
        <v>2071</v>
      </c>
      <c r="C285">
        <v>132</v>
      </c>
      <c r="D285" t="s">
        <v>2070</v>
      </c>
      <c r="E285" t="s">
        <v>2069</v>
      </c>
      <c r="F285">
        <v>0.9829</v>
      </c>
      <c r="G285">
        <v>0.99439999999999995</v>
      </c>
    </row>
    <row r="286" spans="1:7">
      <c r="A286" t="s">
        <v>243</v>
      </c>
      <c r="B286" t="s">
        <v>4087</v>
      </c>
      <c r="C286">
        <v>275</v>
      </c>
      <c r="D286" t="s">
        <v>2072</v>
      </c>
      <c r="E286" t="s">
        <v>2038</v>
      </c>
      <c r="F286">
        <v>0.97670000000000001</v>
      </c>
      <c r="G286">
        <v>0.97950000000000004</v>
      </c>
    </row>
    <row r="287" spans="1:7">
      <c r="A287" t="s">
        <v>682</v>
      </c>
      <c r="B287" t="s">
        <v>2075</v>
      </c>
      <c r="C287">
        <v>275</v>
      </c>
      <c r="D287" t="s">
        <v>2074</v>
      </c>
      <c r="E287" t="s">
        <v>2073</v>
      </c>
      <c r="F287">
        <v>1.0019</v>
      </c>
      <c r="G287">
        <v>1.0004</v>
      </c>
    </row>
    <row r="288" spans="1:7">
      <c r="A288" t="s">
        <v>684</v>
      </c>
      <c r="B288" t="s">
        <v>2077</v>
      </c>
      <c r="C288">
        <v>275</v>
      </c>
      <c r="D288" t="s">
        <v>2076</v>
      </c>
      <c r="E288" t="s">
        <v>2073</v>
      </c>
      <c r="F288">
        <v>1.0019</v>
      </c>
      <c r="G288">
        <v>1.0004</v>
      </c>
    </row>
    <row r="289" spans="1:7">
      <c r="A289" t="s">
        <v>685</v>
      </c>
      <c r="B289" t="s">
        <v>2079</v>
      </c>
      <c r="C289">
        <v>275</v>
      </c>
      <c r="D289" t="s">
        <v>2078</v>
      </c>
      <c r="E289" t="s">
        <v>2073</v>
      </c>
      <c r="F289">
        <v>1.0019</v>
      </c>
      <c r="G289">
        <v>1.0004</v>
      </c>
    </row>
    <row r="290" spans="1:7">
      <c r="A290" t="s">
        <v>686</v>
      </c>
      <c r="B290" t="s">
        <v>2081</v>
      </c>
      <c r="C290">
        <v>275</v>
      </c>
      <c r="D290" t="s">
        <v>2080</v>
      </c>
      <c r="E290" t="s">
        <v>2073</v>
      </c>
      <c r="F290">
        <v>1.0019</v>
      </c>
      <c r="G290">
        <v>1.0004</v>
      </c>
    </row>
    <row r="291" spans="1:7">
      <c r="A291" t="s">
        <v>687</v>
      </c>
      <c r="B291" t="s">
        <v>2083</v>
      </c>
      <c r="C291">
        <v>275</v>
      </c>
      <c r="D291" t="s">
        <v>2082</v>
      </c>
      <c r="E291" t="s">
        <v>2073</v>
      </c>
      <c r="F291">
        <v>1.0019</v>
      </c>
      <c r="G291">
        <v>1.0004</v>
      </c>
    </row>
    <row r="292" spans="1:7">
      <c r="A292" t="s">
        <v>689</v>
      </c>
      <c r="B292" t="s">
        <v>2085</v>
      </c>
      <c r="C292">
        <v>275</v>
      </c>
      <c r="D292" t="s">
        <v>2084</v>
      </c>
      <c r="E292" t="s">
        <v>2073</v>
      </c>
      <c r="F292">
        <v>1.0019</v>
      </c>
      <c r="G292">
        <v>1.0004</v>
      </c>
    </row>
    <row r="293" spans="1:7">
      <c r="A293" t="s">
        <v>690</v>
      </c>
      <c r="B293" t="s">
        <v>2087</v>
      </c>
      <c r="C293">
        <v>275</v>
      </c>
      <c r="D293" t="s">
        <v>2086</v>
      </c>
      <c r="E293" t="s">
        <v>2073</v>
      </c>
      <c r="F293">
        <v>1.0019</v>
      </c>
      <c r="G293">
        <v>1.0004</v>
      </c>
    </row>
    <row r="294" spans="1:7">
      <c r="A294" t="s">
        <v>691</v>
      </c>
      <c r="B294" t="s">
        <v>2089</v>
      </c>
      <c r="C294">
        <v>275</v>
      </c>
      <c r="D294" t="s">
        <v>2088</v>
      </c>
      <c r="E294" t="s">
        <v>2073</v>
      </c>
      <c r="F294">
        <v>1.0019</v>
      </c>
      <c r="G294">
        <v>1.0004</v>
      </c>
    </row>
    <row r="295" spans="1:7">
      <c r="A295" t="s">
        <v>2974</v>
      </c>
      <c r="B295" t="s">
        <v>2092</v>
      </c>
      <c r="C295">
        <v>66</v>
      </c>
      <c r="D295" t="s">
        <v>2091</v>
      </c>
      <c r="E295" t="s">
        <v>2090</v>
      </c>
      <c r="F295">
        <v>1</v>
      </c>
      <c r="G295">
        <v>1</v>
      </c>
    </row>
    <row r="296" spans="1:7">
      <c r="A296" t="s">
        <v>725</v>
      </c>
      <c r="B296" t="s">
        <v>2095</v>
      </c>
      <c r="C296">
        <v>132</v>
      </c>
      <c r="D296" t="s">
        <v>2094</v>
      </c>
      <c r="E296" t="s">
        <v>2093</v>
      </c>
      <c r="F296">
        <v>0.97640000000000005</v>
      </c>
      <c r="G296">
        <v>0.9819</v>
      </c>
    </row>
    <row r="297" spans="1:7">
      <c r="A297" t="s">
        <v>762</v>
      </c>
      <c r="B297" t="s">
        <v>2098</v>
      </c>
      <c r="C297">
        <v>132</v>
      </c>
      <c r="D297" t="s">
        <v>2097</v>
      </c>
      <c r="E297" t="s">
        <v>2096</v>
      </c>
      <c r="F297">
        <v>0.81950000000000001</v>
      </c>
      <c r="G297">
        <v>0.82179999999999997</v>
      </c>
    </row>
    <row r="298" spans="1:7">
      <c r="A298" t="s">
        <v>3960</v>
      </c>
      <c r="B298" t="s">
        <v>4090</v>
      </c>
      <c r="C298">
        <v>11</v>
      </c>
      <c r="D298" t="s">
        <v>4089</v>
      </c>
      <c r="E298" t="s">
        <v>4088</v>
      </c>
      <c r="F298">
        <v>1.0111000000000001</v>
      </c>
      <c r="G298">
        <v>1.0092000000000001</v>
      </c>
    </row>
    <row r="299" spans="1:7">
      <c r="A299" t="s">
        <v>186</v>
      </c>
      <c r="B299" t="s">
        <v>4091</v>
      </c>
      <c r="C299">
        <v>33</v>
      </c>
      <c r="D299" t="s">
        <v>2100</v>
      </c>
      <c r="E299" t="s">
        <v>2099</v>
      </c>
      <c r="F299">
        <v>1.0061</v>
      </c>
      <c r="G299">
        <v>0.94979999999999998</v>
      </c>
    </row>
    <row r="300" spans="1:7">
      <c r="A300" t="s">
        <v>189</v>
      </c>
      <c r="B300" t="s">
        <v>4091</v>
      </c>
      <c r="C300">
        <v>33</v>
      </c>
      <c r="D300" t="s">
        <v>4092</v>
      </c>
      <c r="E300" t="s">
        <v>2099</v>
      </c>
      <c r="F300">
        <v>1.0061</v>
      </c>
      <c r="G300">
        <v>0.94979999999999998</v>
      </c>
    </row>
    <row r="301" spans="1:7">
      <c r="A301" t="s">
        <v>245</v>
      </c>
      <c r="B301" t="s">
        <v>4094</v>
      </c>
      <c r="C301">
        <v>33</v>
      </c>
      <c r="D301" t="s">
        <v>4093</v>
      </c>
      <c r="E301" t="s">
        <v>2110</v>
      </c>
      <c r="F301">
        <v>1.0062</v>
      </c>
      <c r="G301">
        <v>1.0258</v>
      </c>
    </row>
    <row r="302" spans="1:7">
      <c r="A302" t="s">
        <v>249</v>
      </c>
      <c r="B302" t="s">
        <v>4095</v>
      </c>
      <c r="C302">
        <v>66</v>
      </c>
      <c r="D302" t="s">
        <v>2103</v>
      </c>
      <c r="E302" t="s">
        <v>2102</v>
      </c>
      <c r="F302">
        <v>1.0044999999999999</v>
      </c>
      <c r="G302">
        <v>1.0024</v>
      </c>
    </row>
    <row r="303" spans="1:7">
      <c r="A303" t="s">
        <v>481</v>
      </c>
      <c r="B303" t="s">
        <v>4096</v>
      </c>
      <c r="C303">
        <v>66</v>
      </c>
      <c r="D303" t="s">
        <v>2105</v>
      </c>
      <c r="E303" t="s">
        <v>2104</v>
      </c>
      <c r="F303">
        <v>1.0075000000000001</v>
      </c>
      <c r="G303">
        <v>1.008</v>
      </c>
    </row>
    <row r="304" spans="1:7">
      <c r="A304" t="s">
        <v>4118</v>
      </c>
      <c r="B304" t="s">
        <v>4099</v>
      </c>
      <c r="C304">
        <v>1166</v>
      </c>
      <c r="D304" t="s">
        <v>4098</v>
      </c>
      <c r="E304" t="s">
        <v>4097</v>
      </c>
      <c r="F304">
        <v>1.0042</v>
      </c>
      <c r="G304">
        <v>1.0028999999999999</v>
      </c>
    </row>
    <row r="305" spans="1:7">
      <c r="A305" t="s">
        <v>565</v>
      </c>
      <c r="B305" t="s">
        <v>4101</v>
      </c>
      <c r="C305">
        <v>1166</v>
      </c>
      <c r="D305" t="s">
        <v>4100</v>
      </c>
      <c r="E305" t="s">
        <v>2104</v>
      </c>
      <c r="F305">
        <v>1.0075000000000001</v>
      </c>
      <c r="G305">
        <v>1.008</v>
      </c>
    </row>
    <row r="306" spans="1:7">
      <c r="A306" t="s">
        <v>4119</v>
      </c>
      <c r="B306" t="s">
        <v>4102</v>
      </c>
      <c r="C306">
        <v>66</v>
      </c>
      <c r="D306" t="s">
        <v>2107</v>
      </c>
      <c r="E306" t="s">
        <v>2104</v>
      </c>
      <c r="F306">
        <v>1.0075000000000001</v>
      </c>
      <c r="G306">
        <v>1.008</v>
      </c>
    </row>
    <row r="307" spans="1:7">
      <c r="A307" t="s">
        <v>4120</v>
      </c>
      <c r="B307" t="s">
        <v>4104</v>
      </c>
      <c r="C307">
        <v>66</v>
      </c>
      <c r="D307" t="s">
        <v>4103</v>
      </c>
      <c r="E307" t="s">
        <v>2104</v>
      </c>
      <c r="F307">
        <v>1.0075000000000001</v>
      </c>
      <c r="G307">
        <v>1.008</v>
      </c>
    </row>
    <row r="308" spans="1:7">
      <c r="A308" t="s">
        <v>641</v>
      </c>
      <c r="B308" t="s">
        <v>2109</v>
      </c>
      <c r="C308">
        <v>66</v>
      </c>
      <c r="D308" t="s">
        <v>2108</v>
      </c>
      <c r="E308" t="s">
        <v>2104</v>
      </c>
      <c r="F308">
        <v>1.0075000000000001</v>
      </c>
      <c r="G308">
        <v>1.008</v>
      </c>
    </row>
    <row r="309" spans="1:7">
      <c r="A309" t="s">
        <v>665</v>
      </c>
      <c r="B309" t="s">
        <v>2112</v>
      </c>
      <c r="C309">
        <v>33</v>
      </c>
      <c r="D309" t="s">
        <v>2111</v>
      </c>
      <c r="E309" t="s">
        <v>2110</v>
      </c>
      <c r="F309">
        <v>1.0062</v>
      </c>
      <c r="G309">
        <v>1.0258</v>
      </c>
    </row>
    <row r="310" spans="1:7">
      <c r="A310" t="s">
        <v>4121</v>
      </c>
      <c r="B310" t="s">
        <v>4106</v>
      </c>
      <c r="C310">
        <v>1166</v>
      </c>
      <c r="D310" t="s">
        <v>4105</v>
      </c>
      <c r="E310" t="s">
        <v>4097</v>
      </c>
      <c r="F310">
        <v>1.0042</v>
      </c>
      <c r="G310">
        <v>1.0028999999999999</v>
      </c>
    </row>
    <row r="311" spans="1:7">
      <c r="A311" t="s">
        <v>671</v>
      </c>
      <c r="B311" t="s">
        <v>4108</v>
      </c>
      <c r="C311">
        <v>66</v>
      </c>
      <c r="D311" t="s">
        <v>4107</v>
      </c>
      <c r="E311" t="s">
        <v>4097</v>
      </c>
      <c r="F311">
        <v>1.0042</v>
      </c>
      <c r="G311">
        <v>1.0028999999999999</v>
      </c>
    </row>
    <row r="312" spans="1:7">
      <c r="A312" t="s">
        <v>3005</v>
      </c>
      <c r="B312" t="s">
        <v>2115</v>
      </c>
      <c r="C312">
        <v>1166</v>
      </c>
      <c r="D312" t="s">
        <v>2114</v>
      </c>
      <c r="E312" t="s">
        <v>2113</v>
      </c>
      <c r="F312">
        <v>1.0028999999999999</v>
      </c>
      <c r="G312">
        <v>1.0029999999999999</v>
      </c>
    </row>
    <row r="313" spans="1:7">
      <c r="A313" t="s">
        <v>3009</v>
      </c>
      <c r="B313" t="s">
        <v>2118</v>
      </c>
      <c r="C313">
        <v>1166</v>
      </c>
      <c r="D313" t="s">
        <v>2117</v>
      </c>
      <c r="E313" t="s">
        <v>2116</v>
      </c>
      <c r="F313">
        <v>0.99980000000000002</v>
      </c>
      <c r="G313">
        <v>0.99919999999999998</v>
      </c>
    </row>
    <row r="314" spans="1:7">
      <c r="A314" t="s">
        <v>3013</v>
      </c>
      <c r="B314" t="s">
        <v>2121</v>
      </c>
      <c r="C314">
        <v>220</v>
      </c>
      <c r="D314" t="s">
        <v>2120</v>
      </c>
      <c r="E314" t="s">
        <v>2119</v>
      </c>
      <c r="F314">
        <v>1</v>
      </c>
      <c r="G314">
        <v>1</v>
      </c>
    </row>
    <row r="315" spans="1:7">
      <c r="A315" t="s">
        <v>225</v>
      </c>
      <c r="B315" t="s">
        <v>2124</v>
      </c>
      <c r="C315">
        <v>220</v>
      </c>
      <c r="D315" t="s">
        <v>2123</v>
      </c>
      <c r="E315" t="s">
        <v>2122</v>
      </c>
      <c r="F315">
        <v>0.9466</v>
      </c>
      <c r="G315">
        <v>0.93959999999999999</v>
      </c>
    </row>
    <row r="316" spans="1:7">
      <c r="A316" t="s">
        <v>232</v>
      </c>
      <c r="B316" t="s">
        <v>4109</v>
      </c>
      <c r="C316">
        <v>110</v>
      </c>
      <c r="D316" t="s">
        <v>2126</v>
      </c>
      <c r="E316" t="s">
        <v>2125</v>
      </c>
      <c r="F316">
        <v>0.99950000000000006</v>
      </c>
      <c r="G316">
        <v>0.99990000000000001</v>
      </c>
    </row>
    <row r="317" spans="1:7">
      <c r="A317" t="s">
        <v>234</v>
      </c>
      <c r="B317" t="s">
        <v>4109</v>
      </c>
      <c r="C317">
        <v>110</v>
      </c>
      <c r="D317" t="s">
        <v>2127</v>
      </c>
      <c r="E317" t="s">
        <v>2125</v>
      </c>
      <c r="F317">
        <v>0.99950000000000006</v>
      </c>
      <c r="G317">
        <v>0.99990000000000001</v>
      </c>
    </row>
    <row r="318" spans="1:7">
      <c r="A318" t="s">
        <v>235</v>
      </c>
      <c r="B318" t="s">
        <v>4109</v>
      </c>
      <c r="C318">
        <v>110</v>
      </c>
      <c r="D318" t="s">
        <v>2128</v>
      </c>
      <c r="E318" t="s">
        <v>2125</v>
      </c>
      <c r="F318">
        <v>0.99950000000000006</v>
      </c>
      <c r="G318">
        <v>0.99990000000000001</v>
      </c>
    </row>
    <row r="319" spans="1:7">
      <c r="A319" t="s">
        <v>758</v>
      </c>
      <c r="B319" t="s">
        <v>2131</v>
      </c>
      <c r="C319">
        <v>110</v>
      </c>
      <c r="D319" t="s">
        <v>2130</v>
      </c>
      <c r="E319" t="s">
        <v>2129</v>
      </c>
      <c r="F319">
        <v>0.89439999999999997</v>
      </c>
      <c r="G319">
        <v>0.89129999999999998</v>
      </c>
    </row>
    <row r="320" spans="1:7">
      <c r="A320" t="s">
        <v>276</v>
      </c>
      <c r="B320" t="s">
        <v>2134</v>
      </c>
      <c r="C320">
        <v>110</v>
      </c>
      <c r="D320" t="s">
        <v>2133</v>
      </c>
      <c r="E320" t="s">
        <v>2132</v>
      </c>
      <c r="F320">
        <v>0.94179999999999997</v>
      </c>
      <c r="G320">
        <v>0.91420000000000001</v>
      </c>
    </row>
    <row r="321" spans="1:7">
      <c r="A321" t="s">
        <v>467</v>
      </c>
      <c r="B321" t="s">
        <v>2137</v>
      </c>
      <c r="C321">
        <v>220</v>
      </c>
      <c r="D321" t="s">
        <v>2136</v>
      </c>
      <c r="E321" t="s">
        <v>2135</v>
      </c>
      <c r="F321">
        <v>0.99150000000000005</v>
      </c>
      <c r="G321">
        <v>0.97019999999999995</v>
      </c>
    </row>
    <row r="322" spans="1:7">
      <c r="A322" t="s">
        <v>304</v>
      </c>
      <c r="B322" t="s">
        <v>2140</v>
      </c>
      <c r="C322">
        <v>220</v>
      </c>
      <c r="D322" t="s">
        <v>2139</v>
      </c>
      <c r="E322" t="s">
        <v>2138</v>
      </c>
      <c r="F322">
        <v>0.96709999999999996</v>
      </c>
      <c r="G322">
        <v>0.95930000000000004</v>
      </c>
    </row>
    <row r="323" spans="1:7">
      <c r="A323" t="s">
        <v>320</v>
      </c>
      <c r="B323" t="s">
        <v>2143</v>
      </c>
      <c r="C323">
        <v>220</v>
      </c>
      <c r="D323" t="s">
        <v>2142</v>
      </c>
      <c r="E323" t="s">
        <v>2141</v>
      </c>
      <c r="F323">
        <v>0.99329999999999996</v>
      </c>
      <c r="G323">
        <v>0.97370000000000001</v>
      </c>
    </row>
    <row r="324" spans="1:7">
      <c r="A324" t="s">
        <v>345</v>
      </c>
      <c r="B324" t="s">
        <v>2146</v>
      </c>
      <c r="C324">
        <v>110</v>
      </c>
      <c r="D324" t="s">
        <v>2145</v>
      </c>
      <c r="E324" t="s">
        <v>2144</v>
      </c>
      <c r="F324">
        <v>0.97189999999999999</v>
      </c>
      <c r="G324">
        <v>0.96389999999999998</v>
      </c>
    </row>
    <row r="325" spans="1:7">
      <c r="A325" t="s">
        <v>366</v>
      </c>
      <c r="B325" t="s">
        <v>2149</v>
      </c>
      <c r="C325">
        <v>220</v>
      </c>
      <c r="D325" t="s">
        <v>2148</v>
      </c>
      <c r="E325" t="s">
        <v>2147</v>
      </c>
      <c r="F325">
        <v>0.97009999999999996</v>
      </c>
      <c r="G325">
        <v>0.96450000000000002</v>
      </c>
    </row>
    <row r="326" spans="1:7">
      <c r="A326" t="s">
        <v>379</v>
      </c>
      <c r="B326" t="s">
        <v>2152</v>
      </c>
      <c r="C326">
        <v>220</v>
      </c>
      <c r="D326" t="s">
        <v>2151</v>
      </c>
      <c r="E326" t="s">
        <v>2150</v>
      </c>
      <c r="F326">
        <v>0.94</v>
      </c>
      <c r="G326">
        <v>0.90459999999999996</v>
      </c>
    </row>
    <row r="327" spans="1:7">
      <c r="A327" t="s">
        <v>427</v>
      </c>
      <c r="B327" t="s">
        <v>2155</v>
      </c>
      <c r="C327">
        <v>220</v>
      </c>
      <c r="D327" t="s">
        <v>2154</v>
      </c>
      <c r="E327" t="s">
        <v>2153</v>
      </c>
      <c r="F327">
        <v>0.93840000000000001</v>
      </c>
      <c r="G327">
        <v>0.9405</v>
      </c>
    </row>
    <row r="328" spans="1:7">
      <c r="A328" t="s">
        <v>469</v>
      </c>
      <c r="B328" t="s">
        <v>2158</v>
      </c>
      <c r="C328">
        <v>110</v>
      </c>
      <c r="D328" t="s">
        <v>2157</v>
      </c>
      <c r="E328" t="s">
        <v>2156</v>
      </c>
      <c r="F328">
        <v>0.93379999999999996</v>
      </c>
      <c r="G328">
        <v>0.90280000000000005</v>
      </c>
    </row>
    <row r="329" spans="1:7">
      <c r="A329" t="s">
        <v>465</v>
      </c>
      <c r="B329" t="s">
        <v>2161</v>
      </c>
      <c r="C329">
        <v>220</v>
      </c>
      <c r="D329" t="s">
        <v>2160</v>
      </c>
      <c r="E329" t="s">
        <v>2159</v>
      </c>
      <c r="F329">
        <v>0.97460000000000002</v>
      </c>
      <c r="G329">
        <v>0.96830000000000005</v>
      </c>
    </row>
    <row r="330" spans="1:7">
      <c r="A330" t="s">
        <v>467</v>
      </c>
      <c r="B330" t="s">
        <v>2162</v>
      </c>
      <c r="C330">
        <v>220</v>
      </c>
      <c r="D330" t="s">
        <v>2136</v>
      </c>
      <c r="E330" t="s">
        <v>2135</v>
      </c>
      <c r="F330">
        <v>0.99150000000000005</v>
      </c>
      <c r="G330">
        <v>0.97019999999999995</v>
      </c>
    </row>
    <row r="331" spans="1:7">
      <c r="A331" t="s">
        <v>497</v>
      </c>
      <c r="B331" t="s">
        <v>2165</v>
      </c>
      <c r="C331">
        <v>110</v>
      </c>
      <c r="D331" t="s">
        <v>2164</v>
      </c>
      <c r="E331" t="s">
        <v>2163</v>
      </c>
      <c r="F331">
        <v>0.93810000000000004</v>
      </c>
      <c r="G331">
        <v>0.92959999999999998</v>
      </c>
    </row>
    <row r="332" spans="1:7">
      <c r="A332" t="s">
        <v>505</v>
      </c>
      <c r="B332" t="s">
        <v>2168</v>
      </c>
      <c r="C332">
        <v>110</v>
      </c>
      <c r="D332" t="s">
        <v>2167</v>
      </c>
      <c r="E332" t="s">
        <v>2166</v>
      </c>
      <c r="F332">
        <v>0.97370000000000001</v>
      </c>
      <c r="G332">
        <v>0.96440000000000003</v>
      </c>
    </row>
    <row r="333" spans="1:7">
      <c r="A333" t="s">
        <v>543</v>
      </c>
      <c r="B333" t="s">
        <v>2171</v>
      </c>
      <c r="C333">
        <v>110</v>
      </c>
      <c r="D333" t="s">
        <v>2170</v>
      </c>
      <c r="E333" t="s">
        <v>2169</v>
      </c>
      <c r="F333">
        <v>0.90390000000000004</v>
      </c>
      <c r="G333">
        <v>0.89570000000000005</v>
      </c>
    </row>
    <row r="334" spans="1:7">
      <c r="A334" t="s">
        <v>563</v>
      </c>
      <c r="B334" t="s">
        <v>2174</v>
      </c>
      <c r="C334">
        <v>110</v>
      </c>
      <c r="D334" t="s">
        <v>2173</v>
      </c>
      <c r="E334" t="s">
        <v>2172</v>
      </c>
      <c r="F334">
        <v>0.98299999999999998</v>
      </c>
      <c r="G334">
        <v>0.9657</v>
      </c>
    </row>
    <row r="335" spans="1:7">
      <c r="A335" t="s">
        <v>573</v>
      </c>
      <c r="B335" t="s">
        <v>2177</v>
      </c>
      <c r="C335">
        <v>220</v>
      </c>
      <c r="D335" t="s">
        <v>2176</v>
      </c>
      <c r="E335" t="s">
        <v>2175</v>
      </c>
      <c r="F335">
        <v>0.97250000000000003</v>
      </c>
      <c r="G335">
        <v>0.96809999999999996</v>
      </c>
    </row>
    <row r="336" spans="1:7">
      <c r="A336" t="s">
        <v>571</v>
      </c>
      <c r="B336" t="s">
        <v>2177</v>
      </c>
      <c r="C336">
        <v>110</v>
      </c>
      <c r="D336" t="s">
        <v>2179</v>
      </c>
      <c r="E336" t="s">
        <v>2178</v>
      </c>
      <c r="F336">
        <v>0.96299999999999997</v>
      </c>
      <c r="G336">
        <v>0.95709999999999995</v>
      </c>
    </row>
    <row r="337" spans="1:7">
      <c r="A337" t="s">
        <v>598</v>
      </c>
      <c r="B337" t="s">
        <v>2182</v>
      </c>
      <c r="C337">
        <v>220</v>
      </c>
      <c r="D337" t="s">
        <v>2181</v>
      </c>
      <c r="E337" t="s">
        <v>2180</v>
      </c>
      <c r="F337">
        <v>0.9425</v>
      </c>
      <c r="G337">
        <v>0.93149999999999999</v>
      </c>
    </row>
    <row r="338" spans="1:7">
      <c r="A338" t="s">
        <v>600</v>
      </c>
      <c r="B338" t="s">
        <v>2185</v>
      </c>
      <c r="C338">
        <v>220</v>
      </c>
      <c r="D338" t="s">
        <v>2184</v>
      </c>
      <c r="E338" t="s">
        <v>2183</v>
      </c>
      <c r="F338">
        <v>0.94259999999999999</v>
      </c>
      <c r="G338">
        <v>0.93189999999999995</v>
      </c>
    </row>
    <row r="339" spans="1:7">
      <c r="A339" t="s">
        <v>603</v>
      </c>
      <c r="B339" t="s">
        <v>2187</v>
      </c>
      <c r="C339">
        <v>220</v>
      </c>
      <c r="D339" t="s">
        <v>2186</v>
      </c>
      <c r="E339" t="s">
        <v>2141</v>
      </c>
      <c r="F339">
        <v>0.99329999999999996</v>
      </c>
      <c r="G339">
        <v>0.97370000000000001</v>
      </c>
    </row>
    <row r="340" spans="1:7">
      <c r="A340" t="s">
        <v>610</v>
      </c>
      <c r="B340" t="s">
        <v>2189</v>
      </c>
      <c r="C340">
        <v>220</v>
      </c>
      <c r="D340" t="s">
        <v>2188</v>
      </c>
      <c r="E340" t="s">
        <v>2147</v>
      </c>
      <c r="F340">
        <v>0.97009999999999996</v>
      </c>
      <c r="G340">
        <v>0.96450000000000002</v>
      </c>
    </row>
    <row r="341" spans="1:7">
      <c r="A341" t="s">
        <v>699</v>
      </c>
      <c r="B341" t="s">
        <v>2192</v>
      </c>
      <c r="C341">
        <v>220</v>
      </c>
      <c r="D341" t="s">
        <v>2191</v>
      </c>
      <c r="E341" t="s">
        <v>2190</v>
      </c>
      <c r="F341">
        <v>0.99960000000000004</v>
      </c>
      <c r="G341">
        <v>0.999</v>
      </c>
    </row>
    <row r="342" spans="1:7">
      <c r="A342" t="s">
        <v>701</v>
      </c>
      <c r="B342" t="s">
        <v>2194</v>
      </c>
      <c r="C342">
        <v>110</v>
      </c>
      <c r="D342" t="s">
        <v>2193</v>
      </c>
      <c r="E342" t="s">
        <v>2125</v>
      </c>
      <c r="F342">
        <v>0.99950000000000006</v>
      </c>
      <c r="G342">
        <v>0.99990000000000001</v>
      </c>
    </row>
    <row r="343" spans="1:7">
      <c r="A343" t="s">
        <v>663</v>
      </c>
      <c r="B343" t="s">
        <v>2197</v>
      </c>
      <c r="C343">
        <v>110</v>
      </c>
      <c r="D343" t="s">
        <v>2196</v>
      </c>
      <c r="E343" t="s">
        <v>2195</v>
      </c>
      <c r="F343">
        <v>0.94320000000000004</v>
      </c>
      <c r="G343">
        <v>0.91949999999999998</v>
      </c>
    </row>
    <row r="344" spans="1:7">
      <c r="A344" t="s">
        <v>692</v>
      </c>
      <c r="B344" t="s">
        <v>2200</v>
      </c>
      <c r="C344">
        <v>110</v>
      </c>
      <c r="D344" t="s">
        <v>2199</v>
      </c>
      <c r="E344" t="s">
        <v>2198</v>
      </c>
      <c r="F344">
        <v>0.98570000000000002</v>
      </c>
      <c r="G344">
        <v>0.97450000000000003</v>
      </c>
    </row>
    <row r="345" spans="1:7">
      <c r="A345" t="s">
        <v>694</v>
      </c>
      <c r="B345" t="s">
        <v>2203</v>
      </c>
      <c r="C345">
        <v>220</v>
      </c>
      <c r="D345" t="s">
        <v>2202</v>
      </c>
      <c r="E345" t="s">
        <v>2201</v>
      </c>
      <c r="F345">
        <v>0.94210000000000005</v>
      </c>
      <c r="G345">
        <v>0.93389999999999995</v>
      </c>
    </row>
    <row r="346" spans="1:7">
      <c r="A346" t="s">
        <v>697</v>
      </c>
      <c r="B346" t="s">
        <v>2206</v>
      </c>
      <c r="C346">
        <v>110</v>
      </c>
      <c r="D346" t="s">
        <v>2205</v>
      </c>
      <c r="E346" t="s">
        <v>2204</v>
      </c>
      <c r="F346">
        <v>0.94040000000000001</v>
      </c>
      <c r="G346">
        <v>0.91220000000000001</v>
      </c>
    </row>
    <row r="347" spans="1:7">
      <c r="A347" t="s">
        <v>467</v>
      </c>
      <c r="B347" t="s">
        <v>2207</v>
      </c>
      <c r="C347">
        <v>220</v>
      </c>
      <c r="D347" t="s">
        <v>2136</v>
      </c>
      <c r="E347" t="s">
        <v>2135</v>
      </c>
      <c r="F347">
        <v>0.99150000000000005</v>
      </c>
      <c r="G347">
        <v>0.97019999999999995</v>
      </c>
    </row>
    <row r="348" spans="1:7">
      <c r="A348" t="s">
        <v>465</v>
      </c>
      <c r="B348" t="s">
        <v>2208</v>
      </c>
      <c r="C348">
        <v>220</v>
      </c>
      <c r="D348" t="s">
        <v>2160</v>
      </c>
      <c r="E348" t="s">
        <v>2159</v>
      </c>
      <c r="F348">
        <v>0.97460000000000002</v>
      </c>
      <c r="G348">
        <v>0.96830000000000005</v>
      </c>
    </row>
    <row r="349" spans="1:7">
      <c r="A349" t="s">
        <v>509</v>
      </c>
      <c r="B349" t="s">
        <v>2211</v>
      </c>
      <c r="C349">
        <v>22</v>
      </c>
      <c r="D349" t="s">
        <v>2210</v>
      </c>
      <c r="E349" t="s">
        <v>2209</v>
      </c>
      <c r="F349">
        <v>1.0166999999999999</v>
      </c>
      <c r="G349">
        <v>0.99399999999999999</v>
      </c>
    </row>
    <row r="350" spans="1:7">
      <c r="A350" t="s">
        <v>601</v>
      </c>
      <c r="B350" t="s">
        <v>2215</v>
      </c>
      <c r="C350">
        <v>22</v>
      </c>
      <c r="D350" t="s">
        <v>2213</v>
      </c>
      <c r="E350" t="s">
        <v>2212</v>
      </c>
      <c r="F350">
        <v>0.99039999999999995</v>
      </c>
      <c r="G350">
        <v>0.98109999999999997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1"/>
  </sheetPr>
  <dimension ref="A1:G354"/>
  <sheetViews>
    <sheetView workbookViewId="0">
      <selection sqref="A1:G1"/>
    </sheetView>
  </sheetViews>
  <sheetFormatPr baseColWidth="10" defaultRowHeight="15" x14ac:dyDescent="0"/>
  <sheetData>
    <row r="1" spans="1:7">
      <c r="A1" t="s">
        <v>1459</v>
      </c>
      <c r="B1" t="s">
        <v>1457</v>
      </c>
      <c r="C1" t="s">
        <v>1458</v>
      </c>
      <c r="D1" t="s">
        <v>1588</v>
      </c>
      <c r="E1" t="s">
        <v>1460</v>
      </c>
      <c r="F1" t="s">
        <v>3905</v>
      </c>
      <c r="G1" t="s">
        <v>3906</v>
      </c>
    </row>
    <row r="2" spans="1:7">
      <c r="A2" t="s">
        <v>221</v>
      </c>
      <c r="B2" t="s">
        <v>3907</v>
      </c>
      <c r="C2">
        <v>132</v>
      </c>
      <c r="D2" t="s">
        <v>1298</v>
      </c>
      <c r="E2" t="s">
        <v>2223</v>
      </c>
      <c r="F2">
        <v>1.0238</v>
      </c>
      <c r="G2">
        <v>1.0529999999999999</v>
      </c>
    </row>
    <row r="3" spans="1:7">
      <c r="A3" t="s">
        <v>224</v>
      </c>
      <c r="B3" t="s">
        <v>2224</v>
      </c>
      <c r="C3">
        <v>132</v>
      </c>
      <c r="D3" t="s">
        <v>1301</v>
      </c>
      <c r="E3" t="s">
        <v>2223</v>
      </c>
      <c r="F3">
        <v>1.0238</v>
      </c>
      <c r="G3">
        <v>1.0529999999999999</v>
      </c>
    </row>
    <row r="4" spans="1:7">
      <c r="A4" t="s">
        <v>255</v>
      </c>
      <c r="B4" t="s">
        <v>2225</v>
      </c>
      <c r="C4">
        <v>275</v>
      </c>
      <c r="D4" t="s">
        <v>1379</v>
      </c>
      <c r="E4" t="s">
        <v>2226</v>
      </c>
      <c r="F4">
        <v>0.9607</v>
      </c>
      <c r="G4">
        <v>0.95489999999999997</v>
      </c>
    </row>
    <row r="5" spans="1:7">
      <c r="A5" t="s">
        <v>258</v>
      </c>
      <c r="B5" t="s">
        <v>2227</v>
      </c>
      <c r="C5">
        <v>275</v>
      </c>
      <c r="D5" t="s">
        <v>1382</v>
      </c>
      <c r="E5" t="s">
        <v>2226</v>
      </c>
      <c r="F5">
        <v>0.9607</v>
      </c>
      <c r="G5">
        <v>0.95489999999999997</v>
      </c>
    </row>
    <row r="6" spans="1:7">
      <c r="A6" t="s">
        <v>259</v>
      </c>
      <c r="B6" t="s">
        <v>2228</v>
      </c>
      <c r="C6">
        <v>275</v>
      </c>
      <c r="D6" t="s">
        <v>1383</v>
      </c>
      <c r="E6" t="s">
        <v>2226</v>
      </c>
      <c r="F6">
        <v>0.9607</v>
      </c>
      <c r="G6">
        <v>0.95489999999999997</v>
      </c>
    </row>
    <row r="7" spans="1:7">
      <c r="A7" t="s">
        <v>260</v>
      </c>
      <c r="B7" t="s">
        <v>2229</v>
      </c>
      <c r="C7">
        <v>275</v>
      </c>
      <c r="D7" t="s">
        <v>1386</v>
      </c>
      <c r="E7" t="s">
        <v>2226</v>
      </c>
      <c r="F7">
        <v>0.9607</v>
      </c>
      <c r="G7">
        <v>0.95489999999999997</v>
      </c>
    </row>
    <row r="8" spans="1:7">
      <c r="A8" t="s">
        <v>262</v>
      </c>
      <c r="B8" t="s">
        <v>2230</v>
      </c>
      <c r="C8">
        <v>275</v>
      </c>
      <c r="D8" t="s">
        <v>1387</v>
      </c>
      <c r="E8" t="s">
        <v>2226</v>
      </c>
      <c r="F8">
        <v>0.9607</v>
      </c>
      <c r="G8">
        <v>0.95489999999999997</v>
      </c>
    </row>
    <row r="9" spans="1:7">
      <c r="A9" t="s">
        <v>263</v>
      </c>
      <c r="B9" t="s">
        <v>2231</v>
      </c>
      <c r="C9">
        <v>275</v>
      </c>
      <c r="D9" t="s">
        <v>1388</v>
      </c>
      <c r="E9" t="s">
        <v>2226</v>
      </c>
      <c r="F9">
        <v>0.9607</v>
      </c>
      <c r="G9">
        <v>0.95489999999999997</v>
      </c>
    </row>
    <row r="10" spans="1:7">
      <c r="A10" t="s">
        <v>2232</v>
      </c>
      <c r="B10" t="s">
        <v>3908</v>
      </c>
      <c r="C10">
        <v>132</v>
      </c>
      <c r="D10" t="s">
        <v>2233</v>
      </c>
      <c r="E10" t="s">
        <v>2233</v>
      </c>
      <c r="F10">
        <v>0.91459999999999997</v>
      </c>
      <c r="G10">
        <v>0.93440000000000001</v>
      </c>
    </row>
    <row r="11" spans="1:7">
      <c r="A11" t="s">
        <v>288</v>
      </c>
      <c r="B11" t="s">
        <v>2234</v>
      </c>
      <c r="C11">
        <v>132</v>
      </c>
      <c r="D11" t="s">
        <v>1349</v>
      </c>
      <c r="E11" t="s">
        <v>2235</v>
      </c>
      <c r="F11">
        <v>0.91610000000000003</v>
      </c>
      <c r="G11">
        <v>0.92679999999999996</v>
      </c>
    </row>
    <row r="12" spans="1:7">
      <c r="A12" t="s">
        <v>1346</v>
      </c>
      <c r="B12" t="s">
        <v>2236</v>
      </c>
      <c r="C12">
        <v>132</v>
      </c>
      <c r="D12" t="s">
        <v>1347</v>
      </c>
      <c r="E12" t="s">
        <v>2235</v>
      </c>
      <c r="F12">
        <v>0.91610000000000003</v>
      </c>
      <c r="G12">
        <v>0.92679999999999996</v>
      </c>
    </row>
    <row r="13" spans="1:7">
      <c r="A13" t="s">
        <v>290</v>
      </c>
      <c r="B13" t="s">
        <v>2237</v>
      </c>
      <c r="C13">
        <v>275</v>
      </c>
      <c r="D13" t="s">
        <v>1350</v>
      </c>
      <c r="E13" t="s">
        <v>2238</v>
      </c>
      <c r="F13">
        <v>0.92349999999999999</v>
      </c>
      <c r="G13">
        <v>0.9456</v>
      </c>
    </row>
    <row r="14" spans="1:7">
      <c r="A14" t="s">
        <v>292</v>
      </c>
      <c r="B14" t="s">
        <v>2239</v>
      </c>
      <c r="C14">
        <v>275</v>
      </c>
      <c r="D14" t="s">
        <v>1351</v>
      </c>
      <c r="E14" t="s">
        <v>2238</v>
      </c>
      <c r="F14">
        <v>0.92349999999999999</v>
      </c>
      <c r="G14">
        <v>0.9456</v>
      </c>
    </row>
    <row r="15" spans="1:7">
      <c r="A15" t="s">
        <v>332</v>
      </c>
      <c r="B15" t="s">
        <v>2240</v>
      </c>
      <c r="C15">
        <v>275</v>
      </c>
      <c r="D15" t="s">
        <v>1355</v>
      </c>
      <c r="E15" t="s">
        <v>2241</v>
      </c>
      <c r="F15">
        <v>0.92110000000000003</v>
      </c>
      <c r="G15">
        <v>0.94099999999999995</v>
      </c>
    </row>
    <row r="16" spans="1:7">
      <c r="A16" t="s">
        <v>335</v>
      </c>
      <c r="B16" t="s">
        <v>2242</v>
      </c>
      <c r="C16">
        <v>275</v>
      </c>
      <c r="D16" t="s">
        <v>1357</v>
      </c>
      <c r="E16" t="s">
        <v>2241</v>
      </c>
      <c r="F16">
        <v>0.92110000000000003</v>
      </c>
      <c r="G16">
        <v>0.94099999999999995</v>
      </c>
    </row>
    <row r="17" spans="1:7">
      <c r="A17" t="s">
        <v>336</v>
      </c>
      <c r="B17" t="s">
        <v>3909</v>
      </c>
      <c r="C17">
        <v>132</v>
      </c>
      <c r="D17" t="s">
        <v>1363</v>
      </c>
      <c r="E17" t="s">
        <v>2253</v>
      </c>
      <c r="F17">
        <v>0.96879999999999999</v>
      </c>
      <c r="G17">
        <v>0.96850000000000003</v>
      </c>
    </row>
    <row r="18" spans="1:7">
      <c r="A18" t="s">
        <v>344</v>
      </c>
      <c r="B18" t="s">
        <v>2254</v>
      </c>
      <c r="C18">
        <v>275</v>
      </c>
      <c r="D18" t="s">
        <v>1389</v>
      </c>
      <c r="E18" t="s">
        <v>2226</v>
      </c>
      <c r="F18">
        <v>0.9607</v>
      </c>
      <c r="G18">
        <v>0.95489999999999997</v>
      </c>
    </row>
    <row r="19" spans="1:7">
      <c r="A19" t="s">
        <v>386</v>
      </c>
      <c r="B19" t="s">
        <v>2261</v>
      </c>
      <c r="C19">
        <v>132</v>
      </c>
      <c r="D19" t="s">
        <v>1341</v>
      </c>
      <c r="E19" t="s">
        <v>2262</v>
      </c>
      <c r="F19">
        <v>0.94020000000000004</v>
      </c>
      <c r="G19">
        <v>0.96030000000000004</v>
      </c>
    </row>
    <row r="20" spans="1:7">
      <c r="A20" t="s">
        <v>387</v>
      </c>
      <c r="B20" t="s">
        <v>2263</v>
      </c>
      <c r="C20">
        <v>132</v>
      </c>
      <c r="D20" t="s">
        <v>1342</v>
      </c>
      <c r="E20" t="s">
        <v>2262</v>
      </c>
      <c r="F20">
        <v>0.94020000000000004</v>
      </c>
      <c r="G20">
        <v>0.96030000000000004</v>
      </c>
    </row>
    <row r="21" spans="1:7">
      <c r="A21" t="s">
        <v>2265</v>
      </c>
      <c r="B21" t="s">
        <v>2264</v>
      </c>
      <c r="C21">
        <v>132</v>
      </c>
      <c r="D21" t="s">
        <v>2262</v>
      </c>
      <c r="E21" t="s">
        <v>2262</v>
      </c>
      <c r="F21">
        <v>0.94020000000000004</v>
      </c>
      <c r="G21">
        <v>0.96030000000000004</v>
      </c>
    </row>
    <row r="22" spans="1:7">
      <c r="A22" t="s">
        <v>383</v>
      </c>
      <c r="B22" t="s">
        <v>2266</v>
      </c>
      <c r="C22">
        <v>275</v>
      </c>
      <c r="D22" t="s">
        <v>1338</v>
      </c>
      <c r="E22" t="s">
        <v>2267</v>
      </c>
      <c r="F22">
        <v>0.94310000000000005</v>
      </c>
      <c r="G22">
        <v>0.96619999999999995</v>
      </c>
    </row>
    <row r="23" spans="1:7">
      <c r="A23" t="s">
        <v>385</v>
      </c>
      <c r="B23" t="s">
        <v>2268</v>
      </c>
      <c r="C23">
        <v>275</v>
      </c>
      <c r="D23" t="s">
        <v>1340</v>
      </c>
      <c r="E23" t="s">
        <v>2267</v>
      </c>
      <c r="F23">
        <v>0.94310000000000005</v>
      </c>
      <c r="G23">
        <v>0.96619999999999995</v>
      </c>
    </row>
    <row r="24" spans="1:7">
      <c r="A24" t="s">
        <v>388</v>
      </c>
      <c r="B24" t="s">
        <v>2269</v>
      </c>
      <c r="C24">
        <v>275</v>
      </c>
      <c r="D24" t="s">
        <v>1343</v>
      </c>
      <c r="E24" t="s">
        <v>2267</v>
      </c>
      <c r="F24">
        <v>0.94310000000000005</v>
      </c>
      <c r="G24">
        <v>0.96619999999999995</v>
      </c>
    </row>
    <row r="25" spans="1:7">
      <c r="A25" t="s">
        <v>389</v>
      </c>
      <c r="B25" t="s">
        <v>2270</v>
      </c>
      <c r="C25">
        <v>275</v>
      </c>
      <c r="D25" t="s">
        <v>1344</v>
      </c>
      <c r="E25" t="s">
        <v>2267</v>
      </c>
      <c r="F25">
        <v>0.94310000000000005</v>
      </c>
      <c r="G25">
        <v>0.96619999999999995</v>
      </c>
    </row>
    <row r="26" spans="1:7">
      <c r="A26" t="s">
        <v>2379</v>
      </c>
      <c r="B26" t="s">
        <v>3910</v>
      </c>
      <c r="C26">
        <v>66</v>
      </c>
      <c r="D26" t="s">
        <v>2380</v>
      </c>
      <c r="E26" t="s">
        <v>2377</v>
      </c>
      <c r="F26">
        <v>1.0251999999999999</v>
      </c>
      <c r="G26" t="s">
        <v>3911</v>
      </c>
    </row>
    <row r="27" spans="1:7">
      <c r="A27" t="s">
        <v>2375</v>
      </c>
      <c r="B27" t="s">
        <v>3912</v>
      </c>
      <c r="C27">
        <v>66</v>
      </c>
      <c r="D27" t="s">
        <v>2376</v>
      </c>
      <c r="E27" t="s">
        <v>2377</v>
      </c>
      <c r="F27">
        <v>1.0251999999999999</v>
      </c>
      <c r="G27" t="s">
        <v>3911</v>
      </c>
    </row>
    <row r="28" spans="1:7">
      <c r="A28" t="s">
        <v>442</v>
      </c>
      <c r="B28" t="s">
        <v>2282</v>
      </c>
      <c r="C28">
        <v>132</v>
      </c>
      <c r="D28" t="s">
        <v>1303</v>
      </c>
      <c r="E28" t="s">
        <v>2283</v>
      </c>
      <c r="F28">
        <v>1.0181</v>
      </c>
      <c r="G28">
        <v>1.0495000000000001</v>
      </c>
    </row>
    <row r="29" spans="1:7">
      <c r="A29" t="s">
        <v>444</v>
      </c>
      <c r="B29" t="s">
        <v>2284</v>
      </c>
      <c r="C29">
        <v>132</v>
      </c>
      <c r="D29" t="s">
        <v>1305</v>
      </c>
      <c r="E29" t="s">
        <v>2283</v>
      </c>
      <c r="F29">
        <v>1.0181</v>
      </c>
      <c r="G29">
        <v>1.0495000000000001</v>
      </c>
    </row>
    <row r="30" spans="1:7">
      <c r="A30" t="s">
        <v>445</v>
      </c>
      <c r="B30" t="s">
        <v>2285</v>
      </c>
      <c r="C30">
        <v>132</v>
      </c>
      <c r="D30" t="s">
        <v>1306</v>
      </c>
      <c r="E30" t="s">
        <v>2283</v>
      </c>
      <c r="F30">
        <v>1.0181</v>
      </c>
      <c r="G30">
        <v>1.0495000000000001</v>
      </c>
    </row>
    <row r="31" spans="1:7">
      <c r="A31" t="s">
        <v>446</v>
      </c>
      <c r="B31" t="s">
        <v>2286</v>
      </c>
      <c r="C31">
        <v>132</v>
      </c>
      <c r="D31" t="s">
        <v>1307</v>
      </c>
      <c r="E31" t="s">
        <v>2283</v>
      </c>
      <c r="F31">
        <v>1.0181</v>
      </c>
      <c r="G31">
        <v>1.0495000000000001</v>
      </c>
    </row>
    <row r="32" spans="1:7">
      <c r="A32" t="s">
        <v>453</v>
      </c>
      <c r="B32" t="s">
        <v>2290</v>
      </c>
      <c r="C32">
        <v>275</v>
      </c>
      <c r="D32" t="s">
        <v>1375</v>
      </c>
      <c r="E32" t="s">
        <v>2291</v>
      </c>
      <c r="F32">
        <v>0.96350000000000002</v>
      </c>
      <c r="G32">
        <v>0.95879999999999999</v>
      </c>
    </row>
    <row r="33" spans="1:7">
      <c r="A33" t="s">
        <v>447</v>
      </c>
      <c r="B33" t="s">
        <v>2292</v>
      </c>
      <c r="C33">
        <v>132</v>
      </c>
      <c r="D33" t="s">
        <v>2293</v>
      </c>
      <c r="E33" t="s">
        <v>2283</v>
      </c>
      <c r="F33">
        <v>1.0181</v>
      </c>
      <c r="G33">
        <v>1.0495000000000001</v>
      </c>
    </row>
    <row r="34" spans="1:7">
      <c r="A34" t="s">
        <v>532</v>
      </c>
      <c r="B34" t="s">
        <v>2298</v>
      </c>
      <c r="C34">
        <v>330</v>
      </c>
      <c r="D34" t="s">
        <v>1408</v>
      </c>
      <c r="E34" t="s">
        <v>2300</v>
      </c>
      <c r="F34">
        <v>0.97370000000000001</v>
      </c>
      <c r="G34">
        <v>0.96419999999999995</v>
      </c>
    </row>
    <row r="35" spans="1:7">
      <c r="A35" t="s">
        <v>534</v>
      </c>
      <c r="B35" t="s">
        <v>2301</v>
      </c>
      <c r="C35">
        <v>330</v>
      </c>
      <c r="D35" t="s">
        <v>1410</v>
      </c>
      <c r="E35" t="s">
        <v>2300</v>
      </c>
      <c r="F35">
        <v>0.97370000000000001</v>
      </c>
      <c r="G35">
        <v>0.96419999999999995</v>
      </c>
    </row>
    <row r="36" spans="1:7">
      <c r="A36" t="s">
        <v>535</v>
      </c>
      <c r="B36" t="s">
        <v>2306</v>
      </c>
      <c r="C36">
        <v>132</v>
      </c>
      <c r="D36" t="s">
        <v>1312</v>
      </c>
      <c r="E36" t="s">
        <v>2307</v>
      </c>
      <c r="F36">
        <v>0.99639999999999995</v>
      </c>
      <c r="G36">
        <v>0.98340000000000005</v>
      </c>
    </row>
    <row r="37" spans="1:7">
      <c r="A37" t="s">
        <v>537</v>
      </c>
      <c r="B37" t="s">
        <v>2308</v>
      </c>
      <c r="C37">
        <v>132</v>
      </c>
      <c r="D37" t="s">
        <v>1314</v>
      </c>
      <c r="E37" t="s">
        <v>2307</v>
      </c>
      <c r="F37">
        <v>0.99639999999999995</v>
      </c>
      <c r="G37">
        <v>0.98340000000000005</v>
      </c>
    </row>
    <row r="38" spans="1:7">
      <c r="A38" t="s">
        <v>538</v>
      </c>
      <c r="B38" t="s">
        <v>2309</v>
      </c>
      <c r="C38">
        <v>132</v>
      </c>
      <c r="D38" t="s">
        <v>1315</v>
      </c>
      <c r="E38" t="s">
        <v>2307</v>
      </c>
      <c r="F38">
        <v>0.99639999999999995</v>
      </c>
      <c r="G38">
        <v>0.98340000000000005</v>
      </c>
    </row>
    <row r="39" spans="1:7">
      <c r="A39" t="s">
        <v>556</v>
      </c>
      <c r="B39" t="s">
        <v>2310</v>
      </c>
      <c r="C39">
        <v>110</v>
      </c>
      <c r="D39" t="s">
        <v>1395</v>
      </c>
      <c r="E39" t="s">
        <v>2312</v>
      </c>
      <c r="F39">
        <v>0.9667</v>
      </c>
      <c r="G39">
        <v>0.94199999999999995</v>
      </c>
    </row>
    <row r="40" spans="1:7">
      <c r="A40" t="s">
        <v>558</v>
      </c>
      <c r="B40" t="s">
        <v>2313</v>
      </c>
      <c r="C40">
        <v>110</v>
      </c>
      <c r="D40" t="s">
        <v>1397</v>
      </c>
      <c r="E40" t="s">
        <v>2312</v>
      </c>
      <c r="F40">
        <v>0.9667</v>
      </c>
      <c r="G40">
        <v>0.94199999999999995</v>
      </c>
    </row>
    <row r="41" spans="1:7">
      <c r="A41" t="s">
        <v>2318</v>
      </c>
      <c r="B41" t="s">
        <v>2317</v>
      </c>
      <c r="C41">
        <v>132</v>
      </c>
      <c r="D41" t="s">
        <v>2319</v>
      </c>
      <c r="E41" t="s">
        <v>2319</v>
      </c>
      <c r="F41">
        <v>0.93659999999999999</v>
      </c>
      <c r="G41">
        <v>0.96179999999999999</v>
      </c>
    </row>
    <row r="42" spans="1:7">
      <c r="A42" t="s">
        <v>636</v>
      </c>
      <c r="B42" t="s">
        <v>2320</v>
      </c>
      <c r="C42">
        <v>275</v>
      </c>
      <c r="D42" t="s">
        <v>1327</v>
      </c>
      <c r="E42" t="s">
        <v>2321</v>
      </c>
      <c r="F42">
        <v>0.93289999999999995</v>
      </c>
      <c r="G42">
        <v>0.95609999999999995</v>
      </c>
    </row>
    <row r="43" spans="1:7">
      <c r="A43" t="s">
        <v>638</v>
      </c>
      <c r="B43" t="s">
        <v>2322</v>
      </c>
      <c r="C43">
        <v>275</v>
      </c>
      <c r="D43" t="s">
        <v>1329</v>
      </c>
      <c r="E43" t="s">
        <v>2321</v>
      </c>
      <c r="F43">
        <v>0.93289999999999995</v>
      </c>
      <c r="G43">
        <v>0.95609999999999995</v>
      </c>
    </row>
    <row r="44" spans="1:7">
      <c r="A44" t="s">
        <v>639</v>
      </c>
      <c r="B44" t="s">
        <v>2323</v>
      </c>
      <c r="C44">
        <v>275</v>
      </c>
      <c r="D44" t="s">
        <v>1330</v>
      </c>
      <c r="E44" t="s">
        <v>2321</v>
      </c>
      <c r="F44">
        <v>0.93289999999999995</v>
      </c>
      <c r="G44">
        <v>0.95609999999999995</v>
      </c>
    </row>
    <row r="45" spans="1:7">
      <c r="A45" t="s">
        <v>640</v>
      </c>
      <c r="B45" t="s">
        <v>2324</v>
      </c>
      <c r="C45">
        <v>275</v>
      </c>
      <c r="D45" t="s">
        <v>1331</v>
      </c>
      <c r="E45" t="s">
        <v>2321</v>
      </c>
      <c r="F45">
        <v>0.93289999999999995</v>
      </c>
      <c r="G45">
        <v>0.95609999999999995</v>
      </c>
    </row>
    <row r="46" spans="1:7">
      <c r="A46" t="s">
        <v>2326</v>
      </c>
      <c r="B46" t="s">
        <v>3913</v>
      </c>
      <c r="C46">
        <v>110</v>
      </c>
      <c r="D46" t="s">
        <v>2327</v>
      </c>
      <c r="E46" t="s">
        <v>2328</v>
      </c>
      <c r="F46">
        <v>1.0112000000000001</v>
      </c>
      <c r="G46" t="s">
        <v>3911</v>
      </c>
    </row>
    <row r="47" spans="1:7">
      <c r="A47" t="s">
        <v>652</v>
      </c>
      <c r="B47" t="s">
        <v>2333</v>
      </c>
      <c r="C47">
        <v>275</v>
      </c>
      <c r="D47" t="s">
        <v>1404</v>
      </c>
      <c r="E47" t="s">
        <v>1404</v>
      </c>
      <c r="F47">
        <v>1.0019</v>
      </c>
      <c r="G47">
        <v>0.99839999999999995</v>
      </c>
    </row>
    <row r="48" spans="1:7">
      <c r="A48" t="s">
        <v>679</v>
      </c>
      <c r="B48" t="s">
        <v>2334</v>
      </c>
      <c r="C48">
        <v>275</v>
      </c>
      <c r="D48" t="s">
        <v>1366</v>
      </c>
      <c r="E48" t="s">
        <v>1366</v>
      </c>
      <c r="F48">
        <v>0.97130000000000005</v>
      </c>
      <c r="G48">
        <v>0.96779999999999999</v>
      </c>
    </row>
    <row r="49" spans="1:7">
      <c r="A49" t="s">
        <v>658</v>
      </c>
      <c r="B49" t="s">
        <v>2335</v>
      </c>
      <c r="C49">
        <v>275</v>
      </c>
      <c r="D49" t="s">
        <v>1369</v>
      </c>
      <c r="E49" t="s">
        <v>2336</v>
      </c>
      <c r="F49">
        <v>0.97119999999999995</v>
      </c>
      <c r="G49">
        <v>0.96860000000000002</v>
      </c>
    </row>
    <row r="50" spans="1:7">
      <c r="A50" t="s">
        <v>660</v>
      </c>
      <c r="B50" t="s">
        <v>2337</v>
      </c>
      <c r="C50">
        <v>275</v>
      </c>
      <c r="D50" t="s">
        <v>1371</v>
      </c>
      <c r="E50" t="s">
        <v>2336</v>
      </c>
      <c r="F50">
        <v>0.97119999999999995</v>
      </c>
      <c r="G50">
        <v>0.96860000000000002</v>
      </c>
    </row>
    <row r="51" spans="1:7">
      <c r="A51" t="s">
        <v>661</v>
      </c>
      <c r="B51" t="s">
        <v>2338</v>
      </c>
      <c r="C51">
        <v>275</v>
      </c>
      <c r="D51" t="s">
        <v>1372</v>
      </c>
      <c r="E51" t="s">
        <v>2336</v>
      </c>
      <c r="F51">
        <v>0.97119999999999995</v>
      </c>
      <c r="G51">
        <v>0.96860000000000002</v>
      </c>
    </row>
    <row r="52" spans="1:7">
      <c r="A52" t="s">
        <v>662</v>
      </c>
      <c r="B52" t="s">
        <v>2339</v>
      </c>
      <c r="C52">
        <v>275</v>
      </c>
      <c r="D52" t="s">
        <v>1373</v>
      </c>
      <c r="E52" t="s">
        <v>2336</v>
      </c>
      <c r="F52">
        <v>0.97119999999999995</v>
      </c>
      <c r="G52">
        <v>0.96860000000000002</v>
      </c>
    </row>
    <row r="53" spans="1:7">
      <c r="A53" t="s">
        <v>721</v>
      </c>
      <c r="B53" t="s">
        <v>2344</v>
      </c>
      <c r="C53">
        <v>275</v>
      </c>
      <c r="D53" t="s">
        <v>1399</v>
      </c>
      <c r="E53" t="s">
        <v>2345</v>
      </c>
      <c r="F53">
        <v>0.99350000000000005</v>
      </c>
      <c r="G53">
        <v>0.99019999999999997</v>
      </c>
    </row>
    <row r="54" spans="1:7">
      <c r="A54" t="s">
        <v>724</v>
      </c>
      <c r="B54" t="s">
        <v>2346</v>
      </c>
      <c r="C54">
        <v>275</v>
      </c>
      <c r="D54" t="s">
        <v>1402</v>
      </c>
      <c r="E54" t="s">
        <v>2345</v>
      </c>
      <c r="F54">
        <v>0.99350000000000005</v>
      </c>
      <c r="G54">
        <v>0.99019999999999997</v>
      </c>
    </row>
    <row r="55" spans="1:7">
      <c r="A55" t="s">
        <v>585</v>
      </c>
      <c r="B55" t="s">
        <v>2347</v>
      </c>
      <c r="C55">
        <v>275</v>
      </c>
      <c r="D55" t="s">
        <v>2348</v>
      </c>
      <c r="E55" t="s">
        <v>2349</v>
      </c>
      <c r="F55">
        <v>0.99750000000000005</v>
      </c>
      <c r="G55">
        <v>0.99399999999999999</v>
      </c>
    </row>
    <row r="56" spans="1:7">
      <c r="A56" t="s">
        <v>588</v>
      </c>
      <c r="B56" t="s">
        <v>2350</v>
      </c>
      <c r="C56">
        <v>275</v>
      </c>
      <c r="D56" t="s">
        <v>2351</v>
      </c>
      <c r="E56" t="s">
        <v>2349</v>
      </c>
      <c r="F56">
        <v>0.99750000000000005</v>
      </c>
      <c r="G56">
        <v>0.99399999999999999</v>
      </c>
    </row>
    <row r="57" spans="1:7">
      <c r="A57" t="s">
        <v>770</v>
      </c>
      <c r="B57" t="s">
        <v>2352</v>
      </c>
      <c r="C57">
        <v>132</v>
      </c>
      <c r="D57" t="s">
        <v>1308</v>
      </c>
      <c r="E57" t="s">
        <v>1308</v>
      </c>
      <c r="F57">
        <v>1.0035000000000001</v>
      </c>
      <c r="G57">
        <v>1.0073000000000001</v>
      </c>
    </row>
    <row r="58" spans="1:7">
      <c r="A58" t="s">
        <v>775</v>
      </c>
      <c r="B58" t="s">
        <v>135</v>
      </c>
      <c r="C58">
        <v>132</v>
      </c>
      <c r="D58" t="s">
        <v>1334</v>
      </c>
      <c r="E58" t="s">
        <v>2353</v>
      </c>
      <c r="F58">
        <v>0.94350000000000001</v>
      </c>
      <c r="G58">
        <v>0.96930000000000005</v>
      </c>
    </row>
    <row r="59" spans="1:7">
      <c r="A59" t="s">
        <v>213</v>
      </c>
      <c r="B59" t="s">
        <v>3914</v>
      </c>
      <c r="C59">
        <v>132</v>
      </c>
      <c r="D59" t="s">
        <v>1324</v>
      </c>
      <c r="E59" t="s">
        <v>1324</v>
      </c>
      <c r="F59">
        <v>0.95069999999999999</v>
      </c>
      <c r="G59">
        <v>0.97770000000000001</v>
      </c>
    </row>
    <row r="60" spans="1:7">
      <c r="A60" t="s">
        <v>217</v>
      </c>
      <c r="B60" t="s">
        <v>3915</v>
      </c>
      <c r="C60">
        <v>132</v>
      </c>
      <c r="D60" t="s">
        <v>2220</v>
      </c>
      <c r="E60" t="s">
        <v>2221</v>
      </c>
      <c r="F60">
        <v>0.97150000000000003</v>
      </c>
      <c r="G60">
        <v>1.0106999999999999</v>
      </c>
    </row>
    <row r="61" spans="1:7">
      <c r="A61" t="s">
        <v>252</v>
      </c>
      <c r="B61" t="s">
        <v>2359</v>
      </c>
      <c r="C61">
        <v>110</v>
      </c>
      <c r="D61" t="s">
        <v>2360</v>
      </c>
      <c r="E61" t="s">
        <v>2328</v>
      </c>
      <c r="F61">
        <v>1.0112000000000001</v>
      </c>
      <c r="G61">
        <v>1.008</v>
      </c>
    </row>
    <row r="62" spans="1:7">
      <c r="A62" t="s">
        <v>340</v>
      </c>
      <c r="B62" t="s">
        <v>148</v>
      </c>
      <c r="C62">
        <v>110</v>
      </c>
      <c r="D62" t="s">
        <v>1391</v>
      </c>
      <c r="E62" t="s">
        <v>2365</v>
      </c>
      <c r="F62">
        <v>0.98160000000000003</v>
      </c>
      <c r="G62">
        <v>0.97170000000000001</v>
      </c>
    </row>
    <row r="63" spans="1:7">
      <c r="A63" t="s">
        <v>373</v>
      </c>
      <c r="B63" t="s">
        <v>2371</v>
      </c>
      <c r="C63">
        <v>66</v>
      </c>
      <c r="D63" t="s">
        <v>2372</v>
      </c>
      <c r="E63" t="s">
        <v>2373</v>
      </c>
      <c r="F63">
        <v>0.98080000000000001</v>
      </c>
      <c r="G63">
        <v>1.0122</v>
      </c>
    </row>
    <row r="64" spans="1:7">
      <c r="A64" t="s">
        <v>2379</v>
      </c>
      <c r="B64" t="s">
        <v>3916</v>
      </c>
      <c r="C64">
        <v>66</v>
      </c>
      <c r="D64" t="s">
        <v>2380</v>
      </c>
      <c r="E64" t="s">
        <v>2377</v>
      </c>
      <c r="F64">
        <v>1.032</v>
      </c>
      <c r="G64">
        <v>1.0727</v>
      </c>
    </row>
    <row r="65" spans="1:7">
      <c r="A65" t="s">
        <v>421</v>
      </c>
      <c r="B65" t="s">
        <v>2382</v>
      </c>
      <c r="C65">
        <v>132</v>
      </c>
      <c r="D65" t="s">
        <v>2383</v>
      </c>
      <c r="E65" t="s">
        <v>2384</v>
      </c>
      <c r="F65">
        <v>0.98699999999999999</v>
      </c>
      <c r="G65">
        <v>1.0033000000000001</v>
      </c>
    </row>
    <row r="66" spans="1:7">
      <c r="A66" t="s">
        <v>495</v>
      </c>
      <c r="B66" t="s">
        <v>2388</v>
      </c>
      <c r="C66">
        <v>33</v>
      </c>
      <c r="D66" t="s">
        <v>1321</v>
      </c>
      <c r="E66" t="s">
        <v>1321</v>
      </c>
      <c r="F66">
        <v>0.9577</v>
      </c>
      <c r="G66">
        <v>0.97370000000000001</v>
      </c>
    </row>
    <row r="67" spans="1:7">
      <c r="A67" t="s">
        <v>520</v>
      </c>
      <c r="B67" t="s">
        <v>3917</v>
      </c>
      <c r="C67">
        <v>11</v>
      </c>
      <c r="D67" t="s">
        <v>2391</v>
      </c>
      <c r="E67" t="s">
        <v>2392</v>
      </c>
      <c r="F67">
        <v>1.0441</v>
      </c>
      <c r="G67">
        <v>1.0526</v>
      </c>
    </row>
    <row r="68" spans="1:7">
      <c r="A68" t="s">
        <v>499</v>
      </c>
      <c r="B68" t="s">
        <v>2393</v>
      </c>
      <c r="C68">
        <v>66</v>
      </c>
      <c r="D68" t="s">
        <v>2394</v>
      </c>
      <c r="E68" t="s">
        <v>2395</v>
      </c>
      <c r="F68">
        <v>1.0364</v>
      </c>
      <c r="G68">
        <v>1.0721000000000001</v>
      </c>
    </row>
    <row r="69" spans="1:7">
      <c r="A69" t="s">
        <v>2404</v>
      </c>
      <c r="B69" t="s">
        <v>2403</v>
      </c>
      <c r="C69">
        <v>66</v>
      </c>
      <c r="D69" t="s">
        <v>2405</v>
      </c>
      <c r="E69" t="s">
        <v>2373</v>
      </c>
      <c r="F69">
        <v>0.98080000000000001</v>
      </c>
      <c r="G69">
        <v>1.0122</v>
      </c>
    </row>
    <row r="70" spans="1:7">
      <c r="A70" t="s">
        <v>2401</v>
      </c>
      <c r="B70" t="s">
        <v>2400</v>
      </c>
      <c r="C70">
        <v>66</v>
      </c>
      <c r="D70" t="s">
        <v>2402</v>
      </c>
      <c r="E70" t="s">
        <v>2373</v>
      </c>
      <c r="F70">
        <v>0.98080000000000001</v>
      </c>
      <c r="G70">
        <v>1.0122</v>
      </c>
    </row>
    <row r="71" spans="1:7">
      <c r="A71" t="s">
        <v>2406</v>
      </c>
      <c r="B71" t="s">
        <v>3918</v>
      </c>
      <c r="C71">
        <v>66</v>
      </c>
      <c r="D71" t="s">
        <v>2407</v>
      </c>
      <c r="E71" t="s">
        <v>2408</v>
      </c>
      <c r="F71">
        <v>1.006</v>
      </c>
      <c r="G71">
        <v>1.0487</v>
      </c>
    </row>
    <row r="72" spans="1:7">
      <c r="A72" t="s">
        <v>605</v>
      </c>
      <c r="B72" t="s">
        <v>2409</v>
      </c>
      <c r="C72">
        <v>110</v>
      </c>
      <c r="D72" t="s">
        <v>2410</v>
      </c>
      <c r="E72" t="s">
        <v>2411</v>
      </c>
      <c r="F72">
        <v>1.0114000000000001</v>
      </c>
      <c r="G72">
        <v>1.0091000000000001</v>
      </c>
    </row>
    <row r="73" spans="1:7">
      <c r="A73" t="s">
        <v>614</v>
      </c>
      <c r="B73" t="s">
        <v>2412</v>
      </c>
      <c r="C73">
        <v>110</v>
      </c>
      <c r="D73" t="s">
        <v>2413</v>
      </c>
      <c r="E73" t="s">
        <v>2328</v>
      </c>
      <c r="F73">
        <v>1.0112000000000001</v>
      </c>
      <c r="G73">
        <v>1.008</v>
      </c>
    </row>
    <row r="74" spans="1:7">
      <c r="A74" t="s">
        <v>353</v>
      </c>
      <c r="B74" t="s">
        <v>2414</v>
      </c>
      <c r="C74">
        <v>110</v>
      </c>
      <c r="D74" t="s">
        <v>2415</v>
      </c>
      <c r="E74" t="s">
        <v>2416</v>
      </c>
      <c r="F74">
        <v>1.0044</v>
      </c>
      <c r="G74">
        <v>1.0048999999999999</v>
      </c>
    </row>
    <row r="75" spans="1:7">
      <c r="A75" t="s">
        <v>607</v>
      </c>
      <c r="B75" t="s">
        <v>3919</v>
      </c>
      <c r="C75">
        <v>132</v>
      </c>
      <c r="D75" t="s">
        <v>1359</v>
      </c>
      <c r="E75" t="s">
        <v>2418</v>
      </c>
      <c r="F75">
        <v>0.96230000000000004</v>
      </c>
      <c r="G75">
        <v>0.96289999999999998</v>
      </c>
    </row>
    <row r="76" spans="1:7">
      <c r="A76" t="s">
        <v>609</v>
      </c>
      <c r="B76" t="s">
        <v>3920</v>
      </c>
      <c r="C76">
        <v>132</v>
      </c>
      <c r="D76" t="s">
        <v>1361</v>
      </c>
      <c r="E76" t="s">
        <v>2418</v>
      </c>
      <c r="F76">
        <v>0.96230000000000004</v>
      </c>
      <c r="G76">
        <v>0.96289999999999998</v>
      </c>
    </row>
    <row r="77" spans="1:7">
      <c r="A77" t="s">
        <v>645</v>
      </c>
      <c r="B77" t="s">
        <v>2420</v>
      </c>
      <c r="C77">
        <v>110</v>
      </c>
      <c r="D77" t="s">
        <v>2421</v>
      </c>
      <c r="E77" t="s">
        <v>2422</v>
      </c>
      <c r="F77">
        <v>1.0128999999999999</v>
      </c>
      <c r="G77">
        <v>1.0125</v>
      </c>
    </row>
    <row r="78" spans="1:7">
      <c r="A78" t="s">
        <v>677</v>
      </c>
      <c r="B78" t="s">
        <v>2430</v>
      </c>
      <c r="C78">
        <v>33</v>
      </c>
      <c r="D78" t="s">
        <v>2431</v>
      </c>
      <c r="E78" t="s">
        <v>2432</v>
      </c>
      <c r="F78">
        <v>1.0016</v>
      </c>
      <c r="G78">
        <v>0.999</v>
      </c>
    </row>
    <row r="79" spans="1:7">
      <c r="A79" t="s">
        <v>737</v>
      </c>
      <c r="B79" t="s">
        <v>2433</v>
      </c>
      <c r="C79">
        <v>110</v>
      </c>
      <c r="D79" t="s">
        <v>2434</v>
      </c>
      <c r="E79" t="s">
        <v>2435</v>
      </c>
      <c r="F79">
        <v>0.99990000000000001</v>
      </c>
      <c r="G79">
        <v>0.99680000000000002</v>
      </c>
    </row>
    <row r="80" spans="1:7">
      <c r="A80" t="s">
        <v>735</v>
      </c>
      <c r="B80" t="s">
        <v>3921</v>
      </c>
      <c r="C80">
        <v>66</v>
      </c>
      <c r="D80" t="s">
        <v>2436</v>
      </c>
      <c r="E80" t="s">
        <v>2436</v>
      </c>
      <c r="F80">
        <v>1.0876999999999999</v>
      </c>
      <c r="G80">
        <v>1.1103000000000001</v>
      </c>
    </row>
    <row r="81" spans="1:7">
      <c r="A81" t="s">
        <v>2438</v>
      </c>
      <c r="B81" t="s">
        <v>2437</v>
      </c>
      <c r="C81">
        <v>110</v>
      </c>
      <c r="D81" t="s">
        <v>2439</v>
      </c>
      <c r="E81" t="s">
        <v>2440</v>
      </c>
      <c r="F81">
        <v>0.999</v>
      </c>
      <c r="G81">
        <v>0.99509999999999998</v>
      </c>
    </row>
    <row r="82" spans="1:7">
      <c r="A82" t="s">
        <v>772</v>
      </c>
      <c r="B82" t="s">
        <v>2441</v>
      </c>
      <c r="C82">
        <v>66</v>
      </c>
      <c r="D82" t="s">
        <v>1310</v>
      </c>
      <c r="E82" t="s">
        <v>2442</v>
      </c>
      <c r="F82">
        <v>0.9778</v>
      </c>
      <c r="G82">
        <v>0.99919999999999998</v>
      </c>
    </row>
    <row r="83" spans="1:7">
      <c r="A83" t="s">
        <v>278</v>
      </c>
      <c r="B83" t="s">
        <v>2443</v>
      </c>
      <c r="C83">
        <v>330</v>
      </c>
      <c r="D83" t="s">
        <v>1174</v>
      </c>
      <c r="E83" t="s">
        <v>2444</v>
      </c>
      <c r="F83">
        <v>0.95199999999999996</v>
      </c>
      <c r="G83">
        <v>0.95899999999999996</v>
      </c>
    </row>
    <row r="84" spans="1:7">
      <c r="A84" t="s">
        <v>281</v>
      </c>
      <c r="B84" t="s">
        <v>2445</v>
      </c>
      <c r="C84">
        <v>330</v>
      </c>
      <c r="D84" t="s">
        <v>1176</v>
      </c>
      <c r="E84" t="s">
        <v>2444</v>
      </c>
      <c r="F84">
        <v>0.95199999999999996</v>
      </c>
      <c r="G84">
        <v>0.95899999999999996</v>
      </c>
    </row>
    <row r="85" spans="1:7">
      <c r="A85" t="s">
        <v>282</v>
      </c>
      <c r="B85" t="s">
        <v>2446</v>
      </c>
      <c r="C85">
        <v>500</v>
      </c>
      <c r="D85" t="s">
        <v>1177</v>
      </c>
      <c r="E85" t="s">
        <v>2448</v>
      </c>
      <c r="F85">
        <v>0.95320000000000005</v>
      </c>
      <c r="G85">
        <v>0.96030000000000004</v>
      </c>
    </row>
    <row r="86" spans="1:7">
      <c r="A86" t="s">
        <v>283</v>
      </c>
      <c r="B86" t="s">
        <v>2449</v>
      </c>
      <c r="C86">
        <v>500</v>
      </c>
      <c r="D86" t="s">
        <v>1178</v>
      </c>
      <c r="E86" t="s">
        <v>2448</v>
      </c>
      <c r="F86">
        <v>0.95320000000000005</v>
      </c>
      <c r="G86">
        <v>0.96030000000000004</v>
      </c>
    </row>
    <row r="87" spans="1:7">
      <c r="A87" t="s">
        <v>241</v>
      </c>
      <c r="B87" t="s">
        <v>2450</v>
      </c>
      <c r="C87">
        <v>132</v>
      </c>
      <c r="D87" t="s">
        <v>1261</v>
      </c>
      <c r="E87" t="s">
        <v>2451</v>
      </c>
      <c r="F87">
        <v>1.0506</v>
      </c>
      <c r="G87">
        <v>0.98150000000000004</v>
      </c>
    </row>
    <row r="88" spans="1:7">
      <c r="A88" t="s">
        <v>368</v>
      </c>
      <c r="B88" t="s">
        <v>2456</v>
      </c>
      <c r="C88">
        <v>22</v>
      </c>
      <c r="D88" t="s">
        <v>1294</v>
      </c>
      <c r="E88" t="s">
        <v>2458</v>
      </c>
      <c r="F88">
        <v>1.2841</v>
      </c>
      <c r="G88">
        <v>1.1714</v>
      </c>
    </row>
    <row r="89" spans="1:7">
      <c r="A89" t="s">
        <v>274</v>
      </c>
      <c r="B89" t="s">
        <v>116</v>
      </c>
      <c r="C89">
        <v>132</v>
      </c>
      <c r="D89" t="s">
        <v>1251</v>
      </c>
      <c r="E89" t="s">
        <v>1251</v>
      </c>
      <c r="F89">
        <v>1.0275000000000001</v>
      </c>
      <c r="G89">
        <v>0.99150000000000005</v>
      </c>
    </row>
    <row r="90" spans="1:7">
      <c r="A90" t="s">
        <v>293</v>
      </c>
      <c r="B90" t="s">
        <v>294</v>
      </c>
      <c r="C90">
        <v>330</v>
      </c>
      <c r="D90" t="s">
        <v>1242</v>
      </c>
      <c r="E90" t="s">
        <v>2462</v>
      </c>
      <c r="F90">
        <v>1.0163</v>
      </c>
      <c r="G90">
        <v>0.99309999999999998</v>
      </c>
    </row>
    <row r="91" spans="1:7">
      <c r="A91" t="s">
        <v>306</v>
      </c>
      <c r="B91" t="s">
        <v>2467</v>
      </c>
      <c r="C91">
        <v>330</v>
      </c>
      <c r="D91" t="s">
        <v>1195</v>
      </c>
      <c r="E91" t="s">
        <v>2468</v>
      </c>
      <c r="F91">
        <v>0.98309999999999997</v>
      </c>
      <c r="G91">
        <v>0.98719999999999997</v>
      </c>
    </row>
    <row r="92" spans="1:7">
      <c r="A92" t="s">
        <v>308</v>
      </c>
      <c r="B92" t="s">
        <v>2469</v>
      </c>
      <c r="C92">
        <v>330</v>
      </c>
      <c r="D92" t="s">
        <v>1197</v>
      </c>
      <c r="E92" t="s">
        <v>2468</v>
      </c>
      <c r="F92">
        <v>0.98309999999999997</v>
      </c>
      <c r="G92">
        <v>0.98719999999999997</v>
      </c>
    </row>
    <row r="93" spans="1:7">
      <c r="A93" t="s">
        <v>309</v>
      </c>
      <c r="B93" t="s">
        <v>2470</v>
      </c>
      <c r="C93">
        <v>330</v>
      </c>
      <c r="D93" t="s">
        <v>1198</v>
      </c>
      <c r="E93" t="s">
        <v>2468</v>
      </c>
      <c r="F93">
        <v>0.98309999999999997</v>
      </c>
      <c r="G93">
        <v>0.98719999999999997</v>
      </c>
    </row>
    <row r="94" spans="1:7">
      <c r="A94" t="s">
        <v>310</v>
      </c>
      <c r="B94" t="s">
        <v>2471</v>
      </c>
      <c r="C94">
        <v>330</v>
      </c>
      <c r="D94" t="s">
        <v>1199</v>
      </c>
      <c r="E94" t="s">
        <v>2468</v>
      </c>
      <c r="F94">
        <v>0.98309999999999997</v>
      </c>
      <c r="G94">
        <v>0.98719999999999997</v>
      </c>
    </row>
    <row r="95" spans="1:7">
      <c r="A95" t="s">
        <v>360</v>
      </c>
      <c r="B95" t="s">
        <v>2476</v>
      </c>
      <c r="C95">
        <v>330</v>
      </c>
      <c r="D95" t="s">
        <v>1189</v>
      </c>
      <c r="E95" t="s">
        <v>2477</v>
      </c>
      <c r="F95">
        <v>0.98199999999999998</v>
      </c>
      <c r="G95">
        <v>0.9829</v>
      </c>
    </row>
    <row r="96" spans="1:7">
      <c r="A96" t="s">
        <v>362</v>
      </c>
      <c r="B96" t="s">
        <v>2478</v>
      </c>
      <c r="C96">
        <v>330</v>
      </c>
      <c r="D96" t="s">
        <v>1191</v>
      </c>
      <c r="E96" t="s">
        <v>2477</v>
      </c>
      <c r="F96">
        <v>0.98199999999999998</v>
      </c>
      <c r="G96">
        <v>0.9829</v>
      </c>
    </row>
    <row r="97" spans="1:7">
      <c r="A97" t="s">
        <v>363</v>
      </c>
      <c r="B97" t="s">
        <v>2479</v>
      </c>
      <c r="C97">
        <v>500</v>
      </c>
      <c r="D97" t="s">
        <v>1192</v>
      </c>
      <c r="E97" t="s">
        <v>2480</v>
      </c>
      <c r="F97">
        <v>0.98460000000000003</v>
      </c>
      <c r="G97">
        <v>0.98460000000000003</v>
      </c>
    </row>
    <row r="98" spans="1:7">
      <c r="A98" t="s">
        <v>364</v>
      </c>
      <c r="B98" t="s">
        <v>2481</v>
      </c>
      <c r="C98">
        <v>500</v>
      </c>
      <c r="D98" t="s">
        <v>1193</v>
      </c>
      <c r="E98" t="s">
        <v>2480</v>
      </c>
      <c r="F98">
        <v>0.98460000000000003</v>
      </c>
      <c r="G98">
        <v>0.98460000000000003</v>
      </c>
    </row>
    <row r="99" spans="1:7">
      <c r="A99" t="s">
        <v>2483</v>
      </c>
      <c r="B99" t="s">
        <v>2482</v>
      </c>
      <c r="C99">
        <v>500</v>
      </c>
      <c r="D99" t="s">
        <v>2484</v>
      </c>
      <c r="E99" t="s">
        <v>2480</v>
      </c>
      <c r="F99">
        <v>0.98460000000000003</v>
      </c>
      <c r="G99">
        <v>0.98460000000000003</v>
      </c>
    </row>
    <row r="100" spans="1:7">
      <c r="A100" t="s">
        <v>2490</v>
      </c>
      <c r="B100" t="s">
        <v>3922</v>
      </c>
      <c r="C100">
        <v>330</v>
      </c>
      <c r="D100" t="s">
        <v>2491</v>
      </c>
      <c r="E100" t="s">
        <v>2492</v>
      </c>
      <c r="F100">
        <v>1.0009999999999999</v>
      </c>
      <c r="G100" t="s">
        <v>3911</v>
      </c>
    </row>
    <row r="101" spans="1:7">
      <c r="A101" t="s">
        <v>390</v>
      </c>
      <c r="B101" t="s">
        <v>391</v>
      </c>
      <c r="C101">
        <v>330</v>
      </c>
      <c r="D101" t="s">
        <v>1228</v>
      </c>
      <c r="E101" t="s">
        <v>2492</v>
      </c>
      <c r="F101">
        <v>1.0009999999999999</v>
      </c>
      <c r="G101">
        <v>0.9909</v>
      </c>
    </row>
    <row r="102" spans="1:7">
      <c r="A102" t="s">
        <v>393</v>
      </c>
      <c r="B102" t="s">
        <v>2493</v>
      </c>
      <c r="C102">
        <v>132</v>
      </c>
      <c r="D102" t="s">
        <v>1281</v>
      </c>
      <c r="E102" t="s">
        <v>2494</v>
      </c>
      <c r="F102">
        <v>0.96579999999999999</v>
      </c>
      <c r="G102">
        <v>0.93710000000000004</v>
      </c>
    </row>
    <row r="103" spans="1:7">
      <c r="A103" t="s">
        <v>2496</v>
      </c>
      <c r="B103" t="s">
        <v>2495</v>
      </c>
      <c r="C103">
        <v>11</v>
      </c>
      <c r="D103" t="s">
        <v>2497</v>
      </c>
      <c r="E103" t="s">
        <v>2498</v>
      </c>
      <c r="F103">
        <v>1.0426</v>
      </c>
      <c r="G103">
        <v>1.0147999999999999</v>
      </c>
    </row>
    <row r="104" spans="1:7">
      <c r="A104" t="s">
        <v>407</v>
      </c>
      <c r="B104" t="s">
        <v>3923</v>
      </c>
      <c r="C104">
        <v>132</v>
      </c>
      <c r="D104" t="s">
        <v>1287</v>
      </c>
      <c r="E104" t="s">
        <v>1287</v>
      </c>
      <c r="F104">
        <v>1.1054999999999999</v>
      </c>
      <c r="G104">
        <v>1.002</v>
      </c>
    </row>
    <row r="105" spans="1:7">
      <c r="A105" t="s">
        <v>620</v>
      </c>
      <c r="B105" t="s">
        <v>3924</v>
      </c>
      <c r="C105">
        <v>330</v>
      </c>
      <c r="D105" t="s">
        <v>1217</v>
      </c>
      <c r="E105" t="s">
        <v>2501</v>
      </c>
      <c r="F105">
        <v>0.99309999999999998</v>
      </c>
      <c r="G105">
        <v>0.99039999999999995</v>
      </c>
    </row>
    <row r="106" spans="1:7">
      <c r="A106" t="s">
        <v>623</v>
      </c>
      <c r="B106" t="s">
        <v>3925</v>
      </c>
      <c r="C106">
        <v>330</v>
      </c>
      <c r="D106" t="s">
        <v>1219</v>
      </c>
      <c r="E106" t="s">
        <v>2501</v>
      </c>
      <c r="F106">
        <v>1.0141</v>
      </c>
      <c r="G106">
        <v>1.01</v>
      </c>
    </row>
    <row r="107" spans="1:7">
      <c r="A107" t="s">
        <v>2504</v>
      </c>
      <c r="B107" t="s">
        <v>2503</v>
      </c>
      <c r="C107">
        <v>330</v>
      </c>
      <c r="D107" t="s">
        <v>2505</v>
      </c>
      <c r="E107" t="s">
        <v>2506</v>
      </c>
      <c r="F107">
        <v>0.95089999999999997</v>
      </c>
      <c r="G107">
        <v>0.95930000000000004</v>
      </c>
    </row>
    <row r="108" spans="1:7">
      <c r="A108" t="s">
        <v>460</v>
      </c>
      <c r="B108" t="s">
        <v>2507</v>
      </c>
      <c r="C108">
        <v>330</v>
      </c>
      <c r="D108" t="s">
        <v>1167</v>
      </c>
      <c r="E108" t="s">
        <v>2506</v>
      </c>
      <c r="F108">
        <v>0.95089999999999997</v>
      </c>
      <c r="G108">
        <v>0.95930000000000004</v>
      </c>
    </row>
    <row r="109" spans="1:7">
      <c r="A109" t="s">
        <v>462</v>
      </c>
      <c r="B109" t="s">
        <v>2508</v>
      </c>
      <c r="C109">
        <v>330</v>
      </c>
      <c r="D109" t="s">
        <v>1170</v>
      </c>
      <c r="E109" t="s">
        <v>2506</v>
      </c>
      <c r="F109">
        <v>0.95089999999999997</v>
      </c>
      <c r="G109">
        <v>0.95930000000000004</v>
      </c>
    </row>
    <row r="110" spans="1:7">
      <c r="A110" t="s">
        <v>463</v>
      </c>
      <c r="B110" t="s">
        <v>2509</v>
      </c>
      <c r="C110">
        <v>330</v>
      </c>
      <c r="D110" t="s">
        <v>1171</v>
      </c>
      <c r="E110" t="s">
        <v>2506</v>
      </c>
      <c r="F110">
        <v>0.95089999999999997</v>
      </c>
      <c r="G110">
        <v>0.95930000000000004</v>
      </c>
    </row>
    <row r="111" spans="1:7">
      <c r="A111" t="s">
        <v>464</v>
      </c>
      <c r="B111" t="s">
        <v>2510</v>
      </c>
      <c r="C111">
        <v>330</v>
      </c>
      <c r="D111" t="s">
        <v>1172</v>
      </c>
      <c r="E111" t="s">
        <v>2506</v>
      </c>
      <c r="F111">
        <v>0.95089999999999997</v>
      </c>
      <c r="G111">
        <v>0.95930000000000004</v>
      </c>
    </row>
    <row r="112" spans="1:7">
      <c r="A112" t="s">
        <v>696</v>
      </c>
      <c r="B112" t="s">
        <v>3926</v>
      </c>
      <c r="C112">
        <v>330</v>
      </c>
      <c r="D112" t="s">
        <v>1265</v>
      </c>
      <c r="E112" t="s">
        <v>2512</v>
      </c>
      <c r="F112">
        <v>1.0155000000000001</v>
      </c>
      <c r="G112">
        <v>0.98970000000000002</v>
      </c>
    </row>
    <row r="113" spans="1:7">
      <c r="A113" t="s">
        <v>2514</v>
      </c>
      <c r="B113" t="s">
        <v>2513</v>
      </c>
      <c r="C113">
        <v>66</v>
      </c>
      <c r="D113" t="s">
        <v>2515</v>
      </c>
      <c r="E113" t="s">
        <v>2516</v>
      </c>
      <c r="F113">
        <v>1.0748</v>
      </c>
      <c r="G113">
        <v>1.0314000000000001</v>
      </c>
    </row>
    <row r="114" spans="1:7">
      <c r="A114" t="s">
        <v>2518</v>
      </c>
      <c r="B114" t="s">
        <v>3927</v>
      </c>
      <c r="C114">
        <v>330</v>
      </c>
      <c r="D114" t="s">
        <v>2519</v>
      </c>
      <c r="E114" t="s">
        <v>2512</v>
      </c>
      <c r="F114">
        <v>1.0532999999999999</v>
      </c>
      <c r="G114">
        <v>1.0142</v>
      </c>
    </row>
    <row r="115" spans="1:7">
      <c r="A115" t="s">
        <v>2521</v>
      </c>
      <c r="B115" t="s">
        <v>2520</v>
      </c>
      <c r="C115">
        <v>66</v>
      </c>
      <c r="D115" t="s">
        <v>2522</v>
      </c>
      <c r="E115" t="s">
        <v>2516</v>
      </c>
      <c r="F115">
        <v>1.0748</v>
      </c>
      <c r="G115">
        <v>1.0314000000000001</v>
      </c>
    </row>
    <row r="116" spans="1:7">
      <c r="A116" t="s">
        <v>2524</v>
      </c>
      <c r="B116" t="s">
        <v>2523</v>
      </c>
      <c r="C116">
        <v>66</v>
      </c>
      <c r="D116" t="s">
        <v>2525</v>
      </c>
      <c r="E116" t="s">
        <v>2516</v>
      </c>
      <c r="F116">
        <v>1.0748</v>
      </c>
      <c r="G116">
        <v>1.0314000000000001</v>
      </c>
    </row>
    <row r="117" spans="1:7">
      <c r="A117" t="s">
        <v>2527</v>
      </c>
      <c r="B117" t="s">
        <v>2526</v>
      </c>
      <c r="C117">
        <v>330</v>
      </c>
      <c r="D117" t="s">
        <v>2528</v>
      </c>
      <c r="E117" t="s">
        <v>2529</v>
      </c>
      <c r="F117">
        <v>0.97250000000000003</v>
      </c>
      <c r="G117">
        <v>0.97529999999999994</v>
      </c>
    </row>
    <row r="118" spans="1:7">
      <c r="A118" t="s">
        <v>529</v>
      </c>
      <c r="B118" t="s">
        <v>2530</v>
      </c>
      <c r="C118">
        <v>330</v>
      </c>
      <c r="D118" t="s">
        <v>1206</v>
      </c>
      <c r="E118" t="s">
        <v>2529</v>
      </c>
      <c r="F118">
        <v>0.97250000000000003</v>
      </c>
      <c r="G118">
        <v>0.97529999999999994</v>
      </c>
    </row>
    <row r="119" spans="1:7">
      <c r="A119" t="s">
        <v>531</v>
      </c>
      <c r="B119" t="s">
        <v>2531</v>
      </c>
      <c r="C119">
        <v>330</v>
      </c>
      <c r="D119" t="s">
        <v>1208</v>
      </c>
      <c r="E119" t="s">
        <v>2529</v>
      </c>
      <c r="F119">
        <v>0.97250000000000003</v>
      </c>
      <c r="G119">
        <v>0.97529999999999994</v>
      </c>
    </row>
    <row r="120" spans="1:7">
      <c r="A120" t="s">
        <v>625</v>
      </c>
      <c r="B120" t="s">
        <v>3928</v>
      </c>
      <c r="C120">
        <v>132</v>
      </c>
      <c r="D120" t="s">
        <v>1211</v>
      </c>
      <c r="E120" t="s">
        <v>2645</v>
      </c>
      <c r="F120">
        <v>0.99790000000000001</v>
      </c>
      <c r="G120" t="s">
        <v>3911</v>
      </c>
    </row>
    <row r="121" spans="1:7">
      <c r="A121" t="s">
        <v>703</v>
      </c>
      <c r="B121" t="s">
        <v>2546</v>
      </c>
      <c r="C121">
        <v>330</v>
      </c>
      <c r="D121" t="s">
        <v>1278</v>
      </c>
      <c r="E121" t="s">
        <v>2547</v>
      </c>
      <c r="F121">
        <v>1.0356000000000001</v>
      </c>
      <c r="G121">
        <v>0.99429999999999996</v>
      </c>
    </row>
    <row r="122" spans="1:7">
      <c r="A122" t="s">
        <v>705</v>
      </c>
      <c r="B122" t="s">
        <v>2548</v>
      </c>
      <c r="C122">
        <v>132</v>
      </c>
      <c r="D122" t="s">
        <v>1255</v>
      </c>
      <c r="E122" t="s">
        <v>2549</v>
      </c>
      <c r="F122">
        <v>1.0086999999999999</v>
      </c>
      <c r="G122">
        <v>0.92910000000000004</v>
      </c>
    </row>
    <row r="123" spans="1:7">
      <c r="A123" t="s">
        <v>707</v>
      </c>
      <c r="B123" t="s">
        <v>2550</v>
      </c>
      <c r="C123">
        <v>132</v>
      </c>
      <c r="D123" t="s">
        <v>1257</v>
      </c>
      <c r="E123" t="s">
        <v>2549</v>
      </c>
      <c r="F123">
        <v>1.0086999999999999</v>
      </c>
      <c r="G123">
        <v>0.92910000000000004</v>
      </c>
    </row>
    <row r="124" spans="1:7">
      <c r="A124" t="s">
        <v>708</v>
      </c>
      <c r="B124" t="s">
        <v>2551</v>
      </c>
      <c r="C124">
        <v>132</v>
      </c>
      <c r="D124" t="s">
        <v>1258</v>
      </c>
      <c r="E124" t="s">
        <v>2549</v>
      </c>
      <c r="F124">
        <v>1.0086999999999999</v>
      </c>
      <c r="G124">
        <v>0.92910000000000004</v>
      </c>
    </row>
    <row r="125" spans="1:7">
      <c r="A125" t="s">
        <v>709</v>
      </c>
      <c r="B125" t="s">
        <v>2552</v>
      </c>
      <c r="C125">
        <v>132</v>
      </c>
      <c r="D125" t="s">
        <v>1259</v>
      </c>
      <c r="E125" t="s">
        <v>2549</v>
      </c>
      <c r="F125">
        <v>1.0086999999999999</v>
      </c>
      <c r="G125">
        <v>0.92910000000000004</v>
      </c>
    </row>
    <row r="126" spans="1:7">
      <c r="A126" t="s">
        <v>2554</v>
      </c>
      <c r="B126" t="s">
        <v>2553</v>
      </c>
      <c r="C126">
        <v>330</v>
      </c>
      <c r="D126" t="s">
        <v>2555</v>
      </c>
      <c r="E126" t="s">
        <v>2556</v>
      </c>
      <c r="F126">
        <v>0.98450000000000004</v>
      </c>
      <c r="G126">
        <v>0.98529999999999995</v>
      </c>
    </row>
    <row r="127" spans="1:7">
      <c r="A127" t="s">
        <v>710</v>
      </c>
      <c r="B127" t="s">
        <v>2557</v>
      </c>
      <c r="C127">
        <v>330</v>
      </c>
      <c r="D127" t="s">
        <v>1202</v>
      </c>
      <c r="E127" t="s">
        <v>2556</v>
      </c>
      <c r="F127">
        <v>0.98450000000000004</v>
      </c>
      <c r="G127">
        <v>0.98529999999999995</v>
      </c>
    </row>
    <row r="128" spans="1:7">
      <c r="A128" t="s">
        <v>712</v>
      </c>
      <c r="B128" t="s">
        <v>2558</v>
      </c>
      <c r="C128">
        <v>330</v>
      </c>
      <c r="D128" t="s">
        <v>1204</v>
      </c>
      <c r="E128" t="s">
        <v>2556</v>
      </c>
      <c r="F128">
        <v>0.98450000000000004</v>
      </c>
      <c r="G128">
        <v>0.98529999999999995</v>
      </c>
    </row>
    <row r="129" spans="1:7">
      <c r="A129" t="s">
        <v>2560</v>
      </c>
      <c r="B129" t="s">
        <v>2559</v>
      </c>
      <c r="C129">
        <v>132</v>
      </c>
      <c r="D129" t="s">
        <v>2561</v>
      </c>
      <c r="E129" t="s">
        <v>2562</v>
      </c>
      <c r="F129">
        <v>0.8468</v>
      </c>
      <c r="G129" t="s">
        <v>3911</v>
      </c>
    </row>
    <row r="130" spans="1:7">
      <c r="A130" t="s">
        <v>756</v>
      </c>
      <c r="B130" t="s">
        <v>757</v>
      </c>
      <c r="C130">
        <v>330</v>
      </c>
      <c r="D130" t="s">
        <v>1239</v>
      </c>
      <c r="E130" t="s">
        <v>2462</v>
      </c>
      <c r="F130">
        <v>1.0163</v>
      </c>
      <c r="G130">
        <v>0.99309999999999998</v>
      </c>
    </row>
    <row r="131" spans="1:7">
      <c r="A131" t="s">
        <v>2570</v>
      </c>
      <c r="B131" t="s">
        <v>3929</v>
      </c>
      <c r="C131">
        <v>66</v>
      </c>
      <c r="D131" t="s">
        <v>2571</v>
      </c>
      <c r="E131" t="s">
        <v>2572</v>
      </c>
      <c r="F131">
        <v>1</v>
      </c>
      <c r="G131">
        <v>0.99860000000000004</v>
      </c>
    </row>
    <row r="132" spans="1:7">
      <c r="A132" t="s">
        <v>202</v>
      </c>
      <c r="B132" t="s">
        <v>2573</v>
      </c>
      <c r="C132">
        <v>132</v>
      </c>
      <c r="D132" t="s">
        <v>2574</v>
      </c>
      <c r="E132" t="s">
        <v>2575</v>
      </c>
      <c r="F132">
        <v>0.98919999999999997</v>
      </c>
      <c r="G132">
        <v>0.99070000000000003</v>
      </c>
    </row>
    <row r="133" spans="1:7">
      <c r="A133" t="s">
        <v>206</v>
      </c>
      <c r="B133" t="s">
        <v>3930</v>
      </c>
      <c r="C133">
        <v>132</v>
      </c>
      <c r="D133" t="s">
        <v>3931</v>
      </c>
      <c r="E133" t="s">
        <v>2626</v>
      </c>
      <c r="F133">
        <v>1.0033000000000001</v>
      </c>
      <c r="G133">
        <v>1.0028999999999999</v>
      </c>
    </row>
    <row r="134" spans="1:7">
      <c r="A134" t="s">
        <v>247</v>
      </c>
      <c r="B134" t="s">
        <v>248</v>
      </c>
      <c r="C134">
        <v>132</v>
      </c>
      <c r="D134" t="s">
        <v>1285</v>
      </c>
      <c r="E134" t="s">
        <v>2576</v>
      </c>
      <c r="F134">
        <v>1.0166999999999999</v>
      </c>
      <c r="G134">
        <v>0.98819999999999997</v>
      </c>
    </row>
    <row r="135" spans="1:7">
      <c r="A135" t="s">
        <v>284</v>
      </c>
      <c r="B135" t="s">
        <v>2577</v>
      </c>
      <c r="C135">
        <v>132</v>
      </c>
      <c r="D135" t="s">
        <v>2578</v>
      </c>
      <c r="E135" t="s">
        <v>2579</v>
      </c>
      <c r="F135">
        <v>0.90510000000000002</v>
      </c>
      <c r="G135">
        <v>0.96609999999999996</v>
      </c>
    </row>
    <row r="136" spans="1:7">
      <c r="A136" t="s">
        <v>266</v>
      </c>
      <c r="B136" t="s">
        <v>2459</v>
      </c>
      <c r="C136">
        <v>22</v>
      </c>
      <c r="D136" t="s">
        <v>2460</v>
      </c>
      <c r="E136" t="s">
        <v>2461</v>
      </c>
      <c r="F136">
        <v>1.2456</v>
      </c>
      <c r="G136">
        <v>1.1220000000000001</v>
      </c>
    </row>
    <row r="137" spans="1:7">
      <c r="A137" t="s">
        <v>272</v>
      </c>
      <c r="B137" t="s">
        <v>273</v>
      </c>
      <c r="C137">
        <v>66</v>
      </c>
      <c r="D137" t="s">
        <v>2580</v>
      </c>
      <c r="E137" t="s">
        <v>2581</v>
      </c>
      <c r="F137">
        <v>1.0387</v>
      </c>
      <c r="G137">
        <v>1.0105999999999999</v>
      </c>
    </row>
    <row r="138" spans="1:7">
      <c r="A138" t="s">
        <v>239</v>
      </c>
      <c r="B138" t="s">
        <v>2582</v>
      </c>
      <c r="C138">
        <v>132</v>
      </c>
      <c r="D138" t="s">
        <v>2583</v>
      </c>
      <c r="E138" t="s">
        <v>1290</v>
      </c>
      <c r="F138">
        <v>0.98309999999999997</v>
      </c>
      <c r="G138">
        <v>0.9909</v>
      </c>
    </row>
    <row r="139" spans="1:7">
      <c r="A139" t="s">
        <v>731</v>
      </c>
      <c r="B139" t="s">
        <v>2584</v>
      </c>
      <c r="C139">
        <v>66</v>
      </c>
      <c r="D139" t="s">
        <v>2585</v>
      </c>
      <c r="E139" t="s">
        <v>2586</v>
      </c>
      <c r="F139">
        <v>1.0001</v>
      </c>
      <c r="G139">
        <v>1.0004999999999999</v>
      </c>
    </row>
    <row r="140" spans="1:7">
      <c r="A140" t="s">
        <v>326</v>
      </c>
      <c r="B140" t="s">
        <v>2587</v>
      </c>
      <c r="C140">
        <v>110</v>
      </c>
      <c r="D140" t="s">
        <v>2588</v>
      </c>
      <c r="E140" t="s">
        <v>2589</v>
      </c>
      <c r="F140">
        <v>0.94059999999999999</v>
      </c>
      <c r="G140">
        <v>0.99860000000000004</v>
      </c>
    </row>
    <row r="141" spans="1:7">
      <c r="A141" t="s">
        <v>328</v>
      </c>
      <c r="B141" t="s">
        <v>2590</v>
      </c>
      <c r="C141">
        <v>66</v>
      </c>
      <c r="D141" t="s">
        <v>2591</v>
      </c>
      <c r="E141" t="s">
        <v>2592</v>
      </c>
      <c r="F141">
        <v>0.91269999999999996</v>
      </c>
      <c r="G141">
        <v>0.98229999999999995</v>
      </c>
    </row>
    <row r="142" spans="1:7">
      <c r="A142" t="s">
        <v>338</v>
      </c>
      <c r="B142" t="s">
        <v>339</v>
      </c>
      <c r="C142">
        <v>132</v>
      </c>
      <c r="D142" t="s">
        <v>1235</v>
      </c>
      <c r="E142" t="s">
        <v>2593</v>
      </c>
      <c r="F142">
        <v>1.0135000000000001</v>
      </c>
      <c r="G142">
        <v>0.99139999999999995</v>
      </c>
    </row>
    <row r="143" spans="1:7">
      <c r="A143" t="s">
        <v>351</v>
      </c>
      <c r="B143" t="s">
        <v>2594</v>
      </c>
      <c r="C143">
        <v>132</v>
      </c>
      <c r="D143" t="s">
        <v>2595</v>
      </c>
      <c r="E143" t="s">
        <v>2596</v>
      </c>
      <c r="F143">
        <v>1.0041</v>
      </c>
      <c r="G143">
        <v>1.0035000000000001</v>
      </c>
    </row>
    <row r="144" spans="1:7">
      <c r="A144" t="s">
        <v>365</v>
      </c>
      <c r="B144" t="s">
        <v>2597</v>
      </c>
      <c r="C144">
        <v>330</v>
      </c>
      <c r="D144" t="s">
        <v>2598</v>
      </c>
      <c r="E144" t="s">
        <v>2477</v>
      </c>
      <c r="F144">
        <v>0.98199999999999998</v>
      </c>
      <c r="G144">
        <v>0.9829</v>
      </c>
    </row>
    <row r="145" spans="1:7">
      <c r="A145" t="s">
        <v>375</v>
      </c>
      <c r="B145" t="s">
        <v>2599</v>
      </c>
      <c r="C145">
        <v>132</v>
      </c>
      <c r="D145" t="s">
        <v>2600</v>
      </c>
      <c r="E145" t="s">
        <v>2601</v>
      </c>
      <c r="F145">
        <v>0.9637</v>
      </c>
      <c r="G145">
        <v>0.97540000000000004</v>
      </c>
    </row>
    <row r="146" spans="1:7">
      <c r="A146" t="s">
        <v>567</v>
      </c>
      <c r="B146" t="s">
        <v>2602</v>
      </c>
      <c r="C146">
        <v>66</v>
      </c>
      <c r="D146" t="s">
        <v>2603</v>
      </c>
      <c r="E146" t="s">
        <v>2604</v>
      </c>
      <c r="F146">
        <v>0.9</v>
      </c>
      <c r="G146">
        <v>0.96960000000000002</v>
      </c>
    </row>
    <row r="147" spans="1:7">
      <c r="A147" t="s">
        <v>381</v>
      </c>
      <c r="B147" t="s">
        <v>2608</v>
      </c>
      <c r="C147">
        <v>132</v>
      </c>
      <c r="D147" t="s">
        <v>2609</v>
      </c>
      <c r="E147" t="s">
        <v>2610</v>
      </c>
      <c r="F147">
        <v>0.99890000000000001</v>
      </c>
      <c r="G147">
        <v>0.99909999999999999</v>
      </c>
    </row>
    <row r="148" spans="1:7">
      <c r="A148" t="s">
        <v>392</v>
      </c>
      <c r="B148" t="s">
        <v>111</v>
      </c>
      <c r="C148">
        <v>132</v>
      </c>
      <c r="D148" t="s">
        <v>1232</v>
      </c>
      <c r="E148" t="s">
        <v>2593</v>
      </c>
      <c r="F148">
        <v>1.0135000000000001</v>
      </c>
      <c r="G148">
        <v>0.99139999999999995</v>
      </c>
    </row>
    <row r="149" spans="1:7">
      <c r="A149" t="s">
        <v>438</v>
      </c>
      <c r="B149" t="s">
        <v>2611</v>
      </c>
      <c r="C149">
        <v>66</v>
      </c>
      <c r="D149" t="s">
        <v>2612</v>
      </c>
      <c r="E149" t="s">
        <v>2581</v>
      </c>
      <c r="F149">
        <v>1.0387</v>
      </c>
      <c r="G149">
        <v>1.0105999999999999</v>
      </c>
    </row>
    <row r="150" spans="1:7">
      <c r="A150" t="s">
        <v>440</v>
      </c>
      <c r="B150" t="s">
        <v>2613</v>
      </c>
      <c r="C150">
        <v>66</v>
      </c>
      <c r="D150" t="s">
        <v>2614</v>
      </c>
      <c r="E150" t="s">
        <v>2516</v>
      </c>
      <c r="F150">
        <v>1.0748</v>
      </c>
      <c r="G150">
        <v>1.0314000000000001</v>
      </c>
    </row>
    <row r="151" spans="1:7">
      <c r="A151" t="s">
        <v>448</v>
      </c>
      <c r="B151" t="s">
        <v>2615</v>
      </c>
      <c r="C151">
        <v>66</v>
      </c>
      <c r="D151" t="s">
        <v>2616</v>
      </c>
      <c r="E151" t="s">
        <v>2616</v>
      </c>
      <c r="F151">
        <v>0.95920000000000005</v>
      </c>
      <c r="G151">
        <v>0.9879</v>
      </c>
    </row>
    <row r="152" spans="1:7">
      <c r="A152" t="s">
        <v>450</v>
      </c>
      <c r="B152" t="s">
        <v>2617</v>
      </c>
      <c r="C152">
        <v>66</v>
      </c>
      <c r="D152" t="s">
        <v>2618</v>
      </c>
      <c r="E152" t="s">
        <v>2619</v>
      </c>
      <c r="F152">
        <v>1.0007999999999999</v>
      </c>
      <c r="G152">
        <v>1.0015000000000001</v>
      </c>
    </row>
    <row r="153" spans="1:7">
      <c r="A153" t="s">
        <v>409</v>
      </c>
      <c r="B153" t="s">
        <v>2620</v>
      </c>
      <c r="C153">
        <v>33</v>
      </c>
      <c r="D153" t="s">
        <v>1180</v>
      </c>
      <c r="E153" t="s">
        <v>2621</v>
      </c>
      <c r="F153">
        <v>0.95820000000000005</v>
      </c>
      <c r="G153">
        <v>0.96789999999999998</v>
      </c>
    </row>
    <row r="154" spans="1:7">
      <c r="A154" t="s">
        <v>425</v>
      </c>
      <c r="B154" t="s">
        <v>2622</v>
      </c>
      <c r="C154">
        <v>132</v>
      </c>
      <c r="D154" t="s">
        <v>2623</v>
      </c>
      <c r="E154" t="s">
        <v>2596</v>
      </c>
      <c r="F154">
        <v>1.0041</v>
      </c>
      <c r="G154">
        <v>1.0035000000000001</v>
      </c>
    </row>
    <row r="155" spans="1:7">
      <c r="A155" t="s">
        <v>488</v>
      </c>
      <c r="B155" t="s">
        <v>2624</v>
      </c>
      <c r="C155">
        <v>132</v>
      </c>
      <c r="D155" t="s">
        <v>2625</v>
      </c>
      <c r="E155" t="s">
        <v>2626</v>
      </c>
      <c r="F155">
        <v>1.0033000000000001</v>
      </c>
      <c r="G155">
        <v>1.0028999999999999</v>
      </c>
    </row>
    <row r="156" spans="1:7">
      <c r="A156" t="s">
        <v>486</v>
      </c>
      <c r="B156" t="s">
        <v>2627</v>
      </c>
      <c r="C156">
        <v>132</v>
      </c>
      <c r="D156" t="s">
        <v>2628</v>
      </c>
      <c r="E156" t="s">
        <v>2626</v>
      </c>
      <c r="F156">
        <v>1.0033000000000001</v>
      </c>
      <c r="G156">
        <v>1.0028999999999999</v>
      </c>
    </row>
    <row r="157" spans="1:7">
      <c r="A157" t="s">
        <v>522</v>
      </c>
      <c r="B157" t="s">
        <v>523</v>
      </c>
      <c r="C157">
        <v>66</v>
      </c>
      <c r="D157" t="s">
        <v>2633</v>
      </c>
      <c r="E157" t="s">
        <v>2634</v>
      </c>
      <c r="F157">
        <v>0.8911</v>
      </c>
      <c r="G157">
        <v>0.94330000000000003</v>
      </c>
    </row>
    <row r="158" spans="1:7">
      <c r="A158" t="s">
        <v>547</v>
      </c>
      <c r="B158" t="s">
        <v>2639</v>
      </c>
      <c r="C158">
        <v>132</v>
      </c>
      <c r="D158" t="s">
        <v>2640</v>
      </c>
      <c r="E158" t="s">
        <v>2641</v>
      </c>
      <c r="F158">
        <v>1.0047999999999999</v>
      </c>
      <c r="G158">
        <v>1.0049999999999999</v>
      </c>
    </row>
    <row r="159" spans="1:7">
      <c r="A159" t="s">
        <v>554</v>
      </c>
      <c r="B159" t="s">
        <v>2642</v>
      </c>
      <c r="C159">
        <v>132</v>
      </c>
      <c r="D159" t="s">
        <v>2643</v>
      </c>
      <c r="E159" t="s">
        <v>1290</v>
      </c>
      <c r="F159">
        <v>0.98309999999999997</v>
      </c>
      <c r="G159">
        <v>0.9909</v>
      </c>
    </row>
    <row r="160" spans="1:7">
      <c r="A160" t="s">
        <v>643</v>
      </c>
      <c r="B160" t="s">
        <v>2650</v>
      </c>
      <c r="C160">
        <v>33</v>
      </c>
      <c r="D160" t="s">
        <v>2651</v>
      </c>
      <c r="E160" t="s">
        <v>2652</v>
      </c>
      <c r="F160">
        <v>1.0068999999999999</v>
      </c>
      <c r="G160">
        <v>1.0071000000000001</v>
      </c>
    </row>
    <row r="161" spans="1:7">
      <c r="A161" t="s">
        <v>2654</v>
      </c>
      <c r="B161" t="s">
        <v>2653</v>
      </c>
      <c r="C161">
        <v>132</v>
      </c>
      <c r="D161" t="s">
        <v>2655</v>
      </c>
      <c r="E161" t="s">
        <v>2568</v>
      </c>
      <c r="F161">
        <v>1.0022</v>
      </c>
      <c r="G161">
        <v>1.0019</v>
      </c>
    </row>
    <row r="162" spans="1:7">
      <c r="A162" t="s">
        <v>654</v>
      </c>
      <c r="B162" t="s">
        <v>2656</v>
      </c>
      <c r="C162">
        <v>132</v>
      </c>
      <c r="D162" t="s">
        <v>1214</v>
      </c>
      <c r="E162" t="s">
        <v>2657</v>
      </c>
      <c r="F162">
        <v>1.0013000000000001</v>
      </c>
      <c r="G162">
        <v>0.99670000000000003</v>
      </c>
    </row>
    <row r="163" spans="1:7">
      <c r="A163" t="s">
        <v>656</v>
      </c>
      <c r="B163" t="s">
        <v>657</v>
      </c>
      <c r="C163">
        <v>132</v>
      </c>
      <c r="D163" t="s">
        <v>1224</v>
      </c>
      <c r="E163" t="s">
        <v>2658</v>
      </c>
      <c r="F163">
        <v>0.99980000000000002</v>
      </c>
      <c r="G163">
        <v>0.99219999999999997</v>
      </c>
    </row>
    <row r="164" spans="1:7">
      <c r="A164" t="s">
        <v>669</v>
      </c>
      <c r="B164" t="s">
        <v>2659</v>
      </c>
      <c r="C164">
        <v>132</v>
      </c>
      <c r="D164" t="s">
        <v>2660</v>
      </c>
      <c r="E164" t="s">
        <v>2575</v>
      </c>
      <c r="F164">
        <v>0.98919999999999997</v>
      </c>
      <c r="G164">
        <v>0.99070000000000003</v>
      </c>
    </row>
    <row r="165" spans="1:7">
      <c r="A165" t="s">
        <v>675</v>
      </c>
      <c r="B165" t="s">
        <v>3932</v>
      </c>
      <c r="C165">
        <v>66</v>
      </c>
      <c r="D165" t="s">
        <v>2662</v>
      </c>
      <c r="E165" t="s">
        <v>2663</v>
      </c>
      <c r="F165">
        <v>1.1255999999999999</v>
      </c>
      <c r="G165">
        <v>1.0157</v>
      </c>
    </row>
    <row r="166" spans="1:7">
      <c r="A166" t="s">
        <v>2665</v>
      </c>
      <c r="B166" t="s">
        <v>2664</v>
      </c>
      <c r="C166">
        <v>132</v>
      </c>
      <c r="D166" t="s">
        <v>2666</v>
      </c>
      <c r="E166" t="s">
        <v>2568</v>
      </c>
      <c r="F166">
        <v>1.0022</v>
      </c>
      <c r="G166">
        <v>1.0019</v>
      </c>
    </row>
    <row r="167" spans="1:7">
      <c r="A167" t="s">
        <v>174</v>
      </c>
      <c r="B167" t="s">
        <v>2667</v>
      </c>
      <c r="C167">
        <v>132</v>
      </c>
      <c r="D167" t="s">
        <v>2668</v>
      </c>
      <c r="E167" t="s">
        <v>2669</v>
      </c>
      <c r="F167">
        <v>1.0023</v>
      </c>
      <c r="G167">
        <v>0.99860000000000004</v>
      </c>
    </row>
    <row r="168" spans="1:7">
      <c r="A168" t="s">
        <v>733</v>
      </c>
      <c r="B168" t="s">
        <v>2670</v>
      </c>
      <c r="C168">
        <v>132</v>
      </c>
      <c r="D168" t="s">
        <v>2671</v>
      </c>
      <c r="E168" t="s">
        <v>2669</v>
      </c>
      <c r="F168">
        <v>1.0023</v>
      </c>
      <c r="G168">
        <v>0.99860000000000004</v>
      </c>
    </row>
    <row r="169" spans="1:7">
      <c r="A169" t="s">
        <v>739</v>
      </c>
      <c r="B169" t="s">
        <v>2672</v>
      </c>
      <c r="C169">
        <v>66</v>
      </c>
      <c r="D169" t="s">
        <v>2673</v>
      </c>
      <c r="E169" t="s">
        <v>2674</v>
      </c>
      <c r="F169">
        <v>0.97460000000000002</v>
      </c>
      <c r="G169">
        <v>1.0154000000000001</v>
      </c>
    </row>
    <row r="170" spans="1:7">
      <c r="A170" t="s">
        <v>741</v>
      </c>
      <c r="B170" t="s">
        <v>2675</v>
      </c>
      <c r="C170">
        <v>66</v>
      </c>
      <c r="D170" t="s">
        <v>2676</v>
      </c>
      <c r="E170" t="s">
        <v>2674</v>
      </c>
      <c r="F170">
        <v>0.97460000000000002</v>
      </c>
      <c r="G170">
        <v>1.0154000000000001</v>
      </c>
    </row>
    <row r="171" spans="1:7">
      <c r="A171" t="s">
        <v>729</v>
      </c>
      <c r="B171" t="s">
        <v>2677</v>
      </c>
      <c r="C171">
        <v>132</v>
      </c>
      <c r="D171" t="s">
        <v>2678</v>
      </c>
      <c r="E171" t="s">
        <v>2658</v>
      </c>
      <c r="F171">
        <v>0.99980000000000002</v>
      </c>
      <c r="G171">
        <v>0.99219999999999997</v>
      </c>
    </row>
    <row r="172" spans="1:7">
      <c r="A172" t="s">
        <v>760</v>
      </c>
      <c r="B172" t="s">
        <v>2679</v>
      </c>
      <c r="C172">
        <v>66</v>
      </c>
      <c r="D172" t="s">
        <v>2680</v>
      </c>
      <c r="E172" t="s">
        <v>2619</v>
      </c>
      <c r="F172">
        <v>1.0007999999999999</v>
      </c>
      <c r="G172">
        <v>1.0015000000000001</v>
      </c>
    </row>
    <row r="173" spans="1:7">
      <c r="A173" t="s">
        <v>764</v>
      </c>
      <c r="B173" t="s">
        <v>2681</v>
      </c>
      <c r="C173">
        <v>66</v>
      </c>
      <c r="D173" t="s">
        <v>2682</v>
      </c>
      <c r="E173" t="s">
        <v>2683</v>
      </c>
      <c r="F173">
        <v>1.0435000000000001</v>
      </c>
      <c r="G173">
        <v>1.0355000000000001</v>
      </c>
    </row>
    <row r="174" spans="1:7">
      <c r="A174" t="s">
        <v>766</v>
      </c>
      <c r="B174" t="s">
        <v>2684</v>
      </c>
      <c r="C174">
        <v>66</v>
      </c>
      <c r="D174" t="s">
        <v>2685</v>
      </c>
      <c r="E174" t="s">
        <v>2683</v>
      </c>
      <c r="F174">
        <v>1.0435000000000001</v>
      </c>
      <c r="G174">
        <v>1.0355000000000001</v>
      </c>
    </row>
    <row r="175" spans="1:7">
      <c r="A175" t="s">
        <v>301</v>
      </c>
      <c r="B175" t="s">
        <v>302</v>
      </c>
      <c r="C175">
        <v>66</v>
      </c>
      <c r="D175" t="s">
        <v>2686</v>
      </c>
      <c r="E175" t="s">
        <v>2687</v>
      </c>
      <c r="F175">
        <v>1.0563</v>
      </c>
      <c r="G175">
        <v>1.0257000000000001</v>
      </c>
    </row>
    <row r="176" spans="1:7">
      <c r="A176" t="s">
        <v>515</v>
      </c>
      <c r="B176" t="s">
        <v>2688</v>
      </c>
      <c r="C176">
        <v>132</v>
      </c>
      <c r="D176" t="s">
        <v>2689</v>
      </c>
      <c r="E176" t="s">
        <v>3933</v>
      </c>
      <c r="F176">
        <v>1.0362</v>
      </c>
      <c r="G176">
        <v>1.0095000000000001</v>
      </c>
    </row>
    <row r="177" spans="1:7">
      <c r="A177" t="s">
        <v>515</v>
      </c>
      <c r="B177" t="s">
        <v>3934</v>
      </c>
      <c r="C177">
        <v>132</v>
      </c>
      <c r="D177" t="s">
        <v>2689</v>
      </c>
      <c r="E177" t="s">
        <v>2690</v>
      </c>
      <c r="F177">
        <v>1.0395000000000001</v>
      </c>
      <c r="G177" t="s">
        <v>3911</v>
      </c>
    </row>
    <row r="178" spans="1:7">
      <c r="A178" t="s">
        <v>612</v>
      </c>
      <c r="B178" t="s">
        <v>613</v>
      </c>
      <c r="C178">
        <v>132</v>
      </c>
      <c r="D178" t="s">
        <v>1246</v>
      </c>
      <c r="E178" t="s">
        <v>3933</v>
      </c>
      <c r="F178">
        <v>1.0362</v>
      </c>
      <c r="G178">
        <v>1.0095000000000001</v>
      </c>
    </row>
    <row r="179" spans="1:7">
      <c r="A179" t="s">
        <v>612</v>
      </c>
      <c r="B179" t="s">
        <v>3935</v>
      </c>
      <c r="C179">
        <v>132</v>
      </c>
      <c r="D179" t="s">
        <v>1246</v>
      </c>
      <c r="E179" t="s">
        <v>2691</v>
      </c>
      <c r="F179">
        <v>1.0386</v>
      </c>
      <c r="G179" t="s">
        <v>3911</v>
      </c>
    </row>
    <row r="180" spans="1:7">
      <c r="A180" t="s">
        <v>201</v>
      </c>
      <c r="B180" t="s">
        <v>3936</v>
      </c>
      <c r="C180">
        <v>220</v>
      </c>
      <c r="D180" t="s">
        <v>2692</v>
      </c>
      <c r="E180" t="s">
        <v>2693</v>
      </c>
      <c r="F180">
        <v>1.0019</v>
      </c>
      <c r="G180">
        <v>1.0299</v>
      </c>
    </row>
    <row r="181" spans="1:7">
      <c r="A181" t="s">
        <v>208</v>
      </c>
      <c r="B181" t="s">
        <v>2701</v>
      </c>
      <c r="C181">
        <v>220</v>
      </c>
      <c r="D181" t="s">
        <v>2702</v>
      </c>
      <c r="E181" t="s">
        <v>1036</v>
      </c>
      <c r="F181">
        <v>0.93720000000000003</v>
      </c>
      <c r="G181">
        <v>0.98119999999999996</v>
      </c>
    </row>
    <row r="182" spans="1:7">
      <c r="A182" t="s">
        <v>2708</v>
      </c>
      <c r="B182" t="s">
        <v>3937</v>
      </c>
      <c r="C182">
        <v>500</v>
      </c>
      <c r="D182" t="s">
        <v>2709</v>
      </c>
      <c r="E182" t="s">
        <v>2710</v>
      </c>
      <c r="F182">
        <v>0.98740000000000006</v>
      </c>
      <c r="G182">
        <v>0.97650000000000003</v>
      </c>
    </row>
    <row r="183" spans="1:7">
      <c r="A183" t="s">
        <v>342</v>
      </c>
      <c r="B183" t="s">
        <v>2717</v>
      </c>
      <c r="C183">
        <v>220</v>
      </c>
      <c r="D183" t="s">
        <v>1036</v>
      </c>
      <c r="E183" t="s">
        <v>1036</v>
      </c>
      <c r="F183">
        <v>0.93720000000000003</v>
      </c>
      <c r="G183">
        <v>0.98119999999999996</v>
      </c>
    </row>
    <row r="184" spans="1:7">
      <c r="A184" t="s">
        <v>355</v>
      </c>
      <c r="B184" t="s">
        <v>2718</v>
      </c>
      <c r="C184">
        <v>220</v>
      </c>
      <c r="D184" t="s">
        <v>1052</v>
      </c>
      <c r="E184" t="s">
        <v>2719</v>
      </c>
      <c r="F184">
        <v>0.96960000000000002</v>
      </c>
      <c r="G184">
        <v>0.99450000000000005</v>
      </c>
    </row>
    <row r="185" spans="1:7">
      <c r="A185" t="s">
        <v>357</v>
      </c>
      <c r="B185" t="s">
        <v>2720</v>
      </c>
      <c r="C185">
        <v>220</v>
      </c>
      <c r="D185" t="s">
        <v>1054</v>
      </c>
      <c r="E185" t="s">
        <v>2719</v>
      </c>
      <c r="F185">
        <v>0.96960000000000002</v>
      </c>
      <c r="G185">
        <v>0.99450000000000005</v>
      </c>
    </row>
    <row r="186" spans="1:7">
      <c r="A186" t="s">
        <v>3939</v>
      </c>
      <c r="B186" t="s">
        <v>3938</v>
      </c>
      <c r="C186">
        <v>220</v>
      </c>
      <c r="D186" t="s">
        <v>3940</v>
      </c>
      <c r="E186" t="s">
        <v>3941</v>
      </c>
      <c r="F186">
        <v>0.98199999999999998</v>
      </c>
      <c r="G186">
        <v>0.97009999999999996</v>
      </c>
    </row>
    <row r="187" spans="1:7">
      <c r="A187" t="s">
        <v>429</v>
      </c>
      <c r="B187" t="s">
        <v>2729</v>
      </c>
      <c r="C187">
        <v>220</v>
      </c>
      <c r="D187" t="s">
        <v>1085</v>
      </c>
      <c r="E187" t="s">
        <v>2730</v>
      </c>
      <c r="F187">
        <v>0.98299999999999998</v>
      </c>
      <c r="G187">
        <v>0.96409999999999996</v>
      </c>
    </row>
    <row r="188" spans="1:7">
      <c r="A188" t="s">
        <v>431</v>
      </c>
      <c r="B188" t="s">
        <v>2731</v>
      </c>
      <c r="C188">
        <v>220</v>
      </c>
      <c r="D188" t="s">
        <v>1087</v>
      </c>
      <c r="E188" t="s">
        <v>2730</v>
      </c>
      <c r="F188">
        <v>0.98299999999999998</v>
      </c>
      <c r="G188">
        <v>0.96409999999999996</v>
      </c>
    </row>
    <row r="189" spans="1:7">
      <c r="A189" t="s">
        <v>432</v>
      </c>
      <c r="B189" t="s">
        <v>2732</v>
      </c>
      <c r="C189">
        <v>220</v>
      </c>
      <c r="D189" t="s">
        <v>1088</v>
      </c>
      <c r="E189" t="s">
        <v>2730</v>
      </c>
      <c r="F189">
        <v>0.98299999999999998</v>
      </c>
      <c r="G189">
        <v>0.96409999999999996</v>
      </c>
    </row>
    <row r="190" spans="1:7">
      <c r="A190" t="s">
        <v>433</v>
      </c>
      <c r="B190" t="s">
        <v>2733</v>
      </c>
      <c r="C190">
        <v>220</v>
      </c>
      <c r="D190" t="s">
        <v>1089</v>
      </c>
      <c r="E190" t="s">
        <v>2730</v>
      </c>
      <c r="F190">
        <v>0.98299999999999998</v>
      </c>
      <c r="G190">
        <v>0.96409999999999996</v>
      </c>
    </row>
    <row r="191" spans="1:7">
      <c r="A191" t="s">
        <v>434</v>
      </c>
      <c r="B191" t="s">
        <v>2734</v>
      </c>
      <c r="C191">
        <v>220</v>
      </c>
      <c r="D191" t="s">
        <v>1091</v>
      </c>
      <c r="E191" t="s">
        <v>2730</v>
      </c>
      <c r="F191">
        <v>0.98299999999999998</v>
      </c>
      <c r="G191">
        <v>0.96409999999999996</v>
      </c>
    </row>
    <row r="192" spans="1:7">
      <c r="A192" t="s">
        <v>436</v>
      </c>
      <c r="B192" t="s">
        <v>2735</v>
      </c>
      <c r="C192">
        <v>220</v>
      </c>
      <c r="D192" t="s">
        <v>1092</v>
      </c>
      <c r="E192" t="s">
        <v>2730</v>
      </c>
      <c r="F192">
        <v>0.98299999999999998</v>
      </c>
      <c r="G192">
        <v>0.96409999999999996</v>
      </c>
    </row>
    <row r="193" spans="1:7">
      <c r="A193" t="s">
        <v>437</v>
      </c>
      <c r="B193" t="s">
        <v>2736</v>
      </c>
      <c r="C193">
        <v>220</v>
      </c>
      <c r="D193" t="s">
        <v>1093</v>
      </c>
      <c r="E193" t="s">
        <v>2730</v>
      </c>
      <c r="F193">
        <v>0.98299999999999998</v>
      </c>
      <c r="G193">
        <v>0.96409999999999996</v>
      </c>
    </row>
    <row r="194" spans="1:7">
      <c r="A194" t="s">
        <v>2738</v>
      </c>
      <c r="B194" t="s">
        <v>2737</v>
      </c>
      <c r="C194">
        <v>132</v>
      </c>
      <c r="D194" t="s">
        <v>2739</v>
      </c>
      <c r="E194" t="s">
        <v>2739</v>
      </c>
      <c r="F194">
        <v>1.0474000000000001</v>
      </c>
      <c r="G194">
        <v>1.1114999999999999</v>
      </c>
    </row>
    <row r="195" spans="1:7">
      <c r="A195" t="s">
        <v>2741</v>
      </c>
      <c r="B195" t="s">
        <v>3942</v>
      </c>
      <c r="C195">
        <v>66</v>
      </c>
      <c r="D195" t="s">
        <v>2742</v>
      </c>
      <c r="E195" t="s">
        <v>2743</v>
      </c>
      <c r="F195">
        <v>1.0357000000000001</v>
      </c>
      <c r="G195" t="s">
        <v>3911</v>
      </c>
    </row>
    <row r="196" spans="1:7">
      <c r="A196" t="s">
        <v>477</v>
      </c>
      <c r="B196" t="s">
        <v>2744</v>
      </c>
      <c r="C196">
        <v>220</v>
      </c>
      <c r="D196" t="s">
        <v>2745</v>
      </c>
      <c r="E196" t="s">
        <v>2746</v>
      </c>
      <c r="F196">
        <v>1.0081</v>
      </c>
      <c r="G196">
        <v>1.0009999999999999</v>
      </c>
    </row>
    <row r="197" spans="1:7">
      <c r="A197" t="s">
        <v>478</v>
      </c>
      <c r="B197" t="s">
        <v>2747</v>
      </c>
      <c r="C197">
        <v>220</v>
      </c>
      <c r="D197" t="s">
        <v>2748</v>
      </c>
      <c r="E197" t="s">
        <v>2746</v>
      </c>
      <c r="F197">
        <v>1.0081</v>
      </c>
      <c r="G197">
        <v>1.0009999999999999</v>
      </c>
    </row>
    <row r="198" spans="1:7">
      <c r="A198" t="s">
        <v>2750</v>
      </c>
      <c r="B198" t="s">
        <v>2749</v>
      </c>
      <c r="C198">
        <v>500</v>
      </c>
      <c r="D198" t="s">
        <v>2751</v>
      </c>
      <c r="E198" t="s">
        <v>2752</v>
      </c>
      <c r="F198">
        <v>0.98009999999999997</v>
      </c>
      <c r="G198">
        <v>0.97230000000000005</v>
      </c>
    </row>
    <row r="199" spans="1:7">
      <c r="A199" t="s">
        <v>489</v>
      </c>
      <c r="B199" t="s">
        <v>2753</v>
      </c>
      <c r="C199">
        <v>500</v>
      </c>
      <c r="D199" t="s">
        <v>1066</v>
      </c>
      <c r="E199" t="s">
        <v>2752</v>
      </c>
      <c r="F199">
        <v>0.98009999999999997</v>
      </c>
      <c r="G199">
        <v>0.97230000000000005</v>
      </c>
    </row>
    <row r="200" spans="1:7">
      <c r="A200" t="s">
        <v>491</v>
      </c>
      <c r="B200" t="s">
        <v>2754</v>
      </c>
      <c r="C200">
        <v>500</v>
      </c>
      <c r="D200" t="s">
        <v>1068</v>
      </c>
      <c r="E200" t="s">
        <v>2752</v>
      </c>
      <c r="F200">
        <v>0.98009999999999997</v>
      </c>
      <c r="G200">
        <v>0.97230000000000005</v>
      </c>
    </row>
    <row r="201" spans="1:7">
      <c r="A201" t="s">
        <v>492</v>
      </c>
      <c r="B201" t="s">
        <v>2755</v>
      </c>
      <c r="C201">
        <v>500</v>
      </c>
      <c r="D201" t="s">
        <v>1069</v>
      </c>
      <c r="E201" t="s">
        <v>2752</v>
      </c>
      <c r="F201">
        <v>0.98009999999999997</v>
      </c>
      <c r="G201">
        <v>0.97230000000000005</v>
      </c>
    </row>
    <row r="202" spans="1:7">
      <c r="A202" t="s">
        <v>493</v>
      </c>
      <c r="B202" t="s">
        <v>2756</v>
      </c>
      <c r="C202">
        <v>500</v>
      </c>
      <c r="D202" t="s">
        <v>1070</v>
      </c>
      <c r="E202" t="s">
        <v>2752</v>
      </c>
      <c r="F202">
        <v>0.98009999999999997</v>
      </c>
      <c r="G202">
        <v>0.97230000000000005</v>
      </c>
    </row>
    <row r="203" spans="1:7">
      <c r="A203" t="s">
        <v>483</v>
      </c>
      <c r="B203" t="s">
        <v>2757</v>
      </c>
      <c r="C203">
        <v>500</v>
      </c>
      <c r="D203" t="s">
        <v>1073</v>
      </c>
      <c r="E203" t="s">
        <v>2752</v>
      </c>
      <c r="F203">
        <v>0.98009999999999997</v>
      </c>
      <c r="G203">
        <v>0.97230000000000005</v>
      </c>
    </row>
    <row r="204" spans="1:7">
      <c r="A204" t="s">
        <v>485</v>
      </c>
      <c r="B204" t="s">
        <v>2758</v>
      </c>
      <c r="C204">
        <v>500</v>
      </c>
      <c r="D204" t="s">
        <v>1075</v>
      </c>
      <c r="E204" t="s">
        <v>2752</v>
      </c>
      <c r="F204">
        <v>0.98009999999999997</v>
      </c>
      <c r="G204">
        <v>0.97230000000000005</v>
      </c>
    </row>
    <row r="205" spans="1:7">
      <c r="A205" t="s">
        <v>494</v>
      </c>
      <c r="B205" t="s">
        <v>2759</v>
      </c>
      <c r="C205">
        <v>500</v>
      </c>
      <c r="D205" t="s">
        <v>1148</v>
      </c>
      <c r="E205" t="s">
        <v>2760</v>
      </c>
      <c r="F205">
        <v>1.0017</v>
      </c>
      <c r="G205">
        <v>1.0022</v>
      </c>
    </row>
    <row r="206" spans="1:7">
      <c r="A206" t="s">
        <v>501</v>
      </c>
      <c r="B206" t="s">
        <v>2761</v>
      </c>
      <c r="C206">
        <v>220</v>
      </c>
      <c r="D206" t="s">
        <v>1039</v>
      </c>
      <c r="E206" t="s">
        <v>2762</v>
      </c>
      <c r="F206">
        <v>0.92130000000000001</v>
      </c>
      <c r="G206">
        <v>0.95430000000000004</v>
      </c>
    </row>
    <row r="207" spans="1:7">
      <c r="A207" t="s">
        <v>526</v>
      </c>
      <c r="B207" t="s">
        <v>2763</v>
      </c>
      <c r="C207">
        <v>500</v>
      </c>
      <c r="D207" t="s">
        <v>1151</v>
      </c>
      <c r="E207" t="s">
        <v>2764</v>
      </c>
      <c r="F207">
        <v>1.0049999999999999</v>
      </c>
      <c r="G207">
        <v>1.0015000000000001</v>
      </c>
    </row>
    <row r="208" spans="1:7">
      <c r="A208" t="s">
        <v>528</v>
      </c>
      <c r="B208" t="s">
        <v>2765</v>
      </c>
      <c r="C208">
        <v>500</v>
      </c>
      <c r="D208" t="s">
        <v>1153</v>
      </c>
      <c r="E208" t="s">
        <v>2764</v>
      </c>
      <c r="F208">
        <v>1.0049999999999999</v>
      </c>
      <c r="G208">
        <v>1.0015000000000001</v>
      </c>
    </row>
    <row r="209" spans="1:7">
      <c r="A209" t="s">
        <v>507</v>
      </c>
      <c r="B209" t="s">
        <v>2766</v>
      </c>
      <c r="C209">
        <v>220</v>
      </c>
      <c r="D209" t="s">
        <v>1131</v>
      </c>
      <c r="E209" t="s">
        <v>2767</v>
      </c>
      <c r="F209">
        <v>1.0009999999999999</v>
      </c>
      <c r="G209">
        <v>1.0047999999999999</v>
      </c>
    </row>
    <row r="210" spans="1:7">
      <c r="A210" t="s">
        <v>541</v>
      </c>
      <c r="B210" t="s">
        <v>2768</v>
      </c>
      <c r="C210">
        <v>330</v>
      </c>
      <c r="D210" t="s">
        <v>1032</v>
      </c>
      <c r="E210" t="s">
        <v>2532</v>
      </c>
      <c r="F210">
        <v>0.89639999999999997</v>
      </c>
      <c r="G210">
        <v>0.95899999999999996</v>
      </c>
    </row>
    <row r="211" spans="1:7">
      <c r="A211" t="s">
        <v>549</v>
      </c>
      <c r="B211" t="s">
        <v>2773</v>
      </c>
      <c r="C211">
        <v>220</v>
      </c>
      <c r="D211" t="s">
        <v>1059</v>
      </c>
      <c r="E211" t="s">
        <v>1059</v>
      </c>
      <c r="F211">
        <v>0.999</v>
      </c>
      <c r="G211">
        <v>0.99390000000000001</v>
      </c>
    </row>
    <row r="212" spans="1:7">
      <c r="A212" t="s">
        <v>715</v>
      </c>
      <c r="B212" t="s">
        <v>2782</v>
      </c>
      <c r="C212">
        <v>500</v>
      </c>
      <c r="D212" t="s">
        <v>2783</v>
      </c>
      <c r="E212" t="s">
        <v>2752</v>
      </c>
      <c r="F212">
        <v>0.98009999999999997</v>
      </c>
      <c r="G212">
        <v>0.97230000000000005</v>
      </c>
    </row>
    <row r="213" spans="1:7">
      <c r="A213" t="s">
        <v>716</v>
      </c>
      <c r="B213" t="s">
        <v>2784</v>
      </c>
      <c r="C213">
        <v>500</v>
      </c>
      <c r="D213" t="s">
        <v>2785</v>
      </c>
      <c r="E213" t="s">
        <v>2752</v>
      </c>
      <c r="F213">
        <v>0.98009999999999997</v>
      </c>
      <c r="G213">
        <v>0.97230000000000005</v>
      </c>
    </row>
    <row r="214" spans="1:7">
      <c r="A214" t="s">
        <v>717</v>
      </c>
      <c r="B214" t="s">
        <v>2786</v>
      </c>
      <c r="C214">
        <v>500</v>
      </c>
      <c r="D214" t="s">
        <v>2787</v>
      </c>
      <c r="E214" t="s">
        <v>2752</v>
      </c>
      <c r="F214">
        <v>0.98009999999999997</v>
      </c>
      <c r="G214">
        <v>0.97230000000000005</v>
      </c>
    </row>
    <row r="215" spans="1:7">
      <c r="A215" t="s">
        <v>718</v>
      </c>
      <c r="B215" t="s">
        <v>2788</v>
      </c>
      <c r="C215">
        <v>500</v>
      </c>
      <c r="D215" t="s">
        <v>2789</v>
      </c>
      <c r="E215" t="s">
        <v>2752</v>
      </c>
      <c r="F215">
        <v>0.98009999999999997</v>
      </c>
      <c r="G215">
        <v>0.97230000000000005</v>
      </c>
    </row>
    <row r="216" spans="1:7">
      <c r="A216" t="s">
        <v>719</v>
      </c>
      <c r="B216" t="s">
        <v>2790</v>
      </c>
      <c r="C216">
        <v>500</v>
      </c>
      <c r="D216" t="s">
        <v>2791</v>
      </c>
      <c r="E216" t="s">
        <v>2752</v>
      </c>
      <c r="F216">
        <v>0.98009999999999997</v>
      </c>
      <c r="G216">
        <v>0.97230000000000005</v>
      </c>
    </row>
    <row r="217" spans="1:7">
      <c r="A217" t="s">
        <v>720</v>
      </c>
      <c r="B217" t="s">
        <v>2792</v>
      </c>
      <c r="C217">
        <v>500</v>
      </c>
      <c r="D217" t="s">
        <v>2793</v>
      </c>
      <c r="E217" t="s">
        <v>2752</v>
      </c>
      <c r="F217">
        <v>0.98009999999999997</v>
      </c>
      <c r="G217">
        <v>0.97230000000000005</v>
      </c>
    </row>
    <row r="218" spans="1:7">
      <c r="A218" t="s">
        <v>727</v>
      </c>
      <c r="B218" t="s">
        <v>728</v>
      </c>
      <c r="C218">
        <v>220</v>
      </c>
      <c r="D218" t="s">
        <v>1134</v>
      </c>
      <c r="E218" t="s">
        <v>2794</v>
      </c>
      <c r="F218">
        <v>0.99970000000000003</v>
      </c>
      <c r="G218">
        <v>1.0111000000000001</v>
      </c>
    </row>
    <row r="219" spans="1:7">
      <c r="A219" t="s">
        <v>749</v>
      </c>
      <c r="B219" t="s">
        <v>2798</v>
      </c>
      <c r="C219">
        <v>220</v>
      </c>
      <c r="D219" t="s">
        <v>1042</v>
      </c>
      <c r="E219" t="s">
        <v>2799</v>
      </c>
      <c r="F219">
        <v>0.95399999999999996</v>
      </c>
      <c r="G219">
        <v>1.0025999999999999</v>
      </c>
    </row>
    <row r="220" spans="1:7">
      <c r="A220" t="s">
        <v>751</v>
      </c>
      <c r="B220" t="s">
        <v>2800</v>
      </c>
      <c r="C220">
        <v>220</v>
      </c>
      <c r="D220" t="s">
        <v>1044</v>
      </c>
      <c r="E220" t="s">
        <v>2799</v>
      </c>
      <c r="F220">
        <v>0.95399999999999996</v>
      </c>
      <c r="G220">
        <v>1.0025999999999999</v>
      </c>
    </row>
    <row r="221" spans="1:7">
      <c r="A221" t="s">
        <v>2802</v>
      </c>
      <c r="B221" t="s">
        <v>2801</v>
      </c>
      <c r="C221">
        <v>220</v>
      </c>
      <c r="D221" t="s">
        <v>2803</v>
      </c>
      <c r="E221" t="s">
        <v>2804</v>
      </c>
      <c r="F221">
        <v>0.95579999999999998</v>
      </c>
      <c r="G221">
        <v>0.95089999999999997</v>
      </c>
    </row>
    <row r="222" spans="1:7">
      <c r="A222" t="s">
        <v>777</v>
      </c>
      <c r="B222" t="s">
        <v>2805</v>
      </c>
      <c r="C222">
        <v>220</v>
      </c>
      <c r="D222" t="s">
        <v>1109</v>
      </c>
      <c r="E222" t="s">
        <v>2806</v>
      </c>
      <c r="F222">
        <v>0.97019999999999995</v>
      </c>
      <c r="G222">
        <v>0.95409999999999995</v>
      </c>
    </row>
    <row r="223" spans="1:7">
      <c r="A223" t="s">
        <v>779</v>
      </c>
      <c r="B223" t="s">
        <v>2807</v>
      </c>
      <c r="C223">
        <v>220</v>
      </c>
      <c r="D223" t="s">
        <v>1111</v>
      </c>
      <c r="E223" t="s">
        <v>2804</v>
      </c>
      <c r="F223">
        <v>0.95579999999999998</v>
      </c>
      <c r="G223">
        <v>0.95089999999999997</v>
      </c>
    </row>
    <row r="224" spans="1:7">
      <c r="A224" t="s">
        <v>780</v>
      </c>
      <c r="B224" t="s">
        <v>2808</v>
      </c>
      <c r="C224">
        <v>220</v>
      </c>
      <c r="D224" t="s">
        <v>1112</v>
      </c>
      <c r="E224" t="s">
        <v>2804</v>
      </c>
      <c r="F224">
        <v>0.95579999999999998</v>
      </c>
      <c r="G224">
        <v>0.95089999999999997</v>
      </c>
    </row>
    <row r="225" spans="1:7">
      <c r="A225" t="s">
        <v>781</v>
      </c>
      <c r="B225" t="s">
        <v>2809</v>
      </c>
      <c r="C225">
        <v>220</v>
      </c>
      <c r="D225" t="s">
        <v>1113</v>
      </c>
      <c r="E225" t="s">
        <v>2804</v>
      </c>
      <c r="F225">
        <v>0.95579999999999998</v>
      </c>
      <c r="G225">
        <v>0.95089999999999997</v>
      </c>
    </row>
    <row r="226" spans="1:7">
      <c r="A226" t="s">
        <v>236</v>
      </c>
      <c r="B226" t="s">
        <v>237</v>
      </c>
      <c r="C226">
        <v>66</v>
      </c>
      <c r="D226" t="s">
        <v>1116</v>
      </c>
      <c r="E226" t="s">
        <v>2814</v>
      </c>
      <c r="F226">
        <v>0.98629999999999995</v>
      </c>
      <c r="G226">
        <v>0.97450000000000003</v>
      </c>
    </row>
    <row r="227" spans="1:7">
      <c r="A227" t="s">
        <v>238</v>
      </c>
      <c r="B227" t="s">
        <v>3943</v>
      </c>
      <c r="C227">
        <v>66</v>
      </c>
      <c r="D227" t="s">
        <v>1118</v>
      </c>
      <c r="E227" t="s">
        <v>2814</v>
      </c>
      <c r="F227">
        <v>0.98629999999999995</v>
      </c>
      <c r="G227">
        <v>0.97450000000000003</v>
      </c>
    </row>
    <row r="228" spans="1:7">
      <c r="A228" t="s">
        <v>204</v>
      </c>
      <c r="B228" t="s">
        <v>84</v>
      </c>
      <c r="C228">
        <v>66</v>
      </c>
      <c r="D228" t="s">
        <v>1124</v>
      </c>
      <c r="E228" t="s">
        <v>2816</v>
      </c>
      <c r="F228">
        <v>0.98860000000000003</v>
      </c>
      <c r="G228">
        <v>0.97589999999999999</v>
      </c>
    </row>
    <row r="229" spans="1:7">
      <c r="A229" t="s">
        <v>228</v>
      </c>
      <c r="B229" t="s">
        <v>1462</v>
      </c>
      <c r="C229">
        <v>66</v>
      </c>
      <c r="D229" t="s">
        <v>2817</v>
      </c>
      <c r="E229" t="s">
        <v>2813</v>
      </c>
      <c r="F229">
        <v>1.016</v>
      </c>
      <c r="G229">
        <v>1.0208999999999999</v>
      </c>
    </row>
    <row r="230" spans="1:7">
      <c r="A230" t="s">
        <v>264</v>
      </c>
      <c r="B230" t="s">
        <v>3944</v>
      </c>
      <c r="C230">
        <v>66</v>
      </c>
      <c r="D230" t="s">
        <v>2819</v>
      </c>
      <c r="E230" t="s">
        <v>2820</v>
      </c>
      <c r="F230">
        <v>1</v>
      </c>
      <c r="G230">
        <v>1</v>
      </c>
    </row>
    <row r="231" spans="1:7">
      <c r="A231" t="s">
        <v>269</v>
      </c>
      <c r="B231" t="s">
        <v>2821</v>
      </c>
      <c r="C231">
        <v>66</v>
      </c>
      <c r="D231" t="s">
        <v>2822</v>
      </c>
      <c r="E231" t="s">
        <v>2823</v>
      </c>
      <c r="F231">
        <v>1.0068999999999999</v>
      </c>
      <c r="G231">
        <v>1.0054000000000001</v>
      </c>
    </row>
    <row r="232" spans="1:7">
      <c r="A232" t="s">
        <v>2826</v>
      </c>
      <c r="B232" t="s">
        <v>2825</v>
      </c>
      <c r="C232">
        <v>66</v>
      </c>
      <c r="D232" t="s">
        <v>2827</v>
      </c>
      <c r="E232" t="s">
        <v>2813</v>
      </c>
      <c r="F232">
        <v>1.016</v>
      </c>
      <c r="G232">
        <v>1.0208999999999999</v>
      </c>
    </row>
    <row r="233" spans="1:7">
      <c r="A233" t="s">
        <v>314</v>
      </c>
      <c r="B233" t="s">
        <v>2828</v>
      </c>
      <c r="C233">
        <v>66</v>
      </c>
      <c r="D233" t="s">
        <v>2829</v>
      </c>
      <c r="E233" t="s">
        <v>2830</v>
      </c>
      <c r="F233">
        <v>0.99890000000000001</v>
      </c>
      <c r="G233">
        <v>0.99719999999999998</v>
      </c>
    </row>
    <row r="234" spans="1:7">
      <c r="A234" t="s">
        <v>324</v>
      </c>
      <c r="B234" t="s">
        <v>325</v>
      </c>
      <c r="C234">
        <v>66</v>
      </c>
      <c r="D234" t="s">
        <v>1156</v>
      </c>
      <c r="E234" t="s">
        <v>2781</v>
      </c>
      <c r="F234">
        <v>1.0322</v>
      </c>
      <c r="G234">
        <v>1.0339</v>
      </c>
    </row>
    <row r="235" spans="1:7">
      <c r="A235" t="s">
        <v>299</v>
      </c>
      <c r="B235" t="s">
        <v>3945</v>
      </c>
      <c r="C235">
        <v>66</v>
      </c>
      <c r="D235" t="s">
        <v>2711</v>
      </c>
      <c r="E235" t="s">
        <v>2712</v>
      </c>
      <c r="F235">
        <v>1.0398000000000001</v>
      </c>
      <c r="G235">
        <v>1.0664</v>
      </c>
    </row>
    <row r="236" spans="1:7">
      <c r="A236" t="s">
        <v>330</v>
      </c>
      <c r="B236" t="s">
        <v>2832</v>
      </c>
      <c r="C236">
        <v>66</v>
      </c>
      <c r="D236" t="s">
        <v>2833</v>
      </c>
      <c r="E236" t="s">
        <v>2834</v>
      </c>
      <c r="F236">
        <v>1.0055000000000001</v>
      </c>
      <c r="G236">
        <v>1.0047999999999999</v>
      </c>
    </row>
    <row r="237" spans="1:7">
      <c r="A237" t="s">
        <v>358</v>
      </c>
      <c r="B237" t="s">
        <v>2835</v>
      </c>
      <c r="C237">
        <v>66</v>
      </c>
      <c r="D237" t="s">
        <v>2836</v>
      </c>
      <c r="E237" t="s">
        <v>2837</v>
      </c>
      <c r="F237">
        <v>0.998</v>
      </c>
      <c r="G237">
        <v>0.99850000000000005</v>
      </c>
    </row>
    <row r="238" spans="1:7">
      <c r="A238" t="s">
        <v>377</v>
      </c>
      <c r="B238" t="s">
        <v>2842</v>
      </c>
      <c r="C238">
        <v>66</v>
      </c>
      <c r="D238" t="s">
        <v>2843</v>
      </c>
      <c r="E238" t="s">
        <v>2816</v>
      </c>
      <c r="F238">
        <v>0.98860000000000003</v>
      </c>
      <c r="G238">
        <v>0.97589999999999999</v>
      </c>
    </row>
    <row r="239" spans="1:7">
      <c r="A239" t="s">
        <v>405</v>
      </c>
      <c r="B239" t="s">
        <v>2844</v>
      </c>
      <c r="C239">
        <v>66</v>
      </c>
      <c r="D239" t="s">
        <v>2845</v>
      </c>
      <c r="E239" t="s">
        <v>2846</v>
      </c>
      <c r="F239">
        <v>0.99619999999999997</v>
      </c>
      <c r="G239">
        <v>0.99319999999999997</v>
      </c>
    </row>
    <row r="240" spans="1:7">
      <c r="A240" t="s">
        <v>2847</v>
      </c>
      <c r="B240" t="s">
        <v>396</v>
      </c>
      <c r="C240">
        <v>66</v>
      </c>
      <c r="D240" t="s">
        <v>2848</v>
      </c>
      <c r="E240" t="s">
        <v>2846</v>
      </c>
      <c r="F240">
        <v>0.99619999999999997</v>
      </c>
      <c r="G240">
        <v>0.99319999999999997</v>
      </c>
    </row>
    <row r="241" spans="1:7">
      <c r="A241" t="s">
        <v>403</v>
      </c>
      <c r="B241" t="s">
        <v>3946</v>
      </c>
      <c r="C241">
        <v>66</v>
      </c>
      <c r="D241" t="s">
        <v>2850</v>
      </c>
      <c r="E241" t="s">
        <v>2813</v>
      </c>
      <c r="F241">
        <v>1.016</v>
      </c>
      <c r="G241">
        <v>1.0208999999999999</v>
      </c>
    </row>
    <row r="242" spans="1:7">
      <c r="A242" t="s">
        <v>2852</v>
      </c>
      <c r="B242" t="s">
        <v>2851</v>
      </c>
      <c r="C242">
        <v>66</v>
      </c>
      <c r="D242" t="s">
        <v>2853</v>
      </c>
      <c r="E242" t="s">
        <v>2853</v>
      </c>
      <c r="F242">
        <v>0.8911</v>
      </c>
      <c r="G242">
        <v>0.99470000000000003</v>
      </c>
    </row>
    <row r="243" spans="1:7">
      <c r="A243" t="s">
        <v>479</v>
      </c>
      <c r="B243" t="s">
        <v>2858</v>
      </c>
      <c r="C243">
        <v>66</v>
      </c>
      <c r="D243" t="s">
        <v>2859</v>
      </c>
      <c r="E243" t="s">
        <v>2816</v>
      </c>
      <c r="F243">
        <v>0.98860000000000003</v>
      </c>
      <c r="G243">
        <v>0.97589999999999999</v>
      </c>
    </row>
    <row r="244" spans="1:7">
      <c r="A244" t="s">
        <v>524</v>
      </c>
      <c r="B244" t="s">
        <v>3947</v>
      </c>
      <c r="C244">
        <v>66</v>
      </c>
      <c r="D244" t="s">
        <v>3948</v>
      </c>
      <c r="E244" t="s">
        <v>3949</v>
      </c>
      <c r="F244">
        <v>0.99629999999999996</v>
      </c>
      <c r="G244">
        <v>0.99250000000000005</v>
      </c>
    </row>
    <row r="245" spans="1:7">
      <c r="A245" t="s">
        <v>516</v>
      </c>
      <c r="B245" t="s">
        <v>517</v>
      </c>
      <c r="C245">
        <v>66</v>
      </c>
      <c r="D245" t="s">
        <v>1145</v>
      </c>
      <c r="E245" t="s">
        <v>2781</v>
      </c>
      <c r="F245">
        <v>1.0322</v>
      </c>
      <c r="G245">
        <v>1.0339</v>
      </c>
    </row>
    <row r="246" spans="1:7">
      <c r="A246" t="s">
        <v>559</v>
      </c>
      <c r="B246" t="s">
        <v>560</v>
      </c>
      <c r="C246">
        <v>66</v>
      </c>
      <c r="D246" t="s">
        <v>1141</v>
      </c>
      <c r="E246" t="s">
        <v>2781</v>
      </c>
      <c r="F246">
        <v>1.0322</v>
      </c>
      <c r="G246">
        <v>1.0339</v>
      </c>
    </row>
    <row r="247" spans="1:7">
      <c r="A247" t="s">
        <v>617</v>
      </c>
      <c r="B247" t="s">
        <v>2868</v>
      </c>
      <c r="C247">
        <v>66</v>
      </c>
      <c r="D247" t="s">
        <v>2869</v>
      </c>
      <c r="E247" t="s">
        <v>2870</v>
      </c>
      <c r="F247">
        <v>1.0037</v>
      </c>
      <c r="G247">
        <v>1.0502</v>
      </c>
    </row>
    <row r="248" spans="1:7">
      <c r="A248" t="s">
        <v>182</v>
      </c>
      <c r="B248" t="s">
        <v>183</v>
      </c>
      <c r="C248">
        <v>66</v>
      </c>
      <c r="D248" t="s">
        <v>1055</v>
      </c>
      <c r="E248" t="s">
        <v>2871</v>
      </c>
      <c r="F248">
        <v>0.99680000000000002</v>
      </c>
      <c r="G248">
        <v>0.99490000000000001</v>
      </c>
    </row>
    <row r="249" spans="1:7">
      <c r="A249" t="s">
        <v>650</v>
      </c>
      <c r="B249" t="s">
        <v>2872</v>
      </c>
      <c r="C249">
        <v>66</v>
      </c>
      <c r="D249" t="s">
        <v>2873</v>
      </c>
      <c r="E249" t="s">
        <v>2830</v>
      </c>
      <c r="F249">
        <v>0.99890000000000001</v>
      </c>
      <c r="G249">
        <v>0.99719999999999998</v>
      </c>
    </row>
    <row r="250" spans="1:7">
      <c r="A250" t="s">
        <v>667</v>
      </c>
      <c r="B250" t="s">
        <v>2874</v>
      </c>
      <c r="C250">
        <v>66</v>
      </c>
      <c r="D250" t="s">
        <v>2875</v>
      </c>
      <c r="E250" t="s">
        <v>2870</v>
      </c>
      <c r="F250">
        <v>1.0037</v>
      </c>
      <c r="G250">
        <v>1.0502</v>
      </c>
    </row>
    <row r="251" spans="1:7">
      <c r="A251" t="s">
        <v>681</v>
      </c>
      <c r="B251" t="s">
        <v>83</v>
      </c>
      <c r="C251">
        <v>66</v>
      </c>
      <c r="D251" t="s">
        <v>1120</v>
      </c>
      <c r="E251" t="s">
        <v>2816</v>
      </c>
      <c r="F251">
        <v>0.98860000000000003</v>
      </c>
      <c r="G251">
        <v>0.97589999999999999</v>
      </c>
    </row>
    <row r="252" spans="1:7">
      <c r="A252" t="s">
        <v>673</v>
      </c>
      <c r="B252" t="s">
        <v>2876</v>
      </c>
      <c r="C252">
        <v>66</v>
      </c>
      <c r="D252" t="s">
        <v>2877</v>
      </c>
      <c r="E252" t="s">
        <v>2816</v>
      </c>
      <c r="F252">
        <v>0.98860000000000003</v>
      </c>
      <c r="G252">
        <v>0.97589999999999999</v>
      </c>
    </row>
    <row r="253" spans="1:7">
      <c r="A253" t="s">
        <v>743</v>
      </c>
      <c r="B253" t="s">
        <v>3950</v>
      </c>
      <c r="C253">
        <v>66</v>
      </c>
      <c r="D253" t="s">
        <v>2879</v>
      </c>
      <c r="E253" t="s">
        <v>3951</v>
      </c>
      <c r="F253">
        <v>0.96209999999999996</v>
      </c>
      <c r="G253">
        <v>1.0235000000000001</v>
      </c>
    </row>
    <row r="254" spans="1:7">
      <c r="A254" t="s">
        <v>752</v>
      </c>
      <c r="B254" t="s">
        <v>753</v>
      </c>
      <c r="C254">
        <v>66</v>
      </c>
      <c r="D254" t="s">
        <v>2881</v>
      </c>
      <c r="E254" t="s">
        <v>2837</v>
      </c>
      <c r="F254">
        <v>0.998</v>
      </c>
      <c r="G254">
        <v>0.99850000000000005</v>
      </c>
    </row>
    <row r="255" spans="1:7">
      <c r="A255" t="s">
        <v>754</v>
      </c>
      <c r="B255" t="s">
        <v>755</v>
      </c>
      <c r="C255">
        <v>66</v>
      </c>
      <c r="D255" t="s">
        <v>2882</v>
      </c>
      <c r="E255" t="s">
        <v>2816</v>
      </c>
      <c r="F255">
        <v>0.98860000000000003</v>
      </c>
      <c r="G255">
        <v>0.97589999999999999</v>
      </c>
    </row>
    <row r="256" spans="1:7">
      <c r="A256" t="s">
        <v>768</v>
      </c>
      <c r="B256" t="s">
        <v>3952</v>
      </c>
      <c r="C256">
        <v>66</v>
      </c>
      <c r="D256" t="s">
        <v>3953</v>
      </c>
      <c r="E256" t="s">
        <v>3954</v>
      </c>
      <c r="F256">
        <v>1.0084</v>
      </c>
      <c r="G256">
        <v>1.0067999999999999</v>
      </c>
    </row>
    <row r="257" spans="1:7">
      <c r="A257" t="s">
        <v>773</v>
      </c>
      <c r="B257" t="s">
        <v>2883</v>
      </c>
      <c r="C257">
        <v>66</v>
      </c>
      <c r="D257" t="s">
        <v>1159</v>
      </c>
      <c r="E257" t="s">
        <v>2781</v>
      </c>
      <c r="F257">
        <v>1.0322</v>
      </c>
      <c r="G257">
        <v>1.0339</v>
      </c>
    </row>
    <row r="258" spans="1:7">
      <c r="A258" t="s">
        <v>2885</v>
      </c>
      <c r="B258" t="s">
        <v>2884</v>
      </c>
      <c r="C258">
        <v>66</v>
      </c>
      <c r="D258" t="s">
        <v>2886</v>
      </c>
      <c r="E258" t="s">
        <v>2870</v>
      </c>
      <c r="F258">
        <v>1.0037</v>
      </c>
      <c r="G258">
        <v>1.0502</v>
      </c>
    </row>
    <row r="259" spans="1:7">
      <c r="A259" t="s">
        <v>297</v>
      </c>
      <c r="B259" t="s">
        <v>298</v>
      </c>
      <c r="C259">
        <v>132</v>
      </c>
      <c r="D259" t="s">
        <v>836</v>
      </c>
      <c r="E259" t="s">
        <v>836</v>
      </c>
      <c r="F259">
        <v>0.89649999999999996</v>
      </c>
      <c r="G259">
        <v>0.88959999999999995</v>
      </c>
    </row>
    <row r="260" spans="1:7">
      <c r="A260" t="s">
        <v>316</v>
      </c>
      <c r="B260" t="s">
        <v>317</v>
      </c>
      <c r="C260">
        <v>132</v>
      </c>
      <c r="D260" t="s">
        <v>868</v>
      </c>
      <c r="E260" t="s">
        <v>2897</v>
      </c>
      <c r="F260">
        <v>0.97870000000000001</v>
      </c>
      <c r="G260">
        <v>0.98219999999999996</v>
      </c>
    </row>
    <row r="261" spans="1:7">
      <c r="A261" t="s">
        <v>347</v>
      </c>
      <c r="B261" t="s">
        <v>2898</v>
      </c>
      <c r="C261">
        <v>66</v>
      </c>
      <c r="D261" t="s">
        <v>913</v>
      </c>
      <c r="E261" t="s">
        <v>2899</v>
      </c>
      <c r="F261">
        <v>1.0019</v>
      </c>
      <c r="G261">
        <v>1.0011000000000001</v>
      </c>
    </row>
    <row r="262" spans="1:7">
      <c r="A262" t="s">
        <v>349</v>
      </c>
      <c r="B262" t="s">
        <v>2900</v>
      </c>
      <c r="C262">
        <v>66</v>
      </c>
      <c r="D262" t="s">
        <v>915</v>
      </c>
      <c r="E262" t="s">
        <v>2899</v>
      </c>
      <c r="F262">
        <v>1.0019</v>
      </c>
      <c r="G262">
        <v>1.0011000000000001</v>
      </c>
    </row>
    <row r="263" spans="1:7">
      <c r="A263" t="s">
        <v>350</v>
      </c>
      <c r="B263" t="s">
        <v>2901</v>
      </c>
      <c r="C263">
        <v>66</v>
      </c>
      <c r="D263" t="s">
        <v>916</v>
      </c>
      <c r="E263" t="s">
        <v>2899</v>
      </c>
      <c r="F263">
        <v>1.0019</v>
      </c>
      <c r="G263">
        <v>1.0011000000000001</v>
      </c>
    </row>
    <row r="264" spans="1:7">
      <c r="A264" t="s">
        <v>399</v>
      </c>
      <c r="B264" t="s">
        <v>3955</v>
      </c>
      <c r="C264">
        <v>275</v>
      </c>
      <c r="D264" t="s">
        <v>851</v>
      </c>
      <c r="E264" t="s">
        <v>2910</v>
      </c>
      <c r="F264">
        <v>0.98180000000000001</v>
      </c>
      <c r="G264">
        <v>0.98709999999999998</v>
      </c>
    </row>
    <row r="265" spans="1:7">
      <c r="A265" t="s">
        <v>164</v>
      </c>
      <c r="B265" t="s">
        <v>8</v>
      </c>
      <c r="C265">
        <v>275</v>
      </c>
      <c r="D265" t="s">
        <v>844</v>
      </c>
      <c r="E265" t="s">
        <v>2909</v>
      </c>
      <c r="F265">
        <v>0.98199999999999998</v>
      </c>
      <c r="G265">
        <v>0.99</v>
      </c>
    </row>
    <row r="266" spans="1:7">
      <c r="A266" t="s">
        <v>397</v>
      </c>
      <c r="B266" t="s">
        <v>9</v>
      </c>
      <c r="C266">
        <v>275</v>
      </c>
      <c r="D266" t="s">
        <v>849</v>
      </c>
      <c r="E266" t="s">
        <v>2909</v>
      </c>
      <c r="F266">
        <v>0.98199999999999998</v>
      </c>
      <c r="G266">
        <v>0.99</v>
      </c>
    </row>
    <row r="267" spans="1:7">
      <c r="A267" t="s">
        <v>401</v>
      </c>
      <c r="B267" t="s">
        <v>2911</v>
      </c>
      <c r="C267">
        <v>275</v>
      </c>
      <c r="D267" t="s">
        <v>2912</v>
      </c>
      <c r="E267" t="s">
        <v>2913</v>
      </c>
      <c r="F267">
        <v>0.97989999999999999</v>
      </c>
      <c r="G267">
        <v>0.99180000000000001</v>
      </c>
    </row>
    <row r="268" spans="1:7">
      <c r="A268" t="s">
        <v>2915</v>
      </c>
      <c r="B268" t="s">
        <v>2914</v>
      </c>
      <c r="C268">
        <v>275</v>
      </c>
      <c r="D268" t="s">
        <v>2916</v>
      </c>
      <c r="E268" t="s">
        <v>2913</v>
      </c>
      <c r="F268">
        <v>0.97989999999999999</v>
      </c>
      <c r="G268">
        <v>0.99180000000000001</v>
      </c>
    </row>
    <row r="269" spans="1:7">
      <c r="A269" t="s">
        <v>2918</v>
      </c>
      <c r="B269" t="s">
        <v>2917</v>
      </c>
      <c r="C269">
        <v>275</v>
      </c>
      <c r="D269" t="s">
        <v>2919</v>
      </c>
      <c r="E269" t="s">
        <v>2913</v>
      </c>
      <c r="F269">
        <v>0.97989999999999999</v>
      </c>
      <c r="G269" t="s">
        <v>3911</v>
      </c>
    </row>
    <row r="270" spans="1:7">
      <c r="A270" t="s">
        <v>455</v>
      </c>
      <c r="B270" t="s">
        <v>2927</v>
      </c>
      <c r="C270">
        <v>132</v>
      </c>
      <c r="D270" t="s">
        <v>922</v>
      </c>
      <c r="E270" t="s">
        <v>2928</v>
      </c>
      <c r="F270">
        <v>0.91700000000000004</v>
      </c>
      <c r="G270">
        <v>0.88719999999999999</v>
      </c>
    </row>
    <row r="271" spans="1:7">
      <c r="A271" t="s">
        <v>457</v>
      </c>
      <c r="B271" t="s">
        <v>2929</v>
      </c>
      <c r="C271">
        <v>132</v>
      </c>
      <c r="D271" t="s">
        <v>924</v>
      </c>
      <c r="E271" t="s">
        <v>2928</v>
      </c>
      <c r="F271">
        <v>0.91700000000000004</v>
      </c>
      <c r="G271">
        <v>0.88719999999999999</v>
      </c>
    </row>
    <row r="272" spans="1:7">
      <c r="A272" t="s">
        <v>471</v>
      </c>
      <c r="B272" t="s">
        <v>472</v>
      </c>
      <c r="C272">
        <v>33</v>
      </c>
      <c r="D272" t="s">
        <v>933</v>
      </c>
      <c r="E272" t="s">
        <v>2930</v>
      </c>
      <c r="F272">
        <v>0.89059999999999995</v>
      </c>
      <c r="G272">
        <v>0.87680000000000002</v>
      </c>
    </row>
    <row r="273" spans="1:7">
      <c r="A273" t="s">
        <v>473</v>
      </c>
      <c r="B273" t="s">
        <v>2931</v>
      </c>
      <c r="C273">
        <v>33</v>
      </c>
      <c r="D273" t="s">
        <v>2932</v>
      </c>
      <c r="E273" t="s">
        <v>2930</v>
      </c>
      <c r="F273">
        <v>0.89059999999999995</v>
      </c>
      <c r="G273">
        <v>0.87680000000000002</v>
      </c>
    </row>
    <row r="274" spans="1:7">
      <c r="A274" t="s">
        <v>475</v>
      </c>
      <c r="B274" t="s">
        <v>2933</v>
      </c>
      <c r="C274">
        <v>33</v>
      </c>
      <c r="D274" t="s">
        <v>2934</v>
      </c>
      <c r="E274" t="s">
        <v>2930</v>
      </c>
      <c r="F274">
        <v>0.89059999999999995</v>
      </c>
      <c r="G274">
        <v>0.87680000000000002</v>
      </c>
    </row>
    <row r="275" spans="1:7">
      <c r="A275" t="s">
        <v>511</v>
      </c>
      <c r="B275" t="s">
        <v>17</v>
      </c>
      <c r="C275">
        <v>132</v>
      </c>
      <c r="D275" t="s">
        <v>873</v>
      </c>
      <c r="E275" t="s">
        <v>873</v>
      </c>
      <c r="F275">
        <v>0.99409999999999998</v>
      </c>
      <c r="G275">
        <v>0.9889</v>
      </c>
    </row>
    <row r="276" spans="1:7">
      <c r="A276" t="s">
        <v>539</v>
      </c>
      <c r="B276" t="s">
        <v>540</v>
      </c>
      <c r="C276">
        <v>33</v>
      </c>
      <c r="D276" t="s">
        <v>822</v>
      </c>
      <c r="E276" t="s">
        <v>2939</v>
      </c>
      <c r="F276">
        <v>0.91720000000000002</v>
      </c>
      <c r="G276">
        <v>0.91200000000000003</v>
      </c>
    </row>
    <row r="277" spans="1:7">
      <c r="A277" t="s">
        <v>545</v>
      </c>
      <c r="B277" t="s">
        <v>546</v>
      </c>
      <c r="C277">
        <v>275</v>
      </c>
      <c r="D277" t="s">
        <v>840</v>
      </c>
      <c r="E277" t="s">
        <v>2940</v>
      </c>
      <c r="F277">
        <v>0.9798</v>
      </c>
      <c r="G277">
        <v>0.98629999999999995</v>
      </c>
    </row>
    <row r="278" spans="1:7">
      <c r="A278" t="s">
        <v>561</v>
      </c>
      <c r="B278" t="s">
        <v>2941</v>
      </c>
      <c r="C278">
        <v>66</v>
      </c>
      <c r="D278" t="s">
        <v>897</v>
      </c>
      <c r="E278" t="s">
        <v>2942</v>
      </c>
      <c r="F278">
        <v>0.99880000000000002</v>
      </c>
      <c r="G278">
        <v>0.99939999999999996</v>
      </c>
    </row>
    <row r="279" spans="1:7">
      <c r="A279" t="s">
        <v>581</v>
      </c>
      <c r="B279" t="s">
        <v>2943</v>
      </c>
      <c r="C279">
        <v>275</v>
      </c>
      <c r="D279" t="s">
        <v>886</v>
      </c>
      <c r="E279" t="s">
        <v>886</v>
      </c>
      <c r="F279">
        <v>1.0012000000000001</v>
      </c>
      <c r="G279">
        <v>1.0008999999999999</v>
      </c>
    </row>
    <row r="280" spans="1:7">
      <c r="A280" t="s">
        <v>576</v>
      </c>
      <c r="B280" t="s">
        <v>2944</v>
      </c>
      <c r="C280">
        <v>33</v>
      </c>
      <c r="D280" t="s">
        <v>834</v>
      </c>
      <c r="E280" t="s">
        <v>2945</v>
      </c>
      <c r="F280">
        <v>1.0509999999999999</v>
      </c>
      <c r="G280">
        <v>1.0064</v>
      </c>
    </row>
    <row r="281" spans="1:7">
      <c r="A281" t="s">
        <v>574</v>
      </c>
      <c r="B281" t="s">
        <v>5</v>
      </c>
      <c r="C281">
        <v>132</v>
      </c>
      <c r="D281" t="s">
        <v>829</v>
      </c>
      <c r="E281" t="s">
        <v>2946</v>
      </c>
      <c r="F281">
        <v>1.0158</v>
      </c>
      <c r="G281">
        <v>1.0011000000000001</v>
      </c>
    </row>
    <row r="282" spans="1:7">
      <c r="A282" t="s">
        <v>590</v>
      </c>
      <c r="B282" t="s">
        <v>2947</v>
      </c>
      <c r="C282">
        <v>66</v>
      </c>
      <c r="D282" t="s">
        <v>890</v>
      </c>
      <c r="E282" t="s">
        <v>2948</v>
      </c>
      <c r="F282">
        <v>0.98560000000000003</v>
      </c>
      <c r="G282">
        <v>0.98640000000000005</v>
      </c>
    </row>
    <row r="283" spans="1:7">
      <c r="A283" t="s">
        <v>592</v>
      </c>
      <c r="B283" t="s">
        <v>2949</v>
      </c>
      <c r="C283">
        <v>66</v>
      </c>
      <c r="D283" t="s">
        <v>892</v>
      </c>
      <c r="E283" t="s">
        <v>2948</v>
      </c>
      <c r="F283">
        <v>0.98560000000000003</v>
      </c>
      <c r="G283">
        <v>0.98640000000000005</v>
      </c>
    </row>
    <row r="284" spans="1:7">
      <c r="A284" t="s">
        <v>593</v>
      </c>
      <c r="B284" t="s">
        <v>2950</v>
      </c>
      <c r="C284">
        <v>66</v>
      </c>
      <c r="D284" t="s">
        <v>893</v>
      </c>
      <c r="E284" t="s">
        <v>2948</v>
      </c>
      <c r="F284">
        <v>0.98560000000000003</v>
      </c>
      <c r="G284">
        <v>0.98640000000000005</v>
      </c>
    </row>
    <row r="285" spans="1:7">
      <c r="A285" t="s">
        <v>594</v>
      </c>
      <c r="B285" t="s">
        <v>2951</v>
      </c>
      <c r="C285">
        <v>66</v>
      </c>
      <c r="D285" t="s">
        <v>894</v>
      </c>
      <c r="E285" t="s">
        <v>2948</v>
      </c>
      <c r="F285">
        <v>0.98560000000000003</v>
      </c>
      <c r="G285">
        <v>0.98640000000000005</v>
      </c>
    </row>
    <row r="286" spans="1:7">
      <c r="A286" t="s">
        <v>595</v>
      </c>
      <c r="B286" t="s">
        <v>2952</v>
      </c>
      <c r="C286">
        <v>66</v>
      </c>
      <c r="D286" t="s">
        <v>895</v>
      </c>
      <c r="E286" t="s">
        <v>2948</v>
      </c>
      <c r="F286">
        <v>0.98560000000000003</v>
      </c>
      <c r="G286">
        <v>0.98640000000000005</v>
      </c>
    </row>
    <row r="287" spans="1:7">
      <c r="A287" t="s">
        <v>627</v>
      </c>
      <c r="B287" t="s">
        <v>3956</v>
      </c>
      <c r="C287">
        <v>275</v>
      </c>
      <c r="D287" t="s">
        <v>859</v>
      </c>
      <c r="E287" t="s">
        <v>2954</v>
      </c>
      <c r="F287">
        <v>0.9869</v>
      </c>
      <c r="G287">
        <v>0.98880000000000001</v>
      </c>
    </row>
    <row r="288" spans="1:7">
      <c r="A288" t="s">
        <v>629</v>
      </c>
      <c r="B288" t="s">
        <v>3957</v>
      </c>
      <c r="C288">
        <v>275</v>
      </c>
      <c r="D288" t="s">
        <v>862</v>
      </c>
      <c r="E288" t="s">
        <v>2954</v>
      </c>
      <c r="F288">
        <v>0.9869</v>
      </c>
      <c r="G288">
        <v>0.98880000000000001</v>
      </c>
    </row>
    <row r="289" spans="1:7">
      <c r="A289" t="s">
        <v>631</v>
      </c>
      <c r="B289" t="s">
        <v>2956</v>
      </c>
      <c r="C289">
        <v>33</v>
      </c>
      <c r="D289" t="s">
        <v>855</v>
      </c>
      <c r="E289" t="s">
        <v>2957</v>
      </c>
      <c r="F289">
        <v>0.92959999999999998</v>
      </c>
      <c r="G289">
        <v>0.92889999999999995</v>
      </c>
    </row>
    <row r="290" spans="1:7">
      <c r="A290" t="s">
        <v>634</v>
      </c>
      <c r="B290" t="s">
        <v>2958</v>
      </c>
      <c r="C290">
        <v>132</v>
      </c>
      <c r="D290" t="s">
        <v>926</v>
      </c>
      <c r="E290" t="s">
        <v>2959</v>
      </c>
      <c r="F290">
        <v>0.93179999999999996</v>
      </c>
      <c r="G290">
        <v>0.8417</v>
      </c>
    </row>
    <row r="291" spans="1:7">
      <c r="A291" t="s">
        <v>243</v>
      </c>
      <c r="B291" t="s">
        <v>3958</v>
      </c>
      <c r="C291">
        <v>275</v>
      </c>
      <c r="D291" t="s">
        <v>865</v>
      </c>
      <c r="E291" t="s">
        <v>2940</v>
      </c>
      <c r="F291">
        <v>0.9798</v>
      </c>
      <c r="G291">
        <v>0.98629999999999995</v>
      </c>
    </row>
    <row r="292" spans="1:7">
      <c r="A292" t="s">
        <v>682</v>
      </c>
      <c r="B292" t="s">
        <v>2964</v>
      </c>
      <c r="C292">
        <v>275</v>
      </c>
      <c r="D292" t="s">
        <v>907</v>
      </c>
      <c r="E292" t="s">
        <v>2965</v>
      </c>
      <c r="F292">
        <v>1.0016</v>
      </c>
      <c r="G292">
        <v>1.0014000000000001</v>
      </c>
    </row>
    <row r="293" spans="1:7">
      <c r="A293" t="s">
        <v>684</v>
      </c>
      <c r="B293" t="s">
        <v>2966</v>
      </c>
      <c r="C293">
        <v>275</v>
      </c>
      <c r="D293" t="s">
        <v>909</v>
      </c>
      <c r="E293" t="s">
        <v>2965</v>
      </c>
      <c r="F293">
        <v>1.0016</v>
      </c>
      <c r="G293">
        <v>1.0014000000000001</v>
      </c>
    </row>
    <row r="294" spans="1:7">
      <c r="A294" t="s">
        <v>685</v>
      </c>
      <c r="B294" t="s">
        <v>2967</v>
      </c>
      <c r="C294">
        <v>275</v>
      </c>
      <c r="D294" t="s">
        <v>910</v>
      </c>
      <c r="E294" t="s">
        <v>2965</v>
      </c>
      <c r="F294">
        <v>1.0016</v>
      </c>
      <c r="G294">
        <v>1.0014000000000001</v>
      </c>
    </row>
    <row r="295" spans="1:7">
      <c r="A295" t="s">
        <v>686</v>
      </c>
      <c r="B295" t="s">
        <v>2968</v>
      </c>
      <c r="C295">
        <v>275</v>
      </c>
      <c r="D295" t="s">
        <v>911</v>
      </c>
      <c r="E295" t="s">
        <v>2965</v>
      </c>
      <c r="F295">
        <v>1.0016</v>
      </c>
      <c r="G295">
        <v>1.0014000000000001</v>
      </c>
    </row>
    <row r="296" spans="1:7">
      <c r="A296" t="s">
        <v>687</v>
      </c>
      <c r="B296" t="s">
        <v>2969</v>
      </c>
      <c r="C296">
        <v>275</v>
      </c>
      <c r="D296" t="s">
        <v>901</v>
      </c>
      <c r="E296" t="s">
        <v>2965</v>
      </c>
      <c r="F296">
        <v>1.0016</v>
      </c>
      <c r="G296">
        <v>1.0014000000000001</v>
      </c>
    </row>
    <row r="297" spans="1:7">
      <c r="A297" t="s">
        <v>689</v>
      </c>
      <c r="B297" t="s">
        <v>2970</v>
      </c>
      <c r="C297">
        <v>275</v>
      </c>
      <c r="D297" t="s">
        <v>904</v>
      </c>
      <c r="E297" t="s">
        <v>2965</v>
      </c>
      <c r="F297">
        <v>1.0016</v>
      </c>
      <c r="G297">
        <v>1.0014000000000001</v>
      </c>
    </row>
    <row r="298" spans="1:7">
      <c r="A298" t="s">
        <v>690</v>
      </c>
      <c r="B298" t="s">
        <v>2971</v>
      </c>
      <c r="C298">
        <v>275</v>
      </c>
      <c r="D298" t="s">
        <v>905</v>
      </c>
      <c r="E298" t="s">
        <v>2965</v>
      </c>
      <c r="F298">
        <v>1.0016</v>
      </c>
      <c r="G298">
        <v>1.0014000000000001</v>
      </c>
    </row>
    <row r="299" spans="1:7">
      <c r="A299" t="s">
        <v>691</v>
      </c>
      <c r="B299" t="s">
        <v>2972</v>
      </c>
      <c r="C299">
        <v>275</v>
      </c>
      <c r="D299" t="s">
        <v>906</v>
      </c>
      <c r="E299" t="s">
        <v>2965</v>
      </c>
      <c r="F299">
        <v>1.0016</v>
      </c>
      <c r="G299">
        <v>1.0014000000000001</v>
      </c>
    </row>
    <row r="300" spans="1:7">
      <c r="A300" t="s">
        <v>2974</v>
      </c>
      <c r="B300" t="s">
        <v>2973</v>
      </c>
      <c r="C300">
        <v>66</v>
      </c>
      <c r="D300" t="s">
        <v>2975</v>
      </c>
      <c r="E300" t="s">
        <v>2976</v>
      </c>
      <c r="F300">
        <v>1</v>
      </c>
      <c r="G300">
        <v>1</v>
      </c>
    </row>
    <row r="301" spans="1:7">
      <c r="A301" t="s">
        <v>725</v>
      </c>
      <c r="B301" t="s">
        <v>726</v>
      </c>
      <c r="C301">
        <v>132</v>
      </c>
      <c r="D301" t="s">
        <v>2977</v>
      </c>
      <c r="E301" t="s">
        <v>871</v>
      </c>
      <c r="F301">
        <v>0.97509999999999997</v>
      </c>
      <c r="G301">
        <v>0.97840000000000005</v>
      </c>
    </row>
    <row r="302" spans="1:7">
      <c r="A302" t="s">
        <v>762</v>
      </c>
      <c r="B302" t="s">
        <v>763</v>
      </c>
      <c r="C302">
        <v>132</v>
      </c>
      <c r="D302" t="s">
        <v>876</v>
      </c>
      <c r="E302" t="s">
        <v>2978</v>
      </c>
      <c r="F302">
        <v>0.83299999999999996</v>
      </c>
      <c r="G302">
        <v>0.81850000000000001</v>
      </c>
    </row>
    <row r="303" spans="1:7">
      <c r="A303" t="s">
        <v>3960</v>
      </c>
      <c r="B303" t="s">
        <v>3959</v>
      </c>
      <c r="C303">
        <v>11</v>
      </c>
      <c r="D303" t="s">
        <v>3961</v>
      </c>
      <c r="E303" t="s">
        <v>3962</v>
      </c>
      <c r="F303">
        <v>1.0103</v>
      </c>
      <c r="G303">
        <v>1.0134000000000001</v>
      </c>
    </row>
    <row r="304" spans="1:7">
      <c r="A304" t="s">
        <v>190</v>
      </c>
      <c r="B304" t="s">
        <v>187</v>
      </c>
      <c r="C304">
        <v>33</v>
      </c>
      <c r="D304" t="s">
        <v>880</v>
      </c>
      <c r="E304" t="s">
        <v>2983</v>
      </c>
      <c r="F304">
        <v>1.0121</v>
      </c>
      <c r="G304">
        <v>1.0042</v>
      </c>
    </row>
    <row r="305" spans="1:7">
      <c r="A305" t="s">
        <v>245</v>
      </c>
      <c r="B305" t="s">
        <v>3963</v>
      </c>
      <c r="C305">
        <v>33</v>
      </c>
      <c r="D305" t="s">
        <v>3964</v>
      </c>
      <c r="E305" t="s">
        <v>3003</v>
      </c>
      <c r="F305">
        <v>0.97799999999999998</v>
      </c>
      <c r="G305">
        <v>0.97030000000000005</v>
      </c>
    </row>
    <row r="306" spans="1:7">
      <c r="A306" t="s">
        <v>249</v>
      </c>
      <c r="B306" t="s">
        <v>3965</v>
      </c>
      <c r="C306">
        <v>66</v>
      </c>
      <c r="D306" t="s">
        <v>2985</v>
      </c>
      <c r="E306" t="s">
        <v>2986</v>
      </c>
      <c r="F306">
        <v>1.0039</v>
      </c>
      <c r="G306">
        <v>1.0054000000000001</v>
      </c>
    </row>
    <row r="307" spans="1:7">
      <c r="A307" t="s">
        <v>322</v>
      </c>
      <c r="B307" t="s">
        <v>323</v>
      </c>
      <c r="C307">
        <v>33</v>
      </c>
      <c r="D307" t="s">
        <v>930</v>
      </c>
      <c r="E307" t="s">
        <v>2987</v>
      </c>
      <c r="F307">
        <v>0.89670000000000005</v>
      </c>
      <c r="G307">
        <v>0.88500000000000001</v>
      </c>
    </row>
    <row r="308" spans="1:7">
      <c r="A308" t="s">
        <v>481</v>
      </c>
      <c r="B308" t="s">
        <v>2988</v>
      </c>
      <c r="C308">
        <v>66</v>
      </c>
      <c r="D308" t="s">
        <v>2989</v>
      </c>
      <c r="E308" t="s">
        <v>2990</v>
      </c>
      <c r="F308">
        <v>1.0046999999999999</v>
      </c>
      <c r="G308">
        <v>1.0051000000000001</v>
      </c>
    </row>
    <row r="309" spans="1:7">
      <c r="A309" t="s">
        <v>565</v>
      </c>
      <c r="B309" t="s">
        <v>3966</v>
      </c>
      <c r="C309">
        <v>66</v>
      </c>
      <c r="D309" t="s">
        <v>3967</v>
      </c>
      <c r="E309" t="s">
        <v>2990</v>
      </c>
      <c r="F309">
        <v>1.0046999999999999</v>
      </c>
      <c r="G309">
        <v>1.0051000000000001</v>
      </c>
    </row>
    <row r="310" spans="1:7">
      <c r="A310" t="s">
        <v>583</v>
      </c>
      <c r="B310" t="s">
        <v>3710</v>
      </c>
      <c r="C310">
        <v>66</v>
      </c>
      <c r="D310" t="s">
        <v>3000</v>
      </c>
      <c r="E310" t="s">
        <v>2990</v>
      </c>
      <c r="F310">
        <v>1.0046999999999999</v>
      </c>
      <c r="G310">
        <v>1.0051000000000001</v>
      </c>
    </row>
    <row r="311" spans="1:7">
      <c r="A311" t="s">
        <v>641</v>
      </c>
      <c r="B311" t="s">
        <v>642</v>
      </c>
      <c r="C311">
        <v>66</v>
      </c>
      <c r="D311" t="s">
        <v>919</v>
      </c>
      <c r="E311" t="s">
        <v>2990</v>
      </c>
      <c r="F311">
        <v>1.0046999999999999</v>
      </c>
      <c r="G311">
        <v>1.0051000000000001</v>
      </c>
    </row>
    <row r="312" spans="1:7">
      <c r="A312" t="s">
        <v>665</v>
      </c>
      <c r="B312" t="s">
        <v>3001</v>
      </c>
      <c r="C312">
        <v>33</v>
      </c>
      <c r="D312" t="s">
        <v>3002</v>
      </c>
      <c r="E312" t="s">
        <v>3003</v>
      </c>
      <c r="F312">
        <v>0.97799999999999998</v>
      </c>
      <c r="G312">
        <v>0.97030000000000005</v>
      </c>
    </row>
    <row r="313" spans="1:7">
      <c r="A313" t="s">
        <v>671</v>
      </c>
      <c r="B313" t="s">
        <v>3968</v>
      </c>
      <c r="C313">
        <v>66</v>
      </c>
      <c r="D313" t="s">
        <v>3969</v>
      </c>
      <c r="E313" t="s">
        <v>3970</v>
      </c>
      <c r="F313">
        <v>1.0034000000000001</v>
      </c>
      <c r="G313">
        <v>1.0037</v>
      </c>
    </row>
    <row r="314" spans="1:7">
      <c r="A314" t="s">
        <v>3005</v>
      </c>
      <c r="B314" t="s">
        <v>3004</v>
      </c>
      <c r="C314">
        <v>66</v>
      </c>
      <c r="D314" t="s">
        <v>3006</v>
      </c>
      <c r="E314" t="s">
        <v>3007</v>
      </c>
      <c r="F314">
        <v>1.0035000000000001</v>
      </c>
      <c r="G314">
        <v>1.0017</v>
      </c>
    </row>
    <row r="315" spans="1:7">
      <c r="A315" t="s">
        <v>3009</v>
      </c>
      <c r="B315" t="s">
        <v>3008</v>
      </c>
      <c r="C315">
        <v>66</v>
      </c>
      <c r="D315" t="s">
        <v>3010</v>
      </c>
      <c r="E315" t="s">
        <v>3011</v>
      </c>
      <c r="F315">
        <v>0.999</v>
      </c>
      <c r="G315">
        <v>0.99950000000000006</v>
      </c>
    </row>
    <row r="316" spans="1:7">
      <c r="A316" t="s">
        <v>2996</v>
      </c>
      <c r="B316" t="s">
        <v>3971</v>
      </c>
      <c r="C316">
        <v>66</v>
      </c>
      <c r="D316" t="s">
        <v>2997</v>
      </c>
      <c r="E316" t="s">
        <v>2998</v>
      </c>
      <c r="F316">
        <v>1.0022</v>
      </c>
      <c r="G316" t="s">
        <v>3911</v>
      </c>
    </row>
    <row r="317" spans="1:7">
      <c r="A317" t="s">
        <v>2992</v>
      </c>
      <c r="B317" t="s">
        <v>3972</v>
      </c>
      <c r="C317">
        <v>66</v>
      </c>
      <c r="D317" t="s">
        <v>2993</v>
      </c>
      <c r="E317" t="s">
        <v>2994</v>
      </c>
      <c r="F317">
        <v>1.0006999999999999</v>
      </c>
      <c r="G317" t="s">
        <v>3911</v>
      </c>
    </row>
    <row r="318" spans="1:7">
      <c r="A318" t="s">
        <v>3013</v>
      </c>
      <c r="B318" t="s">
        <v>3012</v>
      </c>
      <c r="C318">
        <v>220</v>
      </c>
      <c r="D318" t="s">
        <v>3014</v>
      </c>
      <c r="E318" t="s">
        <v>3015</v>
      </c>
      <c r="F318">
        <v>1</v>
      </c>
      <c r="G318">
        <v>1</v>
      </c>
    </row>
    <row r="319" spans="1:7">
      <c r="A319" t="s">
        <v>225</v>
      </c>
      <c r="B319" t="s">
        <v>3016</v>
      </c>
      <c r="C319">
        <v>220</v>
      </c>
      <c r="D319" t="s">
        <v>989</v>
      </c>
      <c r="E319" t="s">
        <v>3017</v>
      </c>
      <c r="F319">
        <v>0.9486</v>
      </c>
      <c r="G319">
        <v>0.9496</v>
      </c>
    </row>
    <row r="320" spans="1:7">
      <c r="A320" t="s">
        <v>232</v>
      </c>
      <c r="B320" t="s">
        <v>3973</v>
      </c>
      <c r="C320">
        <v>110</v>
      </c>
      <c r="D320" t="s">
        <v>948</v>
      </c>
      <c r="E320" t="s">
        <v>3019</v>
      </c>
      <c r="F320">
        <v>1.0001</v>
      </c>
      <c r="G320">
        <v>1.0001</v>
      </c>
    </row>
    <row r="321" spans="1:7">
      <c r="A321" t="s">
        <v>234</v>
      </c>
      <c r="B321" t="s">
        <v>3973</v>
      </c>
      <c r="C321">
        <v>110</v>
      </c>
      <c r="D321" t="s">
        <v>951</v>
      </c>
      <c r="E321" t="s">
        <v>3019</v>
      </c>
      <c r="F321">
        <v>1.0001</v>
      </c>
      <c r="G321">
        <v>1.0001</v>
      </c>
    </row>
    <row r="322" spans="1:7">
      <c r="A322" t="s">
        <v>235</v>
      </c>
      <c r="B322" t="s">
        <v>3973</v>
      </c>
      <c r="C322">
        <v>110</v>
      </c>
      <c r="D322" t="s">
        <v>952</v>
      </c>
      <c r="E322" t="s">
        <v>3019</v>
      </c>
      <c r="F322">
        <v>1.0001</v>
      </c>
      <c r="G322">
        <v>1.0001</v>
      </c>
    </row>
    <row r="323" spans="1:7">
      <c r="A323" t="s">
        <v>758</v>
      </c>
      <c r="B323" t="s">
        <v>3020</v>
      </c>
      <c r="C323">
        <v>110</v>
      </c>
      <c r="D323" t="s">
        <v>936</v>
      </c>
      <c r="E323" t="s">
        <v>3021</v>
      </c>
      <c r="F323">
        <v>0.90249999999999997</v>
      </c>
      <c r="G323">
        <v>0.91200000000000003</v>
      </c>
    </row>
    <row r="324" spans="1:7">
      <c r="A324" t="s">
        <v>276</v>
      </c>
      <c r="B324" t="s">
        <v>3022</v>
      </c>
      <c r="C324">
        <v>110</v>
      </c>
      <c r="D324" t="s">
        <v>1003</v>
      </c>
      <c r="E324" t="s">
        <v>3023</v>
      </c>
      <c r="F324">
        <v>0.92159999999999997</v>
      </c>
      <c r="G324">
        <v>0.93989999999999996</v>
      </c>
    </row>
    <row r="325" spans="1:7">
      <c r="A325" t="s">
        <v>467</v>
      </c>
      <c r="B325" t="s">
        <v>3024</v>
      </c>
      <c r="C325">
        <v>220</v>
      </c>
      <c r="D325" t="s">
        <v>1015</v>
      </c>
      <c r="E325" t="s">
        <v>3025</v>
      </c>
      <c r="F325">
        <v>0.9919</v>
      </c>
      <c r="G325">
        <v>1.0027999999999999</v>
      </c>
    </row>
    <row r="326" spans="1:7">
      <c r="A326" t="s">
        <v>304</v>
      </c>
      <c r="B326" t="s">
        <v>3026</v>
      </c>
      <c r="C326">
        <v>220</v>
      </c>
      <c r="D326" t="s">
        <v>968</v>
      </c>
      <c r="E326" t="s">
        <v>3027</v>
      </c>
      <c r="F326">
        <v>0.96299999999999997</v>
      </c>
      <c r="G326">
        <v>0.97230000000000005</v>
      </c>
    </row>
    <row r="327" spans="1:7">
      <c r="A327" t="s">
        <v>320</v>
      </c>
      <c r="B327" t="s">
        <v>3028</v>
      </c>
      <c r="C327">
        <v>220</v>
      </c>
      <c r="D327" t="s">
        <v>1020</v>
      </c>
      <c r="E327" t="s">
        <v>3029</v>
      </c>
      <c r="F327">
        <v>0.99080000000000001</v>
      </c>
      <c r="G327">
        <v>1.0055000000000001</v>
      </c>
    </row>
    <row r="328" spans="1:7">
      <c r="A328" t="s">
        <v>345</v>
      </c>
      <c r="B328" t="s">
        <v>3030</v>
      </c>
      <c r="C328">
        <v>110</v>
      </c>
      <c r="D328" t="s">
        <v>957</v>
      </c>
      <c r="E328" t="s">
        <v>3031</v>
      </c>
      <c r="F328">
        <v>0.97030000000000005</v>
      </c>
      <c r="G328">
        <v>0.97</v>
      </c>
    </row>
    <row r="329" spans="1:7">
      <c r="A329" t="s">
        <v>366</v>
      </c>
      <c r="B329" t="s">
        <v>3032</v>
      </c>
      <c r="C329">
        <v>220</v>
      </c>
      <c r="D329" t="s">
        <v>980</v>
      </c>
      <c r="E329" t="s">
        <v>3033</v>
      </c>
      <c r="F329">
        <v>0.96709999999999996</v>
      </c>
      <c r="G329">
        <v>0.97550000000000003</v>
      </c>
    </row>
    <row r="330" spans="1:7">
      <c r="A330" t="s">
        <v>379</v>
      </c>
      <c r="B330" t="s">
        <v>3034</v>
      </c>
      <c r="C330">
        <v>220</v>
      </c>
      <c r="D330" t="s">
        <v>1028</v>
      </c>
      <c r="E330" t="s">
        <v>3035</v>
      </c>
      <c r="F330">
        <v>0.95940000000000003</v>
      </c>
      <c r="G330">
        <v>0.96760000000000002</v>
      </c>
    </row>
    <row r="331" spans="1:7">
      <c r="A331" t="s">
        <v>427</v>
      </c>
      <c r="B331" t="s">
        <v>3036</v>
      </c>
      <c r="C331">
        <v>220</v>
      </c>
      <c r="D331" t="s">
        <v>1000</v>
      </c>
      <c r="E331" t="s">
        <v>3037</v>
      </c>
      <c r="F331">
        <v>0.94450000000000001</v>
      </c>
      <c r="G331">
        <v>0.9456</v>
      </c>
    </row>
    <row r="332" spans="1:7">
      <c r="A332" t="s">
        <v>469</v>
      </c>
      <c r="B332" t="s">
        <v>3038</v>
      </c>
      <c r="C332">
        <v>110</v>
      </c>
      <c r="D332" t="s">
        <v>1006</v>
      </c>
      <c r="E332" t="s">
        <v>3039</v>
      </c>
      <c r="F332">
        <v>0.94869999999999999</v>
      </c>
      <c r="G332">
        <v>0.93600000000000005</v>
      </c>
    </row>
    <row r="333" spans="1:7">
      <c r="A333" t="s">
        <v>465</v>
      </c>
      <c r="B333" t="s">
        <v>3040</v>
      </c>
      <c r="C333">
        <v>220</v>
      </c>
      <c r="D333" t="s">
        <v>971</v>
      </c>
      <c r="E333" t="s">
        <v>3041</v>
      </c>
      <c r="F333">
        <v>0.97109999999999996</v>
      </c>
      <c r="G333">
        <v>0.97489999999999999</v>
      </c>
    </row>
    <row r="334" spans="1:7">
      <c r="A334" t="s">
        <v>467</v>
      </c>
      <c r="B334" t="s">
        <v>3042</v>
      </c>
      <c r="C334">
        <v>220</v>
      </c>
      <c r="D334" t="s">
        <v>1015</v>
      </c>
      <c r="E334" t="s">
        <v>3025</v>
      </c>
      <c r="F334">
        <v>0.9919</v>
      </c>
      <c r="G334">
        <v>1.0027999999999999</v>
      </c>
    </row>
    <row r="335" spans="1:7">
      <c r="A335" t="s">
        <v>497</v>
      </c>
      <c r="B335" t="s">
        <v>3043</v>
      </c>
      <c r="C335">
        <v>110</v>
      </c>
      <c r="D335" t="s">
        <v>986</v>
      </c>
      <c r="E335" t="s">
        <v>3044</v>
      </c>
      <c r="F335">
        <v>0.94020000000000004</v>
      </c>
      <c r="G335">
        <v>0.93669999999999998</v>
      </c>
    </row>
    <row r="336" spans="1:7">
      <c r="A336" t="s">
        <v>505</v>
      </c>
      <c r="B336" t="s">
        <v>3045</v>
      </c>
      <c r="C336">
        <v>110</v>
      </c>
      <c r="D336" t="s">
        <v>1025</v>
      </c>
      <c r="E336" t="s">
        <v>3046</v>
      </c>
      <c r="F336">
        <v>0.97699999999999998</v>
      </c>
      <c r="G336">
        <v>0.97560000000000002</v>
      </c>
    </row>
    <row r="337" spans="1:7">
      <c r="A337" t="s">
        <v>543</v>
      </c>
      <c r="B337" t="s">
        <v>3047</v>
      </c>
      <c r="C337">
        <v>110</v>
      </c>
      <c r="D337" t="s">
        <v>954</v>
      </c>
      <c r="E337" t="s">
        <v>3048</v>
      </c>
      <c r="F337">
        <v>0.9133</v>
      </c>
      <c r="G337">
        <v>0.91930000000000001</v>
      </c>
    </row>
    <row r="338" spans="1:7">
      <c r="A338" t="s">
        <v>563</v>
      </c>
      <c r="B338" t="s">
        <v>3049</v>
      </c>
      <c r="C338">
        <v>110</v>
      </c>
      <c r="D338" t="s">
        <v>962</v>
      </c>
      <c r="E338" t="s">
        <v>3050</v>
      </c>
      <c r="F338">
        <v>0.96679999999999999</v>
      </c>
      <c r="G338">
        <v>0.97540000000000004</v>
      </c>
    </row>
    <row r="339" spans="1:7">
      <c r="A339" t="s">
        <v>573</v>
      </c>
      <c r="B339" t="s">
        <v>3051</v>
      </c>
      <c r="C339">
        <v>220</v>
      </c>
      <c r="D339" t="s">
        <v>3052</v>
      </c>
      <c r="E339" t="s">
        <v>3053</v>
      </c>
      <c r="F339">
        <v>0.98129999999999995</v>
      </c>
      <c r="G339">
        <v>0.9929</v>
      </c>
    </row>
    <row r="340" spans="1:7">
      <c r="A340" t="s">
        <v>571</v>
      </c>
      <c r="B340" t="s">
        <v>3051</v>
      </c>
      <c r="C340">
        <v>110</v>
      </c>
      <c r="D340" t="s">
        <v>995</v>
      </c>
      <c r="E340" t="s">
        <v>3054</v>
      </c>
      <c r="F340">
        <v>0.9677</v>
      </c>
      <c r="G340">
        <v>0.98240000000000005</v>
      </c>
    </row>
    <row r="341" spans="1:7">
      <c r="A341" t="s">
        <v>598</v>
      </c>
      <c r="B341" t="s">
        <v>3055</v>
      </c>
      <c r="C341">
        <v>220</v>
      </c>
      <c r="D341" t="s">
        <v>975</v>
      </c>
      <c r="E341" t="s">
        <v>3056</v>
      </c>
      <c r="F341">
        <v>0.93989999999999996</v>
      </c>
      <c r="G341">
        <v>0.94130000000000003</v>
      </c>
    </row>
    <row r="342" spans="1:7">
      <c r="A342" t="s">
        <v>600</v>
      </c>
      <c r="B342" t="s">
        <v>3057</v>
      </c>
      <c r="C342">
        <v>220</v>
      </c>
      <c r="D342" t="s">
        <v>978</v>
      </c>
      <c r="E342" t="s">
        <v>3058</v>
      </c>
      <c r="F342">
        <v>0.94020000000000004</v>
      </c>
      <c r="G342">
        <v>0.93899999999999995</v>
      </c>
    </row>
    <row r="343" spans="1:7">
      <c r="A343" t="s">
        <v>603</v>
      </c>
      <c r="B343" t="s">
        <v>3059</v>
      </c>
      <c r="C343">
        <v>220</v>
      </c>
      <c r="D343" t="s">
        <v>1023</v>
      </c>
      <c r="E343" t="s">
        <v>3029</v>
      </c>
      <c r="F343">
        <v>0.99080000000000001</v>
      </c>
      <c r="G343">
        <v>1.0055000000000001</v>
      </c>
    </row>
    <row r="344" spans="1:7">
      <c r="A344" t="s">
        <v>610</v>
      </c>
      <c r="B344" t="s">
        <v>3060</v>
      </c>
      <c r="C344">
        <v>220</v>
      </c>
      <c r="D344" t="s">
        <v>983</v>
      </c>
      <c r="E344" t="s">
        <v>3033</v>
      </c>
      <c r="F344">
        <v>0.96709999999999996</v>
      </c>
      <c r="G344">
        <v>0.97550000000000003</v>
      </c>
    </row>
    <row r="345" spans="1:7">
      <c r="A345" t="s">
        <v>699</v>
      </c>
      <c r="B345" t="s">
        <v>33</v>
      </c>
      <c r="C345">
        <v>220</v>
      </c>
      <c r="D345" t="s">
        <v>942</v>
      </c>
      <c r="E345" t="s">
        <v>3061</v>
      </c>
      <c r="F345">
        <v>1</v>
      </c>
      <c r="G345">
        <v>1</v>
      </c>
    </row>
    <row r="346" spans="1:7">
      <c r="A346" t="s">
        <v>701</v>
      </c>
      <c r="B346" t="s">
        <v>34</v>
      </c>
      <c r="C346">
        <v>110</v>
      </c>
      <c r="D346" t="s">
        <v>946</v>
      </c>
      <c r="E346" t="s">
        <v>3019</v>
      </c>
      <c r="F346">
        <v>1.0001</v>
      </c>
      <c r="G346">
        <v>1.0001</v>
      </c>
    </row>
    <row r="347" spans="1:7">
      <c r="A347" t="s">
        <v>663</v>
      </c>
      <c r="B347" t="s">
        <v>3062</v>
      </c>
      <c r="C347">
        <v>110</v>
      </c>
      <c r="D347" t="s">
        <v>1009</v>
      </c>
      <c r="E347" t="s">
        <v>3063</v>
      </c>
      <c r="F347">
        <v>0.93379999999999996</v>
      </c>
      <c r="G347">
        <v>0.94530000000000003</v>
      </c>
    </row>
    <row r="348" spans="1:7">
      <c r="A348" t="s">
        <v>692</v>
      </c>
      <c r="B348" t="s">
        <v>3064</v>
      </c>
      <c r="C348">
        <v>110</v>
      </c>
      <c r="D348" t="s">
        <v>965</v>
      </c>
      <c r="E348" t="s">
        <v>3065</v>
      </c>
      <c r="F348">
        <v>0.98980000000000001</v>
      </c>
      <c r="G348">
        <v>0.99270000000000003</v>
      </c>
    </row>
    <row r="349" spans="1:7">
      <c r="A349" t="s">
        <v>694</v>
      </c>
      <c r="B349" t="s">
        <v>3066</v>
      </c>
      <c r="C349">
        <v>220</v>
      </c>
      <c r="D349" t="s">
        <v>992</v>
      </c>
      <c r="E349" t="s">
        <v>3067</v>
      </c>
      <c r="F349">
        <v>0.9466</v>
      </c>
      <c r="G349">
        <v>0.94369999999999998</v>
      </c>
    </row>
    <row r="350" spans="1:7">
      <c r="A350" t="s">
        <v>697</v>
      </c>
      <c r="B350" t="s">
        <v>3068</v>
      </c>
      <c r="C350">
        <v>110</v>
      </c>
      <c r="D350" t="s">
        <v>1012</v>
      </c>
      <c r="E350" t="s">
        <v>3069</v>
      </c>
      <c r="F350">
        <v>0.92330000000000001</v>
      </c>
      <c r="G350">
        <v>0.90910000000000002</v>
      </c>
    </row>
    <row r="351" spans="1:7">
      <c r="A351" t="s">
        <v>467</v>
      </c>
      <c r="B351" t="s">
        <v>3070</v>
      </c>
      <c r="C351">
        <v>220</v>
      </c>
      <c r="D351" t="s">
        <v>1015</v>
      </c>
      <c r="E351" t="s">
        <v>3025</v>
      </c>
      <c r="F351">
        <v>0.9919</v>
      </c>
      <c r="G351">
        <v>1.0027999999999999</v>
      </c>
    </row>
    <row r="352" spans="1:7">
      <c r="A352" t="s">
        <v>465</v>
      </c>
      <c r="B352" t="s">
        <v>3071</v>
      </c>
      <c r="C352">
        <v>220</v>
      </c>
      <c r="D352" t="s">
        <v>971</v>
      </c>
      <c r="E352" t="s">
        <v>3041</v>
      </c>
      <c r="F352">
        <v>0.97109999999999996</v>
      </c>
      <c r="G352">
        <v>0.97489999999999999</v>
      </c>
    </row>
    <row r="353" spans="1:7">
      <c r="A353" t="s">
        <v>509</v>
      </c>
      <c r="B353" t="s">
        <v>3072</v>
      </c>
      <c r="C353">
        <v>22</v>
      </c>
      <c r="D353" t="s">
        <v>3073</v>
      </c>
      <c r="E353" t="s">
        <v>3074</v>
      </c>
      <c r="F353">
        <v>1.0017</v>
      </c>
      <c r="G353">
        <v>1.0301</v>
      </c>
    </row>
    <row r="354" spans="1:7">
      <c r="A354" t="s">
        <v>601</v>
      </c>
      <c r="B354" t="s">
        <v>3075</v>
      </c>
      <c r="C354">
        <v>22</v>
      </c>
      <c r="D354" t="s">
        <v>3076</v>
      </c>
      <c r="E354" t="s">
        <v>3077</v>
      </c>
      <c r="F354">
        <v>0.99380000000000002</v>
      </c>
      <c r="G354">
        <v>0.99819999999999998</v>
      </c>
    </row>
  </sheetData>
  <autoFilter ref="A1:G354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1"/>
  </sheetPr>
  <dimension ref="A1:L389"/>
  <sheetViews>
    <sheetView topLeftCell="A315" workbookViewId="0">
      <selection activeCell="A316" sqref="A316"/>
    </sheetView>
  </sheetViews>
  <sheetFormatPr baseColWidth="10" defaultRowHeight="15" x14ac:dyDescent="0"/>
  <cols>
    <col min="2" max="2" width="55.5" bestFit="1" customWidth="1"/>
  </cols>
  <sheetData>
    <row r="1" spans="1:12">
      <c r="A1" t="s">
        <v>1459</v>
      </c>
      <c r="B1" t="s">
        <v>1457</v>
      </c>
      <c r="C1" t="s">
        <v>1458</v>
      </c>
      <c r="D1" t="s">
        <v>1588</v>
      </c>
      <c r="E1" t="s">
        <v>1460</v>
      </c>
      <c r="F1" t="s">
        <v>1589</v>
      </c>
      <c r="G1" t="s">
        <v>1590</v>
      </c>
      <c r="H1" t="s">
        <v>2216</v>
      </c>
      <c r="I1" t="s">
        <v>3081</v>
      </c>
      <c r="J1" t="s">
        <v>3083</v>
      </c>
      <c r="K1" t="s">
        <v>3082</v>
      </c>
      <c r="L1" t="s">
        <v>3796</v>
      </c>
    </row>
    <row r="2" spans="1:12">
      <c r="A2" t="s">
        <v>180</v>
      </c>
      <c r="B2" t="s">
        <v>2566</v>
      </c>
      <c r="C2">
        <v>132</v>
      </c>
      <c r="D2" t="s">
        <v>2567</v>
      </c>
      <c r="E2" t="s">
        <v>2568</v>
      </c>
      <c r="F2">
        <v>1.0012000000000001</v>
      </c>
      <c r="G2">
        <v>1.0024</v>
      </c>
      <c r="H2" t="str">
        <f>IFERROR(VLOOKUP(A2,final!D:D,1,FALSE),"MISSING")</f>
        <v>MISSING</v>
      </c>
      <c r="I2">
        <f>IFERROR(VLOOKUP(A2,'From DB'!A:K,11,FALSE),"MISSING")</f>
        <v>2.8</v>
      </c>
      <c r="K2" t="str">
        <f>IF(AND(H2="MISSING",OR(I2="MISSING",I2&gt;10),J2=""),"NEED TO FIND","")</f>
        <v/>
      </c>
      <c r="L2" t="str">
        <f>VLOOKUP(A2,new_list!A:E,5,FALSE)</f>
        <v>Generator</v>
      </c>
    </row>
    <row r="3" spans="1:12">
      <c r="A3" t="s">
        <v>190</v>
      </c>
      <c r="B3" t="s">
        <v>187</v>
      </c>
      <c r="C3">
        <v>33</v>
      </c>
      <c r="D3" t="s">
        <v>880</v>
      </c>
      <c r="E3" t="s">
        <v>2983</v>
      </c>
      <c r="F3">
        <v>0.95340000000000003</v>
      </c>
      <c r="G3">
        <v>1.0086999999999999</v>
      </c>
      <c r="H3" t="str">
        <f>IFERROR(VLOOKUP(A3,final!D:D,1,FALSE),"MISSING")</f>
        <v>ANGAST1</v>
      </c>
      <c r="I3">
        <f>IFERROR(VLOOKUP(A3,'From DB'!A:K,11,FALSE),"MISSING")</f>
        <v>50</v>
      </c>
      <c r="K3" t="str">
        <f t="shared" ref="K3:K64" si="0">IF(AND(H3="MISSING",OR(I3="MISSING",I3&gt;10),J3=""),"NEED TO FIND","")</f>
        <v/>
      </c>
      <c r="L3" t="str">
        <f>VLOOKUP(A3,new_list!A:E,5,FALSE)</f>
        <v>Generator</v>
      </c>
    </row>
    <row r="4" spans="1:12">
      <c r="A4" t="s">
        <v>3078</v>
      </c>
      <c r="B4" t="s">
        <v>187</v>
      </c>
      <c r="C4">
        <v>33</v>
      </c>
      <c r="D4" t="s">
        <v>880</v>
      </c>
      <c r="E4" t="s">
        <v>2983</v>
      </c>
      <c r="F4">
        <v>0.95340000000000003</v>
      </c>
      <c r="G4">
        <v>1.0086999999999999</v>
      </c>
      <c r="H4" t="str">
        <f>IFERROR(VLOOKUP(A4,final!D:D,1,FALSE),"MISSING")</f>
        <v>ANGAST2</v>
      </c>
      <c r="I4" t="str">
        <f>IFERROR(VLOOKUP(A4,'From DB'!A:K,11,FALSE),"MISSING")</f>
        <v>MISSING</v>
      </c>
      <c r="K4" t="str">
        <f t="shared" si="0"/>
        <v/>
      </c>
      <c r="L4" t="e">
        <f>VLOOKUP(A4,new_list!A:E,5,FALSE)</f>
        <v>#N/A</v>
      </c>
    </row>
    <row r="5" spans="1:12">
      <c r="A5" t="s">
        <v>2570</v>
      </c>
      <c r="B5" t="s">
        <v>2569</v>
      </c>
      <c r="C5">
        <v>66</v>
      </c>
      <c r="D5" t="s">
        <v>2571</v>
      </c>
      <c r="E5" t="s">
        <v>2572</v>
      </c>
      <c r="F5">
        <v>0.99670000000000003</v>
      </c>
      <c r="G5">
        <v>1.0009999999999999</v>
      </c>
      <c r="H5" t="str">
        <f>IFERROR(VLOOKUP(A5,final!D:D,1,FALSE),"MISSING")</f>
        <v>APPIN</v>
      </c>
      <c r="I5" t="str">
        <f>IFERROR(VLOOKUP(A5,'From DB'!A:K,11,FALSE),"MISSING")</f>
        <v>MISSING</v>
      </c>
      <c r="K5" t="str">
        <f t="shared" si="0"/>
        <v/>
      </c>
      <c r="L5" t="str">
        <f>VLOOKUP(A5,new_list!A:E,5,FALSE)</f>
        <v>Generator</v>
      </c>
    </row>
    <row r="6" spans="1:12">
      <c r="A6" t="s">
        <v>201</v>
      </c>
      <c r="B6" t="s">
        <v>196</v>
      </c>
      <c r="C6">
        <v>220</v>
      </c>
      <c r="D6" t="s">
        <v>2692</v>
      </c>
      <c r="E6" t="s">
        <v>2693</v>
      </c>
      <c r="F6">
        <v>0.88529999999999998</v>
      </c>
      <c r="G6">
        <v>0.96909999999999996</v>
      </c>
      <c r="H6" t="str">
        <f>IFERROR(VLOOKUP(A6,final!D:D,1,FALSE),"MISSING")</f>
        <v>ARWF1</v>
      </c>
      <c r="I6">
        <f>IFERROR(VLOOKUP(A6,'From DB'!A:K,11,FALSE),"MISSING")</f>
        <v>240</v>
      </c>
      <c r="K6" t="str">
        <f t="shared" si="0"/>
        <v/>
      </c>
      <c r="L6" t="str">
        <f>VLOOKUP(A6,new_list!A:E,5,FALSE)</f>
        <v>Generator</v>
      </c>
    </row>
    <row r="7" spans="1:12">
      <c r="A7" t="s">
        <v>202</v>
      </c>
      <c r="B7" t="s">
        <v>2573</v>
      </c>
      <c r="C7">
        <v>132</v>
      </c>
      <c r="D7" t="s">
        <v>2574</v>
      </c>
      <c r="E7" t="s">
        <v>2575</v>
      </c>
      <c r="F7">
        <v>0.98960000000000004</v>
      </c>
      <c r="G7">
        <v>0.99009999999999998</v>
      </c>
      <c r="H7" t="str">
        <f>IFERROR(VLOOKUP(A7,final!D:D,1,FALSE),"MISSING")</f>
        <v>MISSING</v>
      </c>
      <c r="I7">
        <f>IFERROR(VLOOKUP(A7,'From DB'!A:K,11,FALSE),"MISSING")</f>
        <v>1.123</v>
      </c>
      <c r="K7" t="str">
        <f t="shared" si="0"/>
        <v/>
      </c>
      <c r="L7" t="e">
        <f>VLOOKUP(A7,new_list!A:E,5,FALSE)</f>
        <v>#N/A</v>
      </c>
    </row>
    <row r="8" spans="1:12">
      <c r="A8" t="s">
        <v>2258</v>
      </c>
      <c r="B8" t="s">
        <v>3084</v>
      </c>
      <c r="C8">
        <v>33</v>
      </c>
      <c r="D8" t="s">
        <v>2259</v>
      </c>
      <c r="E8" t="s">
        <v>2260</v>
      </c>
      <c r="F8">
        <v>0.82709999999999995</v>
      </c>
      <c r="G8">
        <v>0.88360000000000005</v>
      </c>
      <c r="H8" t="str">
        <f>IFERROR(VLOOKUP(A8,final!D:D,1,FALSE),"MISSING")</f>
        <v>DAYDSF1</v>
      </c>
      <c r="I8" t="str">
        <f>IFERROR(VLOOKUP(A8,'From DB'!A:K,11,FALSE),"MISSING")</f>
        <v>MISSING</v>
      </c>
      <c r="K8" t="str">
        <f t="shared" si="0"/>
        <v/>
      </c>
      <c r="L8" t="str">
        <f>VLOOKUP(A8,new_list!A:E,5,FALSE)</f>
        <v>Generator</v>
      </c>
    </row>
    <row r="9" spans="1:12">
      <c r="A9" t="s">
        <v>236</v>
      </c>
      <c r="B9" t="s">
        <v>237</v>
      </c>
      <c r="C9">
        <v>66</v>
      </c>
      <c r="D9" t="s">
        <v>1116</v>
      </c>
      <c r="E9" t="s">
        <v>2814</v>
      </c>
      <c r="F9">
        <v>0.98819999999999997</v>
      </c>
      <c r="G9">
        <v>0.98660000000000003</v>
      </c>
      <c r="H9" t="str">
        <f>IFERROR(VLOOKUP(A9,final!D:D,1,FALSE),"MISSING")</f>
        <v>BDL01</v>
      </c>
      <c r="I9">
        <f>IFERROR(VLOOKUP(A9,'From DB'!A:K,11,FALSE),"MISSING")</f>
        <v>47</v>
      </c>
      <c r="K9" t="str">
        <f t="shared" si="0"/>
        <v/>
      </c>
      <c r="L9" t="str">
        <f>VLOOKUP(A9,new_list!A:E,5,FALSE)</f>
        <v>Generator</v>
      </c>
    </row>
    <row r="10" spans="1:12">
      <c r="A10" t="s">
        <v>238</v>
      </c>
      <c r="B10" t="s">
        <v>2815</v>
      </c>
      <c r="C10">
        <v>66</v>
      </c>
      <c r="D10" t="s">
        <v>1118</v>
      </c>
      <c r="E10" t="s">
        <v>2814</v>
      </c>
      <c r="F10">
        <v>0.98819999999999997</v>
      </c>
      <c r="G10">
        <v>0.98660000000000003</v>
      </c>
      <c r="H10" t="str">
        <f>IFERROR(VLOOKUP(A10,final!D:D,1,FALSE),"MISSING")</f>
        <v>BDL02</v>
      </c>
      <c r="I10">
        <f>IFERROR(VLOOKUP(A10,'From DB'!A:K,11,FALSE),"MISSING")</f>
        <v>47</v>
      </c>
      <c r="K10" t="str">
        <f t="shared" si="0"/>
        <v/>
      </c>
      <c r="L10" t="str">
        <f>VLOOKUP(A10,new_list!A:E,5,FALSE)</f>
        <v>Generator</v>
      </c>
    </row>
    <row r="11" spans="1:12">
      <c r="A11" t="s">
        <v>2355</v>
      </c>
      <c r="B11" t="s">
        <v>2354</v>
      </c>
      <c r="C11">
        <v>132</v>
      </c>
      <c r="D11" t="s">
        <v>2356</v>
      </c>
      <c r="E11" t="s">
        <v>2357</v>
      </c>
      <c r="F11">
        <v>0.9788</v>
      </c>
      <c r="G11">
        <v>0.98340000000000005</v>
      </c>
      <c r="H11" t="str">
        <f>IFERROR(VLOOKUP(A11,final!D:D,1,FALSE),"MISSING")</f>
        <v>BAKING1</v>
      </c>
      <c r="I11" t="str">
        <f>IFERROR(VLOOKUP(A11,'From DB'!A:K,11,FALSE),"MISSING")</f>
        <v>MISSING</v>
      </c>
      <c r="K11" t="str">
        <f t="shared" si="0"/>
        <v/>
      </c>
      <c r="L11" t="str">
        <f>VLOOKUP(A11,new_list!A:E,5,FALSE)</f>
        <v>Generator</v>
      </c>
    </row>
    <row r="12" spans="1:12">
      <c r="A12" t="s">
        <v>204</v>
      </c>
      <c r="B12" t="s">
        <v>205</v>
      </c>
      <c r="C12">
        <v>66</v>
      </c>
      <c r="D12" t="s">
        <v>1124</v>
      </c>
      <c r="E12" t="s">
        <v>2816</v>
      </c>
      <c r="F12">
        <v>0.99470000000000003</v>
      </c>
      <c r="G12">
        <v>0.9879</v>
      </c>
      <c r="H12" t="str">
        <f>IFERROR(VLOOKUP(A12,final!D:D,1,FALSE),"MISSING")</f>
        <v>BALDHWF1</v>
      </c>
      <c r="I12">
        <f>IFERROR(VLOOKUP(A12,'From DB'!A:K,11,FALSE),"MISSING")</f>
        <v>106.6</v>
      </c>
      <c r="K12" t="str">
        <f t="shared" si="0"/>
        <v/>
      </c>
      <c r="L12" t="str">
        <f>VLOOKUP(A12,new_list!A:E,5,FALSE)</f>
        <v>Generator</v>
      </c>
    </row>
    <row r="13" spans="1:12">
      <c r="A13" t="s">
        <v>2695</v>
      </c>
      <c r="B13" t="s">
        <v>2694</v>
      </c>
      <c r="C13">
        <v>22</v>
      </c>
      <c r="D13" t="s">
        <v>2696</v>
      </c>
      <c r="E13" t="s">
        <v>2697</v>
      </c>
      <c r="F13">
        <v>0.95940000000000003</v>
      </c>
      <c r="G13">
        <v>0.99480000000000002</v>
      </c>
      <c r="H13" t="str">
        <f>IFERROR(VLOOKUP(A13,final!D:D,1,FALSE),"MISSING")</f>
        <v>BALBG1</v>
      </c>
      <c r="I13" t="str">
        <f>IFERROR(VLOOKUP(A13,'From DB'!A:K,11,FALSE),"MISSING")</f>
        <v>MISSING</v>
      </c>
      <c r="K13" t="str">
        <f t="shared" si="0"/>
        <v/>
      </c>
      <c r="L13" t="str">
        <f>VLOOKUP(A13,new_list!A:E,5,FALSE)</f>
        <v>Generator</v>
      </c>
    </row>
    <row r="14" spans="1:12">
      <c r="A14" t="s">
        <v>2699</v>
      </c>
      <c r="B14" t="s">
        <v>2698</v>
      </c>
      <c r="C14">
        <v>22</v>
      </c>
      <c r="D14" t="s">
        <v>2700</v>
      </c>
      <c r="E14" t="s">
        <v>2697</v>
      </c>
      <c r="F14">
        <v>0.98409999999999997</v>
      </c>
      <c r="G14">
        <v>1.0085</v>
      </c>
      <c r="H14" t="str">
        <f>IFERROR(VLOOKUP(A14,final!D:D,1,FALSE),"MISSING")</f>
        <v>MISSING</v>
      </c>
      <c r="I14" t="str">
        <f>IFERROR(VLOOKUP(A14,'From DB'!A:K,11,FALSE),"MISSING")</f>
        <v>MISSING</v>
      </c>
      <c r="K14" t="str">
        <f t="shared" si="0"/>
        <v>NEED TO FIND</v>
      </c>
      <c r="L14" t="str">
        <f>VLOOKUP(A14,new_list!A:E,5,FALSE)</f>
        <v>Load</v>
      </c>
    </row>
    <row r="15" spans="1:12">
      <c r="A15" t="s">
        <v>228</v>
      </c>
      <c r="B15" t="s">
        <v>1462</v>
      </c>
      <c r="C15">
        <v>66</v>
      </c>
      <c r="D15" t="s">
        <v>2817</v>
      </c>
      <c r="E15" t="s">
        <v>2813</v>
      </c>
      <c r="F15">
        <v>0.97</v>
      </c>
      <c r="G15">
        <v>1.0016</v>
      </c>
      <c r="H15" t="str">
        <f>IFERROR(VLOOKUP(A15,final!D:D,1,FALSE),"MISSING")</f>
        <v>MISSING</v>
      </c>
      <c r="I15">
        <f>IFERROR(VLOOKUP(A15,'From DB'!A:K,11,FALSE),"MISSING")</f>
        <v>3</v>
      </c>
      <c r="K15" t="str">
        <f t="shared" si="0"/>
        <v/>
      </c>
      <c r="L15" t="str">
        <f>VLOOKUP(A15,new_list!A:E,5,FALSE)</f>
        <v>Generator</v>
      </c>
    </row>
    <row r="16" spans="1:12">
      <c r="A16" t="s">
        <v>208</v>
      </c>
      <c r="B16" t="s">
        <v>2701</v>
      </c>
      <c r="C16">
        <v>220</v>
      </c>
      <c r="D16" t="s">
        <v>2702</v>
      </c>
      <c r="E16" t="s">
        <v>1036</v>
      </c>
      <c r="F16">
        <v>0.92930000000000001</v>
      </c>
      <c r="G16">
        <v>0.92490000000000006</v>
      </c>
      <c r="H16" t="str">
        <f>IFERROR(VLOOKUP(A16,final!D:D,1,FALSE),"MISSING")</f>
        <v>BAPS</v>
      </c>
      <c r="I16">
        <f>IFERROR(VLOOKUP(A16,'From DB'!A:K,11,FALSE),"MISSING")</f>
        <v>12.85</v>
      </c>
      <c r="K16" t="str">
        <f t="shared" si="0"/>
        <v/>
      </c>
      <c r="L16" t="str">
        <f>VLOOKUP(A16,new_list!A:E,5,FALSE)</f>
        <v>Generator</v>
      </c>
    </row>
    <row r="17" spans="1:12">
      <c r="A17" t="s">
        <v>2704</v>
      </c>
      <c r="B17" t="s">
        <v>2703</v>
      </c>
      <c r="C17">
        <v>66</v>
      </c>
      <c r="D17" t="s">
        <v>2705</v>
      </c>
      <c r="E17" t="s">
        <v>2706</v>
      </c>
      <c r="F17">
        <v>0.80840000000000001</v>
      </c>
      <c r="G17">
        <v>0.92620000000000002</v>
      </c>
      <c r="H17" t="str">
        <f>IFERROR(VLOOKUP(A17,final!D:D,1,FALSE),"MISSING")</f>
        <v>BANN1</v>
      </c>
      <c r="I17" t="str">
        <f>IFERROR(VLOOKUP(A17,'From DB'!A:K,11,FALSE),"MISSING")</f>
        <v>MISSING</v>
      </c>
      <c r="K17" t="str">
        <f t="shared" si="0"/>
        <v/>
      </c>
      <c r="L17" t="str">
        <f>VLOOKUP(A17,new_list!A:E,5,FALSE)</f>
        <v>Generator</v>
      </c>
    </row>
    <row r="18" spans="1:12">
      <c r="A18" t="s">
        <v>213</v>
      </c>
      <c r="B18" t="s">
        <v>2358</v>
      </c>
      <c r="C18">
        <v>132</v>
      </c>
      <c r="D18" t="s">
        <v>1324</v>
      </c>
      <c r="E18" t="s">
        <v>1324</v>
      </c>
      <c r="F18">
        <v>0.77129999999999999</v>
      </c>
      <c r="G18">
        <v>0.90290000000000004</v>
      </c>
      <c r="H18" t="str">
        <f>IFERROR(VLOOKUP(A18,final!D:D,1,FALSE),"MISSING")</f>
        <v>BARCALDN</v>
      </c>
      <c r="I18">
        <f>IFERROR(VLOOKUP(A18,'From DB'!A:K,11,FALSE),"MISSING")</f>
        <v>37</v>
      </c>
      <c r="K18" t="str">
        <f t="shared" si="0"/>
        <v/>
      </c>
      <c r="L18" t="str">
        <f>VLOOKUP(A18,new_list!A:E,5,FALSE)</f>
        <v>Generator</v>
      </c>
    </row>
    <row r="19" spans="1:12">
      <c r="A19" t="s">
        <v>217</v>
      </c>
      <c r="B19" t="s">
        <v>2218</v>
      </c>
      <c r="C19">
        <v>132</v>
      </c>
      <c r="D19" t="s">
        <v>2220</v>
      </c>
      <c r="E19" t="s">
        <v>2221</v>
      </c>
      <c r="F19">
        <v>0.86860000000000004</v>
      </c>
      <c r="G19">
        <v>0.89339999999999997</v>
      </c>
      <c r="H19" t="str">
        <f>IFERROR(VLOOKUP(A19,final!D:D,1,FALSE),"MISSING")</f>
        <v>BARCSF1</v>
      </c>
      <c r="I19">
        <f>IFERROR(VLOOKUP(A19,'From DB'!A:K,11,FALSE),"MISSING")</f>
        <v>20</v>
      </c>
      <c r="K19" t="str">
        <f t="shared" si="0"/>
        <v/>
      </c>
      <c r="L19" t="str">
        <f>VLOOKUP(A19,new_list!A:E,5,FALSE)</f>
        <v>Generator</v>
      </c>
    </row>
    <row r="20" spans="1:12">
      <c r="A20" t="s">
        <v>221</v>
      </c>
      <c r="B20" t="s">
        <v>2222</v>
      </c>
      <c r="C20">
        <v>132</v>
      </c>
      <c r="D20" t="s">
        <v>1298</v>
      </c>
      <c r="E20" t="s">
        <v>2223</v>
      </c>
      <c r="F20">
        <v>0.91300000000000003</v>
      </c>
      <c r="G20">
        <v>0.93459999999999999</v>
      </c>
      <c r="H20" t="str">
        <f>IFERROR(VLOOKUP(A20,final!D:D,1,FALSE),"MISSING")</f>
        <v>BARRON-1</v>
      </c>
      <c r="I20">
        <f>IFERROR(VLOOKUP(A20,'From DB'!A:K,11,FALSE),"MISSING")</f>
        <v>30</v>
      </c>
      <c r="K20" t="str">
        <f t="shared" si="0"/>
        <v/>
      </c>
      <c r="L20" t="str">
        <f>VLOOKUP(A20,new_list!A:E,5,FALSE)</f>
        <v>Generator</v>
      </c>
    </row>
    <row r="21" spans="1:12">
      <c r="A21" t="s">
        <v>224</v>
      </c>
      <c r="B21" t="s">
        <v>2224</v>
      </c>
      <c r="C21">
        <v>132</v>
      </c>
      <c r="D21" t="s">
        <v>1301</v>
      </c>
      <c r="E21" t="s">
        <v>2223</v>
      </c>
      <c r="F21">
        <v>0.91300000000000003</v>
      </c>
      <c r="G21">
        <v>0.93459999999999999</v>
      </c>
      <c r="H21" t="str">
        <f>IFERROR(VLOOKUP(A21,final!D:D,1,FALSE),"MISSING")</f>
        <v>BARRON-2</v>
      </c>
      <c r="I21">
        <f>IFERROR(VLOOKUP(A21,'From DB'!A:K,11,FALSE),"MISSING")</f>
        <v>30</v>
      </c>
      <c r="K21" t="str">
        <f t="shared" si="0"/>
        <v/>
      </c>
      <c r="L21" t="str">
        <f>VLOOKUP(A21,new_list!A:E,5,FALSE)</f>
        <v>Generator</v>
      </c>
    </row>
    <row r="22" spans="1:12">
      <c r="A22" t="s">
        <v>3013</v>
      </c>
      <c r="B22" t="s">
        <v>3012</v>
      </c>
      <c r="C22">
        <v>220</v>
      </c>
      <c r="D22" t="s">
        <v>3014</v>
      </c>
      <c r="E22" t="s">
        <v>3015</v>
      </c>
      <c r="F22">
        <v>1</v>
      </c>
      <c r="G22">
        <v>1</v>
      </c>
      <c r="H22" t="str">
        <f>IFERROR(VLOOKUP(A22,final!D:D,1,FALSE),"MISSING")</f>
        <v>MISSING</v>
      </c>
      <c r="I22" t="str">
        <f>IFERROR(VLOOKUP(A22,'From DB'!A:K,11,FALSE),"MISSING")</f>
        <v>MISSING</v>
      </c>
      <c r="K22" t="str">
        <f t="shared" si="0"/>
        <v>NEED TO FIND</v>
      </c>
      <c r="L22" t="str">
        <f>VLOOKUP(A22,new_list!A:E,5,FALSE)</f>
        <v>Generator</v>
      </c>
    </row>
    <row r="23" spans="1:12">
      <c r="A23" t="s">
        <v>2708</v>
      </c>
      <c r="B23" t="s">
        <v>2707</v>
      </c>
      <c r="C23">
        <v>500</v>
      </c>
      <c r="D23" t="s">
        <v>2709</v>
      </c>
      <c r="E23" t="s">
        <v>2710</v>
      </c>
      <c r="F23">
        <v>0.98570000000000002</v>
      </c>
      <c r="G23">
        <v>0.9839</v>
      </c>
      <c r="H23" t="str">
        <f>IFERROR(VLOOKUP(A23,final!D:D,1,FALSE),"MISSING")</f>
        <v>MISSING</v>
      </c>
      <c r="I23" t="str">
        <f>IFERROR(VLOOKUP(A23,'From DB'!A:K,11,FALSE),"MISSING")</f>
        <v>MISSING</v>
      </c>
      <c r="K23" t="str">
        <f t="shared" si="0"/>
        <v>NEED TO FIND</v>
      </c>
      <c r="L23" t="str">
        <f>VLOOKUP(A23,new_list!A:E,5,FALSE)</f>
        <v>Generator</v>
      </c>
    </row>
    <row r="24" spans="1:12">
      <c r="A24" t="s">
        <v>225</v>
      </c>
      <c r="B24" t="s">
        <v>3016</v>
      </c>
      <c r="C24">
        <v>220</v>
      </c>
      <c r="D24" t="s">
        <v>989</v>
      </c>
      <c r="E24" t="s">
        <v>3017</v>
      </c>
      <c r="F24">
        <v>0.94350000000000001</v>
      </c>
      <c r="G24">
        <v>0.94099999999999995</v>
      </c>
      <c r="H24" t="str">
        <f>IFERROR(VLOOKUP(A24,final!D:D,1,FALSE),"MISSING")</f>
        <v>BASTYAN</v>
      </c>
      <c r="I24">
        <f>IFERROR(VLOOKUP(A24,'From DB'!A:K,11,FALSE),"MISSING")</f>
        <v>79.900000000000006</v>
      </c>
      <c r="K24" t="str">
        <f t="shared" si="0"/>
        <v/>
      </c>
      <c r="L24" t="str">
        <f>VLOOKUP(A24,new_list!A:E,5,FALSE)</f>
        <v>Generator</v>
      </c>
    </row>
    <row r="25" spans="1:12">
      <c r="A25" t="s">
        <v>278</v>
      </c>
      <c r="B25" t="s">
        <v>2443</v>
      </c>
      <c r="C25">
        <v>330</v>
      </c>
      <c r="D25" t="s">
        <v>1174</v>
      </c>
      <c r="E25" t="s">
        <v>2444</v>
      </c>
      <c r="F25">
        <v>0.95679999999999998</v>
      </c>
      <c r="G25">
        <v>0.95379999999999998</v>
      </c>
      <c r="H25" t="str">
        <f>IFERROR(VLOOKUP(A25,final!D:D,1,FALSE),"MISSING")</f>
        <v>BW01</v>
      </c>
      <c r="I25">
        <f>IFERROR(VLOOKUP(A25,'From DB'!A:K,11,FALSE),"MISSING")</f>
        <v>660</v>
      </c>
      <c r="K25" t="str">
        <f t="shared" si="0"/>
        <v/>
      </c>
      <c r="L25" t="str">
        <f>VLOOKUP(A25,new_list!A:E,5,FALSE)</f>
        <v>Generator</v>
      </c>
    </row>
    <row r="26" spans="1:12">
      <c r="A26" t="s">
        <v>281</v>
      </c>
      <c r="B26" t="s">
        <v>2445</v>
      </c>
      <c r="C26">
        <v>330</v>
      </c>
      <c r="D26" t="s">
        <v>1176</v>
      </c>
      <c r="E26" t="s">
        <v>2444</v>
      </c>
      <c r="F26">
        <v>0.95679999999999998</v>
      </c>
      <c r="G26">
        <v>0.95379999999999998</v>
      </c>
      <c r="H26" t="str">
        <f>IFERROR(VLOOKUP(A26,final!D:D,1,FALSE),"MISSING")</f>
        <v>BW02</v>
      </c>
      <c r="I26">
        <f>IFERROR(VLOOKUP(A26,'From DB'!A:K,11,FALSE),"MISSING")</f>
        <v>660</v>
      </c>
      <c r="K26" t="str">
        <f t="shared" si="0"/>
        <v/>
      </c>
      <c r="L26" t="str">
        <f>VLOOKUP(A26,new_list!A:E,5,FALSE)</f>
        <v>Generator</v>
      </c>
    </row>
    <row r="27" spans="1:12">
      <c r="A27" t="s">
        <v>282</v>
      </c>
      <c r="B27" t="s">
        <v>2446</v>
      </c>
      <c r="C27">
        <v>500</v>
      </c>
      <c r="D27" t="s">
        <v>1177</v>
      </c>
      <c r="E27" t="s">
        <v>2448</v>
      </c>
      <c r="F27">
        <v>0.95809999999999995</v>
      </c>
      <c r="G27">
        <v>0.95550000000000002</v>
      </c>
      <c r="H27" t="str">
        <f>IFERROR(VLOOKUP(A27,final!D:D,1,FALSE),"MISSING")</f>
        <v>BW03</v>
      </c>
      <c r="I27">
        <f>IFERROR(VLOOKUP(A27,'From DB'!A:K,11,FALSE),"MISSING")</f>
        <v>660</v>
      </c>
      <c r="K27" t="str">
        <f t="shared" si="0"/>
        <v/>
      </c>
      <c r="L27" t="str">
        <f>VLOOKUP(A27,new_list!A:E,5,FALSE)</f>
        <v>Generator</v>
      </c>
    </row>
    <row r="28" spans="1:12">
      <c r="A28" t="s">
        <v>283</v>
      </c>
      <c r="B28" t="s">
        <v>2449</v>
      </c>
      <c r="C28">
        <v>500</v>
      </c>
      <c r="D28" t="s">
        <v>1178</v>
      </c>
      <c r="E28" t="s">
        <v>2448</v>
      </c>
      <c r="F28">
        <v>0.95809999999999995</v>
      </c>
      <c r="G28">
        <v>0.95550000000000002</v>
      </c>
      <c r="H28" t="str">
        <f>IFERROR(VLOOKUP(A28,final!D:D,1,FALSE),"MISSING")</f>
        <v>BW04</v>
      </c>
      <c r="I28">
        <f>IFERROR(VLOOKUP(A28,'From DB'!A:K,11,FALSE),"MISSING")</f>
        <v>660</v>
      </c>
      <c r="K28" t="str">
        <f t="shared" si="0"/>
        <v/>
      </c>
      <c r="L28" t="str">
        <f>VLOOKUP(A28,new_list!A:E,5,FALSE)</f>
        <v>Generator</v>
      </c>
    </row>
    <row r="29" spans="1:12">
      <c r="A29" t="s">
        <v>232</v>
      </c>
      <c r="B29" t="s">
        <v>3018</v>
      </c>
      <c r="C29">
        <v>110</v>
      </c>
      <c r="D29" t="s">
        <v>948</v>
      </c>
      <c r="E29" t="s">
        <v>3019</v>
      </c>
      <c r="F29">
        <v>0.99939999999999996</v>
      </c>
      <c r="G29">
        <v>1.0003</v>
      </c>
      <c r="H29" t="str">
        <f>IFERROR(VLOOKUP(A29,final!D:D,1,FALSE),"MISSING")</f>
        <v>BBTHREE1</v>
      </c>
      <c r="I29">
        <f>IFERROR(VLOOKUP(A29,'From DB'!A:K,11,FALSE),"MISSING")</f>
        <v>35</v>
      </c>
      <c r="K29" t="str">
        <f t="shared" si="0"/>
        <v/>
      </c>
      <c r="L29" t="str">
        <f>VLOOKUP(A29,new_list!A:E,5,FALSE)</f>
        <v>Generator</v>
      </c>
    </row>
    <row r="30" spans="1:12">
      <c r="A30" t="s">
        <v>234</v>
      </c>
      <c r="B30" t="s">
        <v>3018</v>
      </c>
      <c r="C30">
        <v>110</v>
      </c>
      <c r="D30" t="s">
        <v>951</v>
      </c>
      <c r="E30" t="s">
        <v>3019</v>
      </c>
      <c r="F30">
        <v>0.99939999999999996</v>
      </c>
      <c r="G30">
        <v>1.0003</v>
      </c>
      <c r="H30" t="str">
        <f>IFERROR(VLOOKUP(A30,final!D:D,1,FALSE),"MISSING")</f>
        <v>BBTHREE2</v>
      </c>
      <c r="I30">
        <f>IFERROR(VLOOKUP(A30,'From DB'!A:K,11,FALSE),"MISSING")</f>
        <v>35</v>
      </c>
      <c r="K30" t="str">
        <f t="shared" si="0"/>
        <v/>
      </c>
      <c r="L30" t="str">
        <f>VLOOKUP(A30,new_list!A:E,5,FALSE)</f>
        <v>Generator</v>
      </c>
    </row>
    <row r="31" spans="1:12">
      <c r="A31" t="s">
        <v>235</v>
      </c>
      <c r="B31" t="s">
        <v>3018</v>
      </c>
      <c r="C31">
        <v>110</v>
      </c>
      <c r="D31" t="s">
        <v>952</v>
      </c>
      <c r="E31" t="s">
        <v>3019</v>
      </c>
      <c r="F31">
        <v>0.99939999999999996</v>
      </c>
      <c r="G31">
        <v>1.0003</v>
      </c>
      <c r="H31" t="str">
        <f>IFERROR(VLOOKUP(A31,final!D:D,1,FALSE),"MISSING")</f>
        <v>BBTHREE3</v>
      </c>
      <c r="I31">
        <f>IFERROR(VLOOKUP(A31,'From DB'!A:K,11,FALSE),"MISSING")</f>
        <v>35</v>
      </c>
      <c r="K31" t="str">
        <f t="shared" si="0"/>
        <v/>
      </c>
      <c r="L31" t="str">
        <f>VLOOKUP(A31,new_list!A:E,5,FALSE)</f>
        <v>Generator</v>
      </c>
    </row>
    <row r="32" spans="1:12">
      <c r="A32" t="s">
        <v>241</v>
      </c>
      <c r="B32" t="s">
        <v>2450</v>
      </c>
      <c r="C32">
        <v>132</v>
      </c>
      <c r="D32" t="s">
        <v>1261</v>
      </c>
      <c r="E32" t="s">
        <v>2451</v>
      </c>
      <c r="F32">
        <v>0.94769999999999999</v>
      </c>
      <c r="G32">
        <v>0.99</v>
      </c>
      <c r="H32" t="str">
        <f>IFERROR(VLOOKUP(A32,final!D:D,1,FALSE),"MISSING")</f>
        <v>BLOWERNG</v>
      </c>
      <c r="I32">
        <f>IFERROR(VLOOKUP(A32,'From DB'!A:K,11,FALSE),"MISSING")</f>
        <v>70</v>
      </c>
      <c r="K32" t="str">
        <f t="shared" si="0"/>
        <v/>
      </c>
      <c r="L32" t="str">
        <f>VLOOKUP(A32,new_list!A:E,5,FALSE)</f>
        <v>Generator</v>
      </c>
    </row>
    <row r="33" spans="1:12">
      <c r="A33" t="s">
        <v>758</v>
      </c>
      <c r="B33" t="s">
        <v>3020</v>
      </c>
      <c r="C33">
        <v>110</v>
      </c>
      <c r="D33" t="s">
        <v>936</v>
      </c>
      <c r="E33" t="s">
        <v>3021</v>
      </c>
      <c r="F33">
        <v>0.88919999999999999</v>
      </c>
      <c r="G33">
        <v>0.8952</v>
      </c>
      <c r="H33" t="str">
        <f>IFERROR(VLOOKUP(A33,final!D:D,1,FALSE),"MISSING")</f>
        <v>WOOLNTH1</v>
      </c>
      <c r="I33">
        <f>IFERROR(VLOOKUP(A33,'From DB'!A:K,11,FALSE),"MISSING")</f>
        <v>140</v>
      </c>
      <c r="K33" t="str">
        <f t="shared" si="0"/>
        <v/>
      </c>
      <c r="L33" t="str">
        <f>VLOOKUP(A33,new_list!A:E,5,FALSE)</f>
        <v>Generator</v>
      </c>
    </row>
    <row r="34" spans="1:12">
      <c r="A34" t="s">
        <v>247</v>
      </c>
      <c r="B34" t="s">
        <v>248</v>
      </c>
      <c r="C34">
        <v>132</v>
      </c>
      <c r="D34" t="s">
        <v>1285</v>
      </c>
      <c r="E34" t="s">
        <v>2576</v>
      </c>
      <c r="F34">
        <v>0.96060000000000001</v>
      </c>
      <c r="G34">
        <v>1.0067999999999999</v>
      </c>
      <c r="H34" t="str">
        <f>IFERROR(VLOOKUP(A34,final!D:D,1,FALSE),"MISSING")</f>
        <v>BOCORWF1</v>
      </c>
      <c r="I34">
        <f>IFERROR(VLOOKUP(A34,'From DB'!A:K,11,FALSE),"MISSING")</f>
        <v>98.6</v>
      </c>
      <c r="K34" t="str">
        <f t="shared" si="0"/>
        <v/>
      </c>
      <c r="L34" t="str">
        <f>VLOOKUP(A34,new_list!A:E,5,FALSE)</f>
        <v>Generator</v>
      </c>
    </row>
    <row r="35" spans="1:12">
      <c r="A35" t="s">
        <v>2453</v>
      </c>
      <c r="B35" t="s">
        <v>2452</v>
      </c>
      <c r="C35">
        <v>132</v>
      </c>
      <c r="D35" t="s">
        <v>2454</v>
      </c>
      <c r="E35" t="s">
        <v>2455</v>
      </c>
      <c r="F35">
        <v>0.96260000000000001</v>
      </c>
      <c r="G35">
        <v>0.9819</v>
      </c>
      <c r="H35" t="str">
        <f>IFERROR(VLOOKUP(A35,final!D:D,1,FALSE),"MISSING")</f>
        <v>BODWF1</v>
      </c>
      <c r="I35" t="str">
        <f>IFERROR(VLOOKUP(A35,'From DB'!A:K,11,FALSE),"MISSING")</f>
        <v>MISSING</v>
      </c>
      <c r="K35" t="str">
        <f t="shared" si="0"/>
        <v/>
      </c>
      <c r="L35" t="str">
        <f>VLOOKUP(A35,new_list!A:E,5,FALSE)</f>
        <v>Generator</v>
      </c>
    </row>
    <row r="36" spans="1:12">
      <c r="A36" t="s">
        <v>249</v>
      </c>
      <c r="B36" t="s">
        <v>2984</v>
      </c>
      <c r="C36">
        <v>66</v>
      </c>
      <c r="D36" t="s">
        <v>2985</v>
      </c>
      <c r="E36" t="s">
        <v>2986</v>
      </c>
      <c r="F36">
        <v>1.0011000000000001</v>
      </c>
      <c r="G36">
        <v>1.0029999999999999</v>
      </c>
      <c r="H36" t="str">
        <f>IFERROR(VLOOKUP(A36,final!D:D,1,FALSE),"MISSING")</f>
        <v>MISSING</v>
      </c>
      <c r="I36">
        <f>IFERROR(VLOOKUP(A36,'From DB'!A:K,11,FALSE),"MISSING")</f>
        <v>9.9</v>
      </c>
      <c r="K36" t="str">
        <f t="shared" si="0"/>
        <v/>
      </c>
      <c r="L36" t="str">
        <f>VLOOKUP(A36,new_list!A:E,5,FALSE)</f>
        <v>Generator</v>
      </c>
    </row>
    <row r="37" spans="1:12">
      <c r="A37" t="s">
        <v>255</v>
      </c>
      <c r="B37" t="s">
        <v>2225</v>
      </c>
      <c r="C37">
        <v>275</v>
      </c>
      <c r="D37" t="s">
        <v>1379</v>
      </c>
      <c r="E37" t="s">
        <v>2226</v>
      </c>
      <c r="F37">
        <v>0.9677</v>
      </c>
      <c r="G37">
        <v>0.97089999999999999</v>
      </c>
      <c r="H37" t="str">
        <f>IFERROR(VLOOKUP(A37,final!D:D,1,FALSE),"MISSING")</f>
        <v>BRAEMAR1</v>
      </c>
      <c r="I37">
        <f>IFERROR(VLOOKUP(A37,'From DB'!A:K,11,FALSE),"MISSING")</f>
        <v>168</v>
      </c>
      <c r="K37" t="str">
        <f t="shared" si="0"/>
        <v/>
      </c>
      <c r="L37" t="str">
        <f>VLOOKUP(A37,new_list!A:E,5,FALSE)</f>
        <v>Generator</v>
      </c>
    </row>
    <row r="38" spans="1:12">
      <c r="A38" t="s">
        <v>258</v>
      </c>
      <c r="B38" t="s">
        <v>2227</v>
      </c>
      <c r="C38">
        <v>275</v>
      </c>
      <c r="D38" t="s">
        <v>1382</v>
      </c>
      <c r="E38" t="s">
        <v>2226</v>
      </c>
      <c r="F38">
        <v>0.9677</v>
      </c>
      <c r="G38">
        <v>0.97089999999999999</v>
      </c>
      <c r="H38" t="str">
        <f>IFERROR(VLOOKUP(A38,final!D:D,1,FALSE),"MISSING")</f>
        <v>BRAEMAR2</v>
      </c>
      <c r="I38">
        <f>IFERROR(VLOOKUP(A38,'From DB'!A:K,11,FALSE),"MISSING")</f>
        <v>168</v>
      </c>
      <c r="K38" t="str">
        <f t="shared" si="0"/>
        <v/>
      </c>
      <c r="L38" t="str">
        <f>VLOOKUP(A38,new_list!A:E,5,FALSE)</f>
        <v>Generator</v>
      </c>
    </row>
    <row r="39" spans="1:12">
      <c r="A39" t="s">
        <v>259</v>
      </c>
      <c r="B39" t="s">
        <v>2228</v>
      </c>
      <c r="C39">
        <v>275</v>
      </c>
      <c r="D39" t="s">
        <v>1383</v>
      </c>
      <c r="E39" t="s">
        <v>2226</v>
      </c>
      <c r="F39">
        <v>0.9677</v>
      </c>
      <c r="G39">
        <v>0.97089999999999999</v>
      </c>
      <c r="H39" t="str">
        <f>IFERROR(VLOOKUP(A39,final!D:D,1,FALSE),"MISSING")</f>
        <v>BRAEMAR3</v>
      </c>
      <c r="I39">
        <f>IFERROR(VLOOKUP(A39,'From DB'!A:K,11,FALSE),"MISSING")</f>
        <v>168</v>
      </c>
      <c r="K39" t="str">
        <f t="shared" si="0"/>
        <v/>
      </c>
      <c r="L39" t="str">
        <f>VLOOKUP(A39,new_list!A:E,5,FALSE)</f>
        <v>Generator</v>
      </c>
    </row>
    <row r="40" spans="1:12">
      <c r="A40" t="s">
        <v>260</v>
      </c>
      <c r="B40" t="s">
        <v>2229</v>
      </c>
      <c r="C40">
        <v>275</v>
      </c>
      <c r="D40" t="s">
        <v>1386</v>
      </c>
      <c r="E40" t="s">
        <v>2226</v>
      </c>
      <c r="F40">
        <v>0.9677</v>
      </c>
      <c r="G40">
        <v>0.97089999999999999</v>
      </c>
      <c r="H40" t="str">
        <f>IFERROR(VLOOKUP(A40,final!D:D,1,FALSE),"MISSING")</f>
        <v>BRAEMAR5</v>
      </c>
      <c r="I40">
        <f>IFERROR(VLOOKUP(A40,'From DB'!A:K,11,FALSE),"MISSING")</f>
        <v>173</v>
      </c>
      <c r="K40" t="str">
        <f t="shared" si="0"/>
        <v/>
      </c>
      <c r="L40" t="str">
        <f>VLOOKUP(A40,new_list!A:E,5,FALSE)</f>
        <v>Generator</v>
      </c>
    </row>
    <row r="41" spans="1:12">
      <c r="A41" t="s">
        <v>262</v>
      </c>
      <c r="B41" t="s">
        <v>2230</v>
      </c>
      <c r="C41">
        <v>275</v>
      </c>
      <c r="D41" t="s">
        <v>1387</v>
      </c>
      <c r="E41" t="s">
        <v>2226</v>
      </c>
      <c r="F41">
        <v>0.9677</v>
      </c>
      <c r="G41">
        <v>0.97089999999999999</v>
      </c>
      <c r="H41" t="str">
        <f>IFERROR(VLOOKUP(A41,final!D:D,1,FALSE),"MISSING")</f>
        <v>BRAEMAR6</v>
      </c>
      <c r="I41">
        <f>IFERROR(VLOOKUP(A41,'From DB'!A:K,11,FALSE),"MISSING")</f>
        <v>173</v>
      </c>
      <c r="K41" t="str">
        <f t="shared" si="0"/>
        <v/>
      </c>
      <c r="L41" t="str">
        <f>VLOOKUP(A41,new_list!A:E,5,FALSE)</f>
        <v>Generator</v>
      </c>
    </row>
    <row r="42" spans="1:12">
      <c r="A42" t="s">
        <v>263</v>
      </c>
      <c r="B42" t="s">
        <v>2231</v>
      </c>
      <c r="C42">
        <v>275</v>
      </c>
      <c r="D42" t="s">
        <v>1388</v>
      </c>
      <c r="E42" t="s">
        <v>2226</v>
      </c>
      <c r="F42">
        <v>0.9677</v>
      </c>
      <c r="G42">
        <v>0.97089999999999999</v>
      </c>
      <c r="H42" t="str">
        <f>IFERROR(VLOOKUP(A42,final!D:D,1,FALSE),"MISSING")</f>
        <v>BRAEMAR7</v>
      </c>
      <c r="I42">
        <f>IFERROR(VLOOKUP(A42,'From DB'!A:K,11,FALSE),"MISSING")</f>
        <v>173</v>
      </c>
      <c r="K42" t="str">
        <f t="shared" si="0"/>
        <v/>
      </c>
      <c r="L42" t="str">
        <f>VLOOKUP(A42,new_list!A:E,5,FALSE)</f>
        <v>Generator</v>
      </c>
    </row>
    <row r="43" spans="1:12">
      <c r="A43" t="s">
        <v>284</v>
      </c>
      <c r="B43" t="s">
        <v>2577</v>
      </c>
      <c r="C43">
        <v>132</v>
      </c>
      <c r="D43" t="s">
        <v>2578</v>
      </c>
      <c r="E43" t="s">
        <v>2579</v>
      </c>
      <c r="F43">
        <v>1.0004</v>
      </c>
      <c r="G43">
        <v>0.89649999999999996</v>
      </c>
      <c r="H43" t="str">
        <f>IFERROR(VLOOKUP(A43,final!D:D,1,FALSE),"MISSING")</f>
        <v>BWTR1</v>
      </c>
      <c r="I43">
        <f>IFERROR(VLOOKUP(A43,'From DB'!A:K,11,FALSE),"MISSING")</f>
        <v>38</v>
      </c>
      <c r="K43" t="str">
        <f t="shared" si="0"/>
        <v/>
      </c>
      <c r="L43" t="str">
        <f>VLOOKUP(A43,new_list!A:E,5,FALSE)</f>
        <v>Generator</v>
      </c>
    </row>
    <row r="44" spans="1:12">
      <c r="A44" t="s">
        <v>368</v>
      </c>
      <c r="B44" t="s">
        <v>2456</v>
      </c>
      <c r="C44">
        <v>22</v>
      </c>
      <c r="D44" t="s">
        <v>1294</v>
      </c>
      <c r="E44" t="s">
        <v>2458</v>
      </c>
      <c r="F44">
        <v>0.86880000000000002</v>
      </c>
      <c r="G44">
        <v>1.0603</v>
      </c>
      <c r="H44" t="str">
        <f>IFERROR(VLOOKUP(A44,final!D:D,1,FALSE),"MISSING")</f>
        <v>GB01</v>
      </c>
      <c r="I44">
        <f>IFERROR(VLOOKUP(A44,'From DB'!A:K,11,FALSE),"MISSING")</f>
        <v>50</v>
      </c>
      <c r="K44" t="str">
        <f t="shared" si="0"/>
        <v/>
      </c>
      <c r="L44" t="str">
        <f>VLOOKUP(A44,new_list!A:E,5,FALSE)</f>
        <v>Generator</v>
      </c>
    </row>
    <row r="45" spans="1:12">
      <c r="A45" t="s">
        <v>266</v>
      </c>
      <c r="B45" t="s">
        <v>2459</v>
      </c>
      <c r="C45">
        <v>22</v>
      </c>
      <c r="D45" t="s">
        <v>2460</v>
      </c>
      <c r="E45" t="s">
        <v>2461</v>
      </c>
      <c r="F45">
        <v>0.74639999999999995</v>
      </c>
      <c r="G45">
        <v>0.97889999999999999</v>
      </c>
      <c r="H45" t="str">
        <f>IFERROR(VLOOKUP(A45,final!D:D,1,FALSE),"MISSING")</f>
        <v>BROKENH1</v>
      </c>
      <c r="I45">
        <f>IFERROR(VLOOKUP(A45,'From DB'!A:K,11,FALSE),"MISSING")</f>
        <v>53.76</v>
      </c>
      <c r="K45" t="str">
        <f t="shared" si="0"/>
        <v/>
      </c>
      <c r="L45" t="str">
        <f>VLOOKUP(A45,new_list!A:E,5,FALSE)</f>
        <v>Generator</v>
      </c>
    </row>
    <row r="46" spans="1:12">
      <c r="A46" t="s">
        <v>269</v>
      </c>
      <c r="B46" t="s">
        <v>2821</v>
      </c>
      <c r="C46">
        <v>66</v>
      </c>
      <c r="D46" t="s">
        <v>2822</v>
      </c>
      <c r="E46" t="s">
        <v>2823</v>
      </c>
      <c r="F46">
        <v>1.0049999999999999</v>
      </c>
      <c r="G46">
        <v>1.0042</v>
      </c>
      <c r="H46" t="str">
        <f>IFERROR(VLOOKUP(A46,final!D:D,1,FALSE),"MISSING")</f>
        <v>MISSING</v>
      </c>
      <c r="I46">
        <f>IFERROR(VLOOKUP(A46,'From DB'!A:K,11,FALSE),"MISSING")</f>
        <v>2.83</v>
      </c>
      <c r="K46" t="str">
        <f t="shared" si="0"/>
        <v/>
      </c>
      <c r="L46" t="str">
        <f>VLOOKUP(A46,new_list!A:E,5,FALSE)</f>
        <v>Generator</v>
      </c>
    </row>
    <row r="47" spans="1:12">
      <c r="A47" t="s">
        <v>272</v>
      </c>
      <c r="B47" t="s">
        <v>273</v>
      </c>
      <c r="C47">
        <v>66</v>
      </c>
      <c r="D47" t="s">
        <v>2580</v>
      </c>
      <c r="E47" t="s">
        <v>2581</v>
      </c>
      <c r="F47">
        <v>0.98699999999999999</v>
      </c>
      <c r="G47">
        <v>1.0306999999999999</v>
      </c>
      <c r="H47" t="str">
        <f>IFERROR(VLOOKUP(A47,final!D:D,1,FALSE),"MISSING")</f>
        <v>MISSING</v>
      </c>
      <c r="I47">
        <f>IFERROR(VLOOKUP(A47,'From DB'!A:K,11,FALSE),"MISSING")</f>
        <v>4.95</v>
      </c>
      <c r="K47" t="str">
        <f t="shared" si="0"/>
        <v/>
      </c>
      <c r="L47" t="str">
        <f>VLOOKUP(A47,new_list!A:E,5,FALSE)</f>
        <v>Generator</v>
      </c>
    </row>
    <row r="48" spans="1:12">
      <c r="A48" t="s">
        <v>252</v>
      </c>
      <c r="B48" t="s">
        <v>2359</v>
      </c>
      <c r="C48">
        <v>110</v>
      </c>
      <c r="D48" t="s">
        <v>2360</v>
      </c>
      <c r="E48" t="s">
        <v>2328</v>
      </c>
      <c r="F48">
        <v>1.0126999999999999</v>
      </c>
      <c r="G48">
        <v>1.0116000000000001</v>
      </c>
      <c r="H48" t="str">
        <f>IFERROR(VLOOKUP(A48,final!D:D,1,FALSE),"MISSING")</f>
        <v>MISSING</v>
      </c>
      <c r="I48">
        <f>IFERROR(VLOOKUP(A48,'From DB'!A:K,11,FALSE),"MISSING")</f>
        <v>2.1800000000000002</v>
      </c>
      <c r="K48" t="str">
        <f t="shared" si="0"/>
        <v/>
      </c>
      <c r="L48" t="str">
        <f>VLOOKUP(A48,new_list!A:E,5,FALSE)</f>
        <v>Generator</v>
      </c>
    </row>
    <row r="49" spans="1:12">
      <c r="A49" t="s">
        <v>2891</v>
      </c>
      <c r="B49" t="s">
        <v>2890</v>
      </c>
      <c r="C49">
        <v>132</v>
      </c>
      <c r="D49" t="s">
        <v>2892</v>
      </c>
      <c r="E49" t="s">
        <v>2893</v>
      </c>
      <c r="F49">
        <v>0.96899999999999997</v>
      </c>
      <c r="G49">
        <v>0.97</v>
      </c>
      <c r="H49" t="str">
        <f>IFERROR(VLOOKUP(A49,final!D:D,1,FALSE),"MISSING")</f>
        <v>BNGSF1</v>
      </c>
      <c r="I49" t="str">
        <f>IFERROR(VLOOKUP(A49,'From DB'!A:K,11,FALSE),"MISSING")</f>
        <v>MISSING</v>
      </c>
      <c r="K49" t="str">
        <f t="shared" si="0"/>
        <v/>
      </c>
      <c r="L49" t="str">
        <f>VLOOKUP(A49,new_list!A:E,5,FALSE)</f>
        <v>Generator</v>
      </c>
    </row>
    <row r="50" spans="1:12">
      <c r="A50" t="s">
        <v>2895</v>
      </c>
      <c r="B50" t="s">
        <v>2894</v>
      </c>
      <c r="C50">
        <v>132</v>
      </c>
      <c r="D50" t="s">
        <v>2896</v>
      </c>
      <c r="E50" t="s">
        <v>2893</v>
      </c>
      <c r="F50">
        <v>0.96899999999999997</v>
      </c>
      <c r="G50">
        <v>0.97</v>
      </c>
      <c r="H50" t="str">
        <f>IFERROR(VLOOKUP(A50,final!D:D,1,FALSE),"MISSING")</f>
        <v>BNGSF2</v>
      </c>
      <c r="I50" t="str">
        <f>IFERROR(VLOOKUP(A50,'From DB'!A:K,11,FALSE),"MISSING")</f>
        <v>MISSING</v>
      </c>
      <c r="K50" t="str">
        <f t="shared" si="0"/>
        <v/>
      </c>
      <c r="L50" t="str">
        <f>VLOOKUP(A50,new_list!A:E,5,FALSE)</f>
        <v>Generator</v>
      </c>
    </row>
    <row r="51" spans="1:12">
      <c r="A51" t="s">
        <v>239</v>
      </c>
      <c r="B51" t="s">
        <v>2582</v>
      </c>
      <c r="C51">
        <v>132</v>
      </c>
      <c r="D51" t="s">
        <v>2583</v>
      </c>
      <c r="E51" t="s">
        <v>1290</v>
      </c>
      <c r="F51">
        <v>0.98499999999999999</v>
      </c>
      <c r="G51">
        <v>0.98240000000000005</v>
      </c>
      <c r="H51" t="str">
        <f>IFERROR(VLOOKUP(A51,final!D:D,1,FALSE),"MISSING")</f>
        <v>BDONGHYD</v>
      </c>
      <c r="I51">
        <f>IFERROR(VLOOKUP(A51,'From DB'!A:K,11,FALSE),"MISSING")</f>
        <v>19</v>
      </c>
      <c r="K51" t="str">
        <f t="shared" si="0"/>
        <v/>
      </c>
      <c r="L51" t="str">
        <f>VLOOKUP(A51,new_list!A:E,5,FALSE)</f>
        <v>Generator</v>
      </c>
    </row>
    <row r="52" spans="1:12">
      <c r="A52" t="s">
        <v>274</v>
      </c>
      <c r="B52" t="s">
        <v>116</v>
      </c>
      <c r="C52">
        <v>132</v>
      </c>
      <c r="D52" t="s">
        <v>1251</v>
      </c>
      <c r="E52" t="s">
        <v>1251</v>
      </c>
      <c r="F52">
        <v>0.97250000000000003</v>
      </c>
      <c r="G52">
        <v>1.0124</v>
      </c>
      <c r="H52" t="str">
        <f>IFERROR(VLOOKUP(A52,final!D:D,1,FALSE),"MISSING")</f>
        <v>BURRIN</v>
      </c>
      <c r="I52">
        <f>IFERROR(VLOOKUP(A52,'From DB'!A:K,11,FALSE),"MISSING")</f>
        <v>27</v>
      </c>
      <c r="K52" t="str">
        <f t="shared" si="0"/>
        <v/>
      </c>
      <c r="L52" t="str">
        <f>VLOOKUP(A52,new_list!A:E,5,FALSE)</f>
        <v>Generator</v>
      </c>
    </row>
    <row r="53" spans="1:12">
      <c r="A53" t="s">
        <v>276</v>
      </c>
      <c r="B53" t="s">
        <v>3022</v>
      </c>
      <c r="C53">
        <v>110</v>
      </c>
      <c r="D53" t="s">
        <v>1003</v>
      </c>
      <c r="E53" t="s">
        <v>3023</v>
      </c>
      <c r="F53">
        <v>0.91579999999999995</v>
      </c>
      <c r="G53">
        <v>0.93500000000000005</v>
      </c>
      <c r="H53" t="str">
        <f>IFERROR(VLOOKUP(A53,final!D:D,1,FALSE),"MISSING")</f>
        <v>BUTLERSG</v>
      </c>
      <c r="I53">
        <f>IFERROR(VLOOKUP(A53,'From DB'!A:K,11,FALSE),"MISSING")</f>
        <v>14.4</v>
      </c>
      <c r="K53" t="str">
        <f t="shared" si="0"/>
        <v/>
      </c>
      <c r="L53" t="str">
        <f>VLOOKUP(A53,new_list!A:E,5,FALSE)</f>
        <v>Generator</v>
      </c>
    </row>
    <row r="54" spans="1:12">
      <c r="A54" t="s">
        <v>288</v>
      </c>
      <c r="B54" t="s">
        <v>2234</v>
      </c>
      <c r="C54">
        <v>132</v>
      </c>
      <c r="D54" t="s">
        <v>1349</v>
      </c>
      <c r="E54" t="s">
        <v>2235</v>
      </c>
      <c r="F54">
        <v>0.89529999999999998</v>
      </c>
      <c r="G54">
        <v>0.90739999999999998</v>
      </c>
      <c r="H54" t="str">
        <f>IFERROR(VLOOKUP(A54,final!D:D,1,FALSE),"MISSING")</f>
        <v>MISSING</v>
      </c>
      <c r="I54">
        <f>IFERROR(VLOOKUP(A54,'From DB'!A:K,11,FALSE),"MISSING")</f>
        <v>30</v>
      </c>
      <c r="K54" t="str">
        <f t="shared" si="0"/>
        <v>NEED TO FIND</v>
      </c>
      <c r="L54" t="str">
        <f>VLOOKUP(A54,new_list!A:E,5,FALSE)</f>
        <v>Generator</v>
      </c>
    </row>
    <row r="55" spans="1:12">
      <c r="A55" t="s">
        <v>290</v>
      </c>
      <c r="B55" t="s">
        <v>2237</v>
      </c>
      <c r="C55">
        <v>275</v>
      </c>
      <c r="D55" t="s">
        <v>1350</v>
      </c>
      <c r="E55" t="s">
        <v>2238</v>
      </c>
      <c r="F55">
        <v>0.89880000000000004</v>
      </c>
      <c r="G55">
        <v>0.90690000000000004</v>
      </c>
      <c r="H55" t="str">
        <f>IFERROR(VLOOKUP(A55,final!D:D,1,FALSE),"MISSING")</f>
        <v>CALL_B_1</v>
      </c>
      <c r="I55">
        <f>IFERROR(VLOOKUP(A55,'From DB'!A:K,11,FALSE),"MISSING")</f>
        <v>350</v>
      </c>
      <c r="K55" t="str">
        <f t="shared" si="0"/>
        <v/>
      </c>
      <c r="L55" t="str">
        <f>VLOOKUP(A55,new_list!A:E,5,FALSE)</f>
        <v>Generator</v>
      </c>
    </row>
    <row r="56" spans="1:12">
      <c r="A56" t="s">
        <v>292</v>
      </c>
      <c r="B56" t="s">
        <v>2239</v>
      </c>
      <c r="C56">
        <v>275</v>
      </c>
      <c r="D56" t="s">
        <v>1351</v>
      </c>
      <c r="E56" t="s">
        <v>2238</v>
      </c>
      <c r="F56">
        <v>0.89880000000000004</v>
      </c>
      <c r="G56">
        <v>0.90690000000000004</v>
      </c>
      <c r="H56" t="str">
        <f>IFERROR(VLOOKUP(A56,final!D:D,1,FALSE),"MISSING")</f>
        <v>CALL_B_2</v>
      </c>
      <c r="I56">
        <f>IFERROR(VLOOKUP(A56,'From DB'!A:K,11,FALSE),"MISSING")</f>
        <v>350</v>
      </c>
      <c r="K56" t="str">
        <f t="shared" si="0"/>
        <v/>
      </c>
      <c r="L56" t="str">
        <f>VLOOKUP(A56,new_list!A:E,5,FALSE)</f>
        <v>Generator</v>
      </c>
    </row>
    <row r="57" spans="1:12">
      <c r="A57" t="s">
        <v>332</v>
      </c>
      <c r="B57" t="s">
        <v>2240</v>
      </c>
      <c r="C57">
        <v>275</v>
      </c>
      <c r="D57" t="s">
        <v>1355</v>
      </c>
      <c r="E57" t="s">
        <v>2241</v>
      </c>
      <c r="F57">
        <v>0.89629999999999999</v>
      </c>
      <c r="G57">
        <v>0.90800000000000003</v>
      </c>
      <c r="H57" t="str">
        <f>IFERROR(VLOOKUP(A57,final!D:D,1,FALSE),"MISSING")</f>
        <v>CPP_3</v>
      </c>
      <c r="I57">
        <f>IFERROR(VLOOKUP(A57,'From DB'!A:K,11,FALSE),"MISSING")</f>
        <v>420</v>
      </c>
      <c r="K57" t="str">
        <f t="shared" si="0"/>
        <v/>
      </c>
      <c r="L57" t="str">
        <f>VLOOKUP(A57,new_list!A:E,5,FALSE)</f>
        <v>Generator</v>
      </c>
    </row>
    <row r="58" spans="1:12">
      <c r="A58" t="s">
        <v>335</v>
      </c>
      <c r="B58" t="s">
        <v>2242</v>
      </c>
      <c r="C58">
        <v>275</v>
      </c>
      <c r="D58" t="s">
        <v>1357</v>
      </c>
      <c r="E58" t="s">
        <v>2241</v>
      </c>
      <c r="F58">
        <v>0.89629999999999999</v>
      </c>
      <c r="G58">
        <v>0.90800000000000003</v>
      </c>
      <c r="H58" t="str">
        <f>IFERROR(VLOOKUP(A58,final!D:D,1,FALSE),"MISSING")</f>
        <v>CPP_4</v>
      </c>
      <c r="I58">
        <f>IFERROR(VLOOKUP(A58,'From DB'!A:K,11,FALSE),"MISSING")</f>
        <v>420</v>
      </c>
      <c r="K58" t="str">
        <f t="shared" si="0"/>
        <v/>
      </c>
      <c r="L58" t="str">
        <f>VLOOKUP(A58,new_list!A:E,5,FALSE)</f>
        <v>Generator</v>
      </c>
    </row>
    <row r="59" spans="1:12">
      <c r="A59" t="s">
        <v>731</v>
      </c>
      <c r="B59" t="s">
        <v>2584</v>
      </c>
      <c r="C59">
        <v>66</v>
      </c>
      <c r="D59" t="s">
        <v>2585</v>
      </c>
      <c r="E59" t="s">
        <v>2586</v>
      </c>
      <c r="F59">
        <v>0.99909999999999999</v>
      </c>
      <c r="G59">
        <v>1.0005999999999999</v>
      </c>
      <c r="H59" t="str">
        <f>IFERROR(VLOOKUP(A59,final!D:D,1,FALSE),"MISSING")</f>
        <v>MISSING</v>
      </c>
      <c r="I59">
        <f>IFERROR(VLOOKUP(A59,'From DB'!A:K,11,FALSE),"MISSING")</f>
        <v>1</v>
      </c>
      <c r="K59" t="str">
        <f t="shared" si="0"/>
        <v/>
      </c>
      <c r="L59" t="str">
        <f>VLOOKUP(A59,new_list!A:E,5,FALSE)</f>
        <v>Generator</v>
      </c>
    </row>
    <row r="60" spans="1:12">
      <c r="A60" t="s">
        <v>322</v>
      </c>
      <c r="B60" t="s">
        <v>323</v>
      </c>
      <c r="C60">
        <v>33</v>
      </c>
      <c r="D60" t="s">
        <v>930</v>
      </c>
      <c r="E60" t="s">
        <v>2987</v>
      </c>
      <c r="F60">
        <v>0.97550000000000003</v>
      </c>
      <c r="G60">
        <v>0.92369999999999997</v>
      </c>
      <c r="H60" t="str">
        <f>IFERROR(VLOOKUP(A60,final!D:D,1,FALSE),"MISSING")</f>
        <v>CNUNDAWF</v>
      </c>
      <c r="I60">
        <f>IFERROR(VLOOKUP(A60,'From DB'!A:K,11,FALSE),"MISSING")</f>
        <v>46</v>
      </c>
      <c r="K60" t="str">
        <f t="shared" si="0"/>
        <v/>
      </c>
      <c r="L60" t="str">
        <f>VLOOKUP(A60,new_list!A:E,5,FALSE)</f>
        <v>Generator</v>
      </c>
    </row>
    <row r="61" spans="1:12">
      <c r="A61" t="s">
        <v>301</v>
      </c>
      <c r="B61" t="s">
        <v>302</v>
      </c>
      <c r="C61">
        <v>66</v>
      </c>
      <c r="D61" t="s">
        <v>2686</v>
      </c>
      <c r="E61" t="s">
        <v>2687</v>
      </c>
      <c r="F61">
        <v>0.99629999999999996</v>
      </c>
      <c r="G61">
        <v>1.0438000000000001</v>
      </c>
      <c r="H61" t="str">
        <f>IFERROR(VLOOKUP(A61,final!D:D,1,FALSE),"MISSING")</f>
        <v>MISSING</v>
      </c>
      <c r="I61">
        <f>IFERROR(VLOOKUP(A61,'From DB'!A:K,11,FALSE),"MISSING")</f>
        <v>1</v>
      </c>
      <c r="K61" t="str">
        <f t="shared" si="0"/>
        <v/>
      </c>
      <c r="L61" t="str">
        <f>VLOOKUP(A61,new_list!A:E,5,FALSE)</f>
        <v>Generator</v>
      </c>
    </row>
    <row r="62" spans="1:12">
      <c r="A62" t="s">
        <v>293</v>
      </c>
      <c r="B62" t="s">
        <v>294</v>
      </c>
      <c r="C62">
        <v>330</v>
      </c>
      <c r="D62" t="s">
        <v>1242</v>
      </c>
      <c r="E62" t="s">
        <v>2462</v>
      </c>
      <c r="F62">
        <v>0.97419999999999995</v>
      </c>
      <c r="G62">
        <v>1.01</v>
      </c>
      <c r="H62" t="str">
        <f>IFERROR(VLOOKUP(A62,final!D:D,1,FALSE),"MISSING")</f>
        <v>CAPTL_WF</v>
      </c>
      <c r="I62">
        <f>IFERROR(VLOOKUP(A62,'From DB'!A:K,11,FALSE),"MISSING")</f>
        <v>140</v>
      </c>
      <c r="K62" t="str">
        <f t="shared" si="0"/>
        <v/>
      </c>
      <c r="L62" t="str">
        <f>VLOOKUP(A62,new_list!A:E,5,FALSE)</f>
        <v>Generator</v>
      </c>
    </row>
    <row r="63" spans="1:12">
      <c r="A63" t="s">
        <v>467</v>
      </c>
      <c r="B63" t="s">
        <v>3024</v>
      </c>
      <c r="C63">
        <v>220</v>
      </c>
      <c r="D63" t="s">
        <v>1015</v>
      </c>
      <c r="E63" t="s">
        <v>3025</v>
      </c>
      <c r="F63">
        <v>0.99239999999999995</v>
      </c>
      <c r="G63">
        <v>0.99770000000000003</v>
      </c>
      <c r="H63" t="str">
        <f>IFERROR(VLOOKUP(A63,final!D:D,1,FALSE),"MISSING")</f>
        <v>LI_WY_CA</v>
      </c>
      <c r="I63">
        <f>IFERROR(VLOOKUP(A63,'From DB'!A:K,11,FALSE),"MISSING")</f>
        <v>170.1</v>
      </c>
      <c r="K63" t="str">
        <f t="shared" si="0"/>
        <v/>
      </c>
      <c r="L63" t="str">
        <f>VLOOKUP(A63,new_list!A:E,5,FALSE)</f>
        <v>Generator</v>
      </c>
    </row>
    <row r="64" spans="1:12">
      <c r="A64" t="s">
        <v>297</v>
      </c>
      <c r="B64" t="s">
        <v>298</v>
      </c>
      <c r="C64">
        <v>132</v>
      </c>
      <c r="D64" t="s">
        <v>836</v>
      </c>
      <c r="E64" t="s">
        <v>836</v>
      </c>
      <c r="F64">
        <v>0.87580000000000002</v>
      </c>
      <c r="G64">
        <v>0.88600000000000001</v>
      </c>
      <c r="H64" t="str">
        <f>IFERROR(VLOOKUP(A64,final!D:D,1,FALSE),"MISSING")</f>
        <v>CATHROCK</v>
      </c>
      <c r="I64">
        <f>IFERROR(VLOOKUP(A64,'From DB'!A:K,11,FALSE),"MISSING")</f>
        <v>66</v>
      </c>
      <c r="K64" t="str">
        <f t="shared" si="0"/>
        <v/>
      </c>
      <c r="L64" t="str">
        <f>VLOOKUP(A64,new_list!A:E,5,FALSE)</f>
        <v>Generator</v>
      </c>
    </row>
    <row r="65" spans="1:12">
      <c r="A65" t="s">
        <v>304</v>
      </c>
      <c r="B65" t="s">
        <v>3026</v>
      </c>
      <c r="C65">
        <v>220</v>
      </c>
      <c r="D65" t="s">
        <v>968</v>
      </c>
      <c r="E65" t="s">
        <v>3027</v>
      </c>
      <c r="F65">
        <v>0.96489999999999998</v>
      </c>
      <c r="G65">
        <v>0.96279999999999999</v>
      </c>
      <c r="H65" t="str">
        <f>IFERROR(VLOOKUP(A65,final!D:D,1,FALSE),"MISSING")</f>
        <v>CETHANA</v>
      </c>
      <c r="I65">
        <f>IFERROR(VLOOKUP(A65,'From DB'!A:K,11,FALSE),"MISSING")</f>
        <v>85</v>
      </c>
      <c r="K65" t="str">
        <f t="shared" ref="K65:K126" si="1">IF(AND(H65="MISSING",OR(I65="MISSING",I65&gt;10),J65=""),"NEED TO FIND","")</f>
        <v/>
      </c>
      <c r="L65" t="str">
        <f>VLOOKUP(A65,new_list!A:E,5,FALSE)</f>
        <v>Generator</v>
      </c>
    </row>
    <row r="66" spans="1:12">
      <c r="A66" t="s">
        <v>311</v>
      </c>
      <c r="B66" t="s">
        <v>312</v>
      </c>
      <c r="C66">
        <v>66</v>
      </c>
      <c r="D66" t="s">
        <v>1138</v>
      </c>
      <c r="E66" t="s">
        <v>2824</v>
      </c>
      <c r="F66">
        <v>0.91300000000000003</v>
      </c>
      <c r="G66">
        <v>0.99570000000000003</v>
      </c>
      <c r="H66" t="str">
        <f>IFERROR(VLOOKUP(A66,final!D:D,1,FALSE),"MISSING")</f>
        <v>CHALLHWF</v>
      </c>
      <c r="I66">
        <f>IFERROR(VLOOKUP(A66,'From DB'!A:K,11,FALSE),"MISSING")</f>
        <v>52.5</v>
      </c>
      <c r="K66" t="str">
        <f t="shared" si="1"/>
        <v/>
      </c>
      <c r="L66" t="str">
        <f>VLOOKUP(A66,new_list!A:E,5,FALSE)</f>
        <v>Generator</v>
      </c>
    </row>
    <row r="67" spans="1:12">
      <c r="A67" t="s">
        <v>2826</v>
      </c>
      <c r="B67" t="s">
        <v>2825</v>
      </c>
      <c r="C67">
        <v>66</v>
      </c>
      <c r="D67" t="s">
        <v>2827</v>
      </c>
      <c r="E67" t="s">
        <v>2813</v>
      </c>
      <c r="F67">
        <v>0.97</v>
      </c>
      <c r="G67">
        <v>1.0016</v>
      </c>
      <c r="H67" t="str">
        <f>IFERROR(VLOOKUP(A67,final!D:D,1,FALSE),"MISSING")</f>
        <v>MISSING</v>
      </c>
      <c r="I67" t="str">
        <f>IFERROR(VLOOKUP(A67,'From DB'!A:K,11,FALSE),"MISSING")</f>
        <v>MISSING</v>
      </c>
      <c r="K67" t="str">
        <f t="shared" si="1"/>
        <v>NEED TO FIND</v>
      </c>
      <c r="L67" t="str">
        <f>VLOOKUP(A67,new_list!A:E,5,FALSE)</f>
        <v>Generator</v>
      </c>
    </row>
    <row r="68" spans="1:12">
      <c r="A68" t="s">
        <v>2362</v>
      </c>
      <c r="B68" t="s">
        <v>2361</v>
      </c>
      <c r="C68">
        <v>132</v>
      </c>
      <c r="D68" t="s">
        <v>2363</v>
      </c>
      <c r="E68" t="s">
        <v>2364</v>
      </c>
      <c r="F68">
        <v>0.9486</v>
      </c>
      <c r="G68">
        <v>0.95109999999999995</v>
      </c>
      <c r="H68" t="str">
        <f>IFERROR(VLOOKUP(A68,final!D:D,1,FALSE),"MISSING")</f>
        <v>CHILDSF1</v>
      </c>
      <c r="I68" t="str">
        <f>IFERROR(VLOOKUP(A68,'From DB'!A:K,11,FALSE),"MISSING")</f>
        <v>MISSING</v>
      </c>
      <c r="K68" t="str">
        <f t="shared" si="1"/>
        <v/>
      </c>
      <c r="L68" t="str">
        <f>VLOOKUP(A68,new_list!A:E,5,FALSE)</f>
        <v>Generator</v>
      </c>
    </row>
    <row r="69" spans="1:12">
      <c r="A69" t="s">
        <v>2244</v>
      </c>
      <c r="B69" t="s">
        <v>2243</v>
      </c>
      <c r="C69">
        <v>132</v>
      </c>
      <c r="D69" t="s">
        <v>2245</v>
      </c>
      <c r="E69" t="s">
        <v>2246</v>
      </c>
      <c r="F69">
        <v>0.83950000000000002</v>
      </c>
      <c r="G69">
        <v>0.87270000000000003</v>
      </c>
      <c r="H69" t="str">
        <f>IFERROR(VLOOKUP(A69,final!D:D,1,FALSE),"MISSING")</f>
        <v>CLARESF1</v>
      </c>
      <c r="I69" t="str">
        <f>IFERROR(VLOOKUP(A69,'From DB'!A:K,11,FALSE),"MISSING")</f>
        <v>MISSING</v>
      </c>
      <c r="K69" t="str">
        <f t="shared" si="1"/>
        <v/>
      </c>
      <c r="L69" t="str">
        <f>VLOOKUP(A69,new_list!A:E,5,FALSE)</f>
        <v>Generator</v>
      </c>
    </row>
    <row r="70" spans="1:12">
      <c r="A70" t="s">
        <v>314</v>
      </c>
      <c r="B70" t="s">
        <v>2828</v>
      </c>
      <c r="C70">
        <v>66</v>
      </c>
      <c r="D70" t="s">
        <v>2829</v>
      </c>
      <c r="E70" t="s">
        <v>2830</v>
      </c>
      <c r="F70">
        <v>0.99909999999999999</v>
      </c>
      <c r="G70">
        <v>0.99860000000000004</v>
      </c>
      <c r="H70" t="str">
        <f>IFERROR(VLOOKUP(A70,final!D:D,1,FALSE),"MISSING")</f>
        <v>CLAYTON</v>
      </c>
      <c r="I70">
        <f>IFERROR(VLOOKUP(A70,'From DB'!A:K,11,FALSE),"MISSING")</f>
        <v>11</v>
      </c>
      <c r="K70" t="str">
        <f t="shared" si="1"/>
        <v/>
      </c>
      <c r="L70" t="str">
        <f>VLOOKUP(A70,new_list!A:E,5,FALSE)</f>
        <v>Generator</v>
      </c>
    </row>
    <row r="71" spans="1:12">
      <c r="A71" t="s">
        <v>316</v>
      </c>
      <c r="B71" t="s">
        <v>317</v>
      </c>
      <c r="C71">
        <v>132</v>
      </c>
      <c r="D71" t="s">
        <v>868</v>
      </c>
      <c r="E71" t="s">
        <v>2897</v>
      </c>
      <c r="F71">
        <v>0.95820000000000005</v>
      </c>
      <c r="G71">
        <v>0.96830000000000005</v>
      </c>
      <c r="H71" t="str">
        <f>IFERROR(VLOOKUP(A71,final!D:D,1,FALSE),"MISSING")</f>
        <v>CLEMGPWF</v>
      </c>
      <c r="I71">
        <f>IFERROR(VLOOKUP(A71,'From DB'!A:K,11,FALSE),"MISSING")</f>
        <v>57</v>
      </c>
      <c r="K71" t="str">
        <f t="shared" si="1"/>
        <v/>
      </c>
      <c r="L71" t="str">
        <f>VLOOKUP(A71,new_list!A:E,5,FALSE)</f>
        <v>Generator</v>
      </c>
    </row>
    <row r="72" spans="1:12">
      <c r="A72" t="s">
        <v>318</v>
      </c>
      <c r="B72" t="s">
        <v>68</v>
      </c>
      <c r="C72">
        <v>66</v>
      </c>
      <c r="D72" t="s">
        <v>1046</v>
      </c>
      <c r="E72" t="s">
        <v>2831</v>
      </c>
      <c r="F72">
        <v>0.99960000000000004</v>
      </c>
      <c r="G72">
        <v>0.98819999999999997</v>
      </c>
      <c r="H72" t="str">
        <f>IFERROR(VLOOKUP(A72,final!D:D,1,FALSE),"MISSING")</f>
        <v>CLOVER</v>
      </c>
      <c r="I72">
        <f>IFERROR(VLOOKUP(A72,'From DB'!A:K,11,FALSE),"MISSING")</f>
        <v>30</v>
      </c>
      <c r="K72" t="str">
        <f t="shared" si="1"/>
        <v/>
      </c>
      <c r="L72" t="str">
        <f>VLOOKUP(A72,new_list!A:E,5,FALSE)</f>
        <v>Generator</v>
      </c>
    </row>
    <row r="73" spans="1:12">
      <c r="A73" t="s">
        <v>320</v>
      </c>
      <c r="B73" t="s">
        <v>3028</v>
      </c>
      <c r="C73">
        <v>220</v>
      </c>
      <c r="D73" t="s">
        <v>1020</v>
      </c>
      <c r="E73" t="s">
        <v>3029</v>
      </c>
      <c r="F73">
        <v>0.99509999999999998</v>
      </c>
      <c r="G73">
        <v>1.0019</v>
      </c>
      <c r="H73" t="str">
        <f>IFERROR(VLOOKUP(A73,final!D:D,1,FALSE),"MISSING")</f>
        <v>CLUNY</v>
      </c>
      <c r="I73">
        <f>IFERROR(VLOOKUP(A73,'From DB'!A:K,11,FALSE),"MISSING")</f>
        <v>17</v>
      </c>
      <c r="K73" t="str">
        <f t="shared" si="1"/>
        <v/>
      </c>
      <c r="L73" t="str">
        <f>VLOOKUP(A73,new_list!A:E,5,FALSE)</f>
        <v>Generator</v>
      </c>
    </row>
    <row r="74" spans="1:12">
      <c r="A74" t="s">
        <v>324</v>
      </c>
      <c r="B74" t="s">
        <v>325</v>
      </c>
      <c r="C74">
        <v>66</v>
      </c>
      <c r="D74" t="s">
        <v>1156</v>
      </c>
      <c r="E74" t="s">
        <v>2781</v>
      </c>
      <c r="F74">
        <v>0.99909999999999999</v>
      </c>
      <c r="G74">
        <v>1.0148999999999999</v>
      </c>
      <c r="H74" t="str">
        <f>IFERROR(VLOOKUP(A74,final!D:D,1,FALSE),"MISSING")</f>
        <v>CODRNGTON</v>
      </c>
      <c r="I74">
        <f>IFERROR(VLOOKUP(A74,'From DB'!A:K,11,FALSE),"MISSING")</f>
        <v>18.2</v>
      </c>
      <c r="K74" t="str">
        <f t="shared" si="1"/>
        <v/>
      </c>
      <c r="L74" t="str">
        <f>VLOOKUP(A74,new_list!A:E,5,FALSE)</f>
        <v>Generator</v>
      </c>
    </row>
    <row r="75" spans="1:12">
      <c r="A75" t="s">
        <v>2464</v>
      </c>
      <c r="B75" t="s">
        <v>2463</v>
      </c>
      <c r="C75">
        <v>132</v>
      </c>
      <c r="D75" t="s">
        <v>2465</v>
      </c>
      <c r="E75" t="s">
        <v>2466</v>
      </c>
      <c r="F75">
        <v>0.88560000000000005</v>
      </c>
      <c r="G75">
        <v>1.0019</v>
      </c>
      <c r="H75" t="str">
        <f>IFERROR(VLOOKUP(A75,final!D:D,1,FALSE),"MISSING")</f>
        <v>COLEASF1</v>
      </c>
      <c r="I75" t="str">
        <f>IFERROR(VLOOKUP(A75,'From DB'!A:K,11,FALSE),"MISSING")</f>
        <v>MISSING</v>
      </c>
      <c r="K75" t="str">
        <f t="shared" si="1"/>
        <v/>
      </c>
      <c r="L75" t="str">
        <f>VLOOKUP(A75,new_list!A:E,5,FALSE)</f>
        <v>Generator</v>
      </c>
    </row>
    <row r="76" spans="1:12">
      <c r="A76" t="s">
        <v>2249</v>
      </c>
      <c r="B76" t="s">
        <v>2247</v>
      </c>
      <c r="C76">
        <v>33</v>
      </c>
      <c r="D76" t="s">
        <v>2250</v>
      </c>
      <c r="E76" t="s">
        <v>2251</v>
      </c>
      <c r="F76">
        <v>0.84209999999999996</v>
      </c>
      <c r="G76">
        <v>0.87190000000000001</v>
      </c>
      <c r="H76" t="str">
        <f>IFERROR(VLOOKUP(A76,final!D:D,1,FALSE),"MISSING")</f>
        <v>CSPVPS1</v>
      </c>
      <c r="I76" t="str">
        <f>IFERROR(VLOOKUP(A76,'From DB'!A:K,11,FALSE),"MISSING")</f>
        <v>MISSING</v>
      </c>
      <c r="K76" t="str">
        <f t="shared" si="1"/>
        <v/>
      </c>
      <c r="L76" t="e">
        <f>VLOOKUP(A76,new_list!A:E,5,FALSE)</f>
        <v>#N/A</v>
      </c>
    </row>
    <row r="77" spans="1:12">
      <c r="A77" t="s">
        <v>306</v>
      </c>
      <c r="B77" t="s">
        <v>2467</v>
      </c>
      <c r="C77">
        <v>330</v>
      </c>
      <c r="D77" t="s">
        <v>1195</v>
      </c>
      <c r="E77" t="s">
        <v>2468</v>
      </c>
      <c r="F77">
        <v>0.9839</v>
      </c>
      <c r="G77">
        <v>0.98270000000000002</v>
      </c>
      <c r="H77" t="str">
        <f>IFERROR(VLOOKUP(A77,final!D:D,1,FALSE),"MISSING")</f>
        <v>CG1</v>
      </c>
      <c r="I77">
        <f>IFERROR(VLOOKUP(A77,'From DB'!A:K,11,FALSE),"MISSING")</f>
        <v>181</v>
      </c>
      <c r="K77" t="str">
        <f t="shared" si="1"/>
        <v/>
      </c>
      <c r="L77" t="str">
        <f>VLOOKUP(A77,new_list!A:E,5,FALSE)</f>
        <v>Generator</v>
      </c>
    </row>
    <row r="78" spans="1:12">
      <c r="A78" t="s">
        <v>308</v>
      </c>
      <c r="B78" t="s">
        <v>2469</v>
      </c>
      <c r="C78">
        <v>330</v>
      </c>
      <c r="D78" t="s">
        <v>1197</v>
      </c>
      <c r="E78" t="s">
        <v>2468</v>
      </c>
      <c r="F78">
        <v>0.9839</v>
      </c>
      <c r="G78">
        <v>0.98270000000000002</v>
      </c>
      <c r="H78" t="str">
        <f>IFERROR(VLOOKUP(A78,final!D:D,1,FALSE),"MISSING")</f>
        <v>CG2</v>
      </c>
      <c r="I78">
        <f>IFERROR(VLOOKUP(A78,'From DB'!A:K,11,FALSE),"MISSING")</f>
        <v>181</v>
      </c>
      <c r="K78" t="str">
        <f t="shared" si="1"/>
        <v/>
      </c>
      <c r="L78" t="str">
        <f>VLOOKUP(A78,new_list!A:E,5,FALSE)</f>
        <v>Generator</v>
      </c>
    </row>
    <row r="79" spans="1:12">
      <c r="A79" t="s">
        <v>309</v>
      </c>
      <c r="B79" t="s">
        <v>2470</v>
      </c>
      <c r="C79">
        <v>330</v>
      </c>
      <c r="D79" t="s">
        <v>1198</v>
      </c>
      <c r="E79" t="s">
        <v>2468</v>
      </c>
      <c r="F79">
        <v>0.9839</v>
      </c>
      <c r="G79">
        <v>0.98270000000000002</v>
      </c>
      <c r="H79" t="str">
        <f>IFERROR(VLOOKUP(A79,final!D:D,1,FALSE),"MISSING")</f>
        <v>CG3</v>
      </c>
      <c r="I79">
        <f>IFERROR(VLOOKUP(A79,'From DB'!A:K,11,FALSE),"MISSING")</f>
        <v>181</v>
      </c>
      <c r="K79" t="str">
        <f t="shared" si="1"/>
        <v/>
      </c>
      <c r="L79" t="str">
        <f>VLOOKUP(A79,new_list!A:E,5,FALSE)</f>
        <v>Generator</v>
      </c>
    </row>
    <row r="80" spans="1:12">
      <c r="A80" t="s">
        <v>310</v>
      </c>
      <c r="B80" t="s">
        <v>2471</v>
      </c>
      <c r="C80">
        <v>330</v>
      </c>
      <c r="D80" t="s">
        <v>1199</v>
      </c>
      <c r="E80" t="s">
        <v>2468</v>
      </c>
      <c r="F80">
        <v>0.9839</v>
      </c>
      <c r="G80">
        <v>0.98270000000000002</v>
      </c>
      <c r="H80" t="str">
        <f>IFERROR(VLOOKUP(A80,final!D:D,1,FALSE),"MISSING")</f>
        <v>CG4</v>
      </c>
      <c r="I80">
        <f>IFERROR(VLOOKUP(A80,'From DB'!A:K,11,FALSE),"MISSING")</f>
        <v>181</v>
      </c>
      <c r="K80" t="str">
        <f t="shared" si="1"/>
        <v/>
      </c>
      <c r="L80" t="str">
        <f>VLOOKUP(A80,new_list!A:E,5,FALSE)</f>
        <v>Generator</v>
      </c>
    </row>
    <row r="81" spans="1:12">
      <c r="A81" t="s">
        <v>336</v>
      </c>
      <c r="B81" t="s">
        <v>2252</v>
      </c>
      <c r="C81">
        <v>132</v>
      </c>
      <c r="D81" t="s">
        <v>1363</v>
      </c>
      <c r="E81" t="s">
        <v>2253</v>
      </c>
      <c r="F81">
        <v>0.9879</v>
      </c>
      <c r="G81">
        <v>0.98819999999999997</v>
      </c>
      <c r="H81" t="str">
        <f>IFERROR(VLOOKUP(A81,final!D:D,1,FALSE),"MISSING")</f>
        <v>CPSA</v>
      </c>
      <c r="I81">
        <f>IFERROR(VLOOKUP(A81,'From DB'!A:K,11,FALSE),"MISSING")</f>
        <v>144</v>
      </c>
      <c r="K81" t="str">
        <f t="shared" si="1"/>
        <v/>
      </c>
      <c r="L81" t="str">
        <f>VLOOKUP(A81,new_list!A:E,5,FALSE)</f>
        <v>Generator</v>
      </c>
    </row>
    <row r="82" spans="1:12">
      <c r="A82" t="s">
        <v>326</v>
      </c>
      <c r="B82" t="s">
        <v>2587</v>
      </c>
      <c r="C82">
        <v>110</v>
      </c>
      <c r="D82" t="s">
        <v>2588</v>
      </c>
      <c r="E82" t="s">
        <v>2589</v>
      </c>
      <c r="F82">
        <v>0.98150000000000004</v>
      </c>
      <c r="G82">
        <v>0.92230000000000001</v>
      </c>
      <c r="H82" t="str">
        <f>IFERROR(VLOOKUP(A82,final!D:D,1,FALSE),"MISSING")</f>
        <v>CONDONG1</v>
      </c>
      <c r="I82">
        <f>IFERROR(VLOOKUP(A82,'From DB'!A:K,11,FALSE),"MISSING")</f>
        <v>30</v>
      </c>
      <c r="K82" t="str">
        <f t="shared" si="1"/>
        <v/>
      </c>
      <c r="L82" t="str">
        <f>VLOOKUP(A82,new_list!A:E,5,FALSE)</f>
        <v>Generator</v>
      </c>
    </row>
    <row r="83" spans="1:12">
      <c r="A83" t="s">
        <v>299</v>
      </c>
      <c r="B83" t="s">
        <v>300</v>
      </c>
      <c r="C83">
        <v>66</v>
      </c>
      <c r="D83" t="s">
        <v>2711</v>
      </c>
      <c r="E83" t="s">
        <v>2712</v>
      </c>
      <c r="F83">
        <v>0.99790000000000001</v>
      </c>
      <c r="G83">
        <v>1.0136000000000001</v>
      </c>
      <c r="H83" t="str">
        <f>IFERROR(VLOOKUP(A83,final!D:D,1,FALSE),"MISSING")</f>
        <v>CBWF1</v>
      </c>
      <c r="I83">
        <f>IFERROR(VLOOKUP(A83,'From DB'!A:K,11,FALSE),"MISSING")</f>
        <v>20</v>
      </c>
      <c r="K83" t="str">
        <f t="shared" si="1"/>
        <v/>
      </c>
      <c r="L83" t="str">
        <f>VLOOKUP(A83,new_list!A:E,5,FALSE)</f>
        <v>Generator</v>
      </c>
    </row>
    <row r="84" spans="1:12">
      <c r="A84" t="s">
        <v>328</v>
      </c>
      <c r="B84" t="s">
        <v>2590</v>
      </c>
      <c r="C84">
        <v>66</v>
      </c>
      <c r="D84" t="s">
        <v>2591</v>
      </c>
      <c r="E84" t="s">
        <v>2592</v>
      </c>
      <c r="F84">
        <v>0.92390000000000005</v>
      </c>
      <c r="G84">
        <v>0.90629999999999999</v>
      </c>
      <c r="H84" t="str">
        <f>IFERROR(VLOOKUP(A84,final!D:D,1,FALSE),"MISSING")</f>
        <v>COPTNHYD</v>
      </c>
      <c r="I84">
        <f>IFERROR(VLOOKUP(A84,'From DB'!A:K,11,FALSE),"MISSING")</f>
        <v>24</v>
      </c>
      <c r="K84" t="str">
        <f t="shared" si="1"/>
        <v/>
      </c>
      <c r="L84" t="str">
        <f>VLOOKUP(A84,new_list!A:E,5,FALSE)</f>
        <v>Generator</v>
      </c>
    </row>
    <row r="85" spans="1:12">
      <c r="A85" t="s">
        <v>330</v>
      </c>
      <c r="B85" t="s">
        <v>2832</v>
      </c>
      <c r="C85">
        <v>66</v>
      </c>
      <c r="D85" t="s">
        <v>2833</v>
      </c>
      <c r="E85" t="s">
        <v>2834</v>
      </c>
      <c r="F85">
        <v>0.99050000000000005</v>
      </c>
      <c r="G85">
        <v>1.0002</v>
      </c>
      <c r="H85" t="str">
        <f>IFERROR(VLOOKUP(A85,final!D:D,1,FALSE),"MISSING")</f>
        <v>MISSING</v>
      </c>
      <c r="I85">
        <f>IFERROR(VLOOKUP(A85,'From DB'!A:K,11,FALSE),"MISSING")</f>
        <v>1</v>
      </c>
      <c r="K85" t="str">
        <f t="shared" si="1"/>
        <v/>
      </c>
      <c r="L85" t="str">
        <f>VLOOKUP(A85,new_list!A:E,5,FALSE)</f>
        <v>Generator</v>
      </c>
    </row>
    <row r="86" spans="1:12">
      <c r="A86" t="s">
        <v>2473</v>
      </c>
      <c r="B86" t="s">
        <v>2472</v>
      </c>
      <c r="C86">
        <v>330</v>
      </c>
      <c r="D86" t="s">
        <v>2474</v>
      </c>
      <c r="E86" t="s">
        <v>2475</v>
      </c>
      <c r="F86">
        <v>0.97699999999999998</v>
      </c>
      <c r="G86">
        <v>0.99629999999999996</v>
      </c>
      <c r="H86" t="str">
        <f>IFERROR(VLOOKUP(A86,final!D:D,1,FALSE),"MISSING")</f>
        <v>CROOKWF2</v>
      </c>
      <c r="I86" t="str">
        <f>IFERROR(VLOOKUP(A86,'From DB'!A:K,11,FALSE),"MISSING")</f>
        <v>MISSING</v>
      </c>
      <c r="K86" t="str">
        <f t="shared" si="1"/>
        <v/>
      </c>
      <c r="L86" t="str">
        <f>VLOOKUP(A86,new_list!A:E,5,FALSE)</f>
        <v>Generator</v>
      </c>
    </row>
    <row r="87" spans="1:12">
      <c r="A87" t="s">
        <v>2714</v>
      </c>
      <c r="B87" t="s">
        <v>2713</v>
      </c>
      <c r="C87">
        <v>220</v>
      </c>
      <c r="D87" t="s">
        <v>2715</v>
      </c>
      <c r="E87" t="s">
        <v>2716</v>
      </c>
      <c r="F87">
        <v>0.91269999999999996</v>
      </c>
      <c r="G87">
        <v>0.98029999999999995</v>
      </c>
      <c r="H87" t="str">
        <f>IFERROR(VLOOKUP(A87,final!D:D,1,FALSE),"MISSING")</f>
        <v>CROWLWF1</v>
      </c>
      <c r="I87" t="str">
        <f>IFERROR(VLOOKUP(A87,'From DB'!A:K,11,FALSE),"MISSING")</f>
        <v>MISSING</v>
      </c>
      <c r="K87" t="str">
        <f t="shared" si="1"/>
        <v/>
      </c>
      <c r="L87" t="str">
        <f>VLOOKUP(A87,new_list!A:E,5,FALSE)</f>
        <v>Generator</v>
      </c>
    </row>
    <row r="88" spans="1:12">
      <c r="A88" t="s">
        <v>338</v>
      </c>
      <c r="B88" t="s">
        <v>339</v>
      </c>
      <c r="C88">
        <v>132</v>
      </c>
      <c r="D88" t="s">
        <v>1235</v>
      </c>
      <c r="E88" t="s">
        <v>2593</v>
      </c>
      <c r="F88">
        <v>0.95499999999999996</v>
      </c>
      <c r="G88">
        <v>1.0054000000000001</v>
      </c>
      <c r="H88" t="str">
        <f>IFERROR(VLOOKUP(A88,final!D:D,1,FALSE),"MISSING")</f>
        <v>CULLRGWF</v>
      </c>
      <c r="I88">
        <f>IFERROR(VLOOKUP(A88,'From DB'!A:K,11,FALSE),"MISSING")</f>
        <v>30</v>
      </c>
      <c r="K88" t="str">
        <f t="shared" si="1"/>
        <v/>
      </c>
      <c r="L88" t="str">
        <f>VLOOKUP(A88,new_list!A:E,5,FALSE)</f>
        <v>Generator</v>
      </c>
    </row>
    <row r="89" spans="1:12">
      <c r="A89" t="s">
        <v>481</v>
      </c>
      <c r="B89" t="s">
        <v>2988</v>
      </c>
      <c r="C89">
        <v>66</v>
      </c>
      <c r="D89" t="s">
        <v>2989</v>
      </c>
      <c r="E89" t="s">
        <v>2990</v>
      </c>
      <c r="F89">
        <v>1.0061</v>
      </c>
      <c r="G89">
        <v>1.0067999999999999</v>
      </c>
      <c r="H89" t="str">
        <f>IFERROR(VLOOKUP(A89,final!D:D,1,FALSE),"MISSING")</f>
        <v>LONSDALE</v>
      </c>
      <c r="I89">
        <f>IFERROR(VLOOKUP(A89,'From DB'!A:K,11,FALSE),"MISSING")</f>
        <v>20</v>
      </c>
      <c r="K89" t="str">
        <f t="shared" si="1"/>
        <v/>
      </c>
      <c r="L89" t="str">
        <f>VLOOKUP(A89,new_list!A:E,5,FALSE)</f>
        <v>Generator</v>
      </c>
    </row>
    <row r="90" spans="1:12">
      <c r="A90" t="s">
        <v>340</v>
      </c>
      <c r="B90" t="s">
        <v>148</v>
      </c>
      <c r="C90">
        <v>110</v>
      </c>
      <c r="D90" t="s">
        <v>1391</v>
      </c>
      <c r="E90" t="s">
        <v>2365</v>
      </c>
      <c r="F90">
        <v>0.98519999999999996</v>
      </c>
      <c r="G90">
        <v>0.98670000000000002</v>
      </c>
      <c r="H90" t="str">
        <f>IFERROR(VLOOKUP(A90,final!D:D,1,FALSE),"MISSING")</f>
        <v>DAANDINE</v>
      </c>
      <c r="I90">
        <f>IFERROR(VLOOKUP(A90,'From DB'!A:K,11,FALSE),"MISSING")</f>
        <v>33</v>
      </c>
      <c r="K90" t="str">
        <f t="shared" si="1"/>
        <v/>
      </c>
      <c r="L90" t="str">
        <f>VLOOKUP(A90,new_list!A:E,5,FALSE)</f>
        <v>Generator</v>
      </c>
    </row>
    <row r="91" spans="1:12">
      <c r="A91" t="s">
        <v>2903</v>
      </c>
      <c r="B91" t="s">
        <v>2902</v>
      </c>
      <c r="C91">
        <v>33</v>
      </c>
      <c r="D91" t="s">
        <v>2904</v>
      </c>
      <c r="E91" t="s">
        <v>2905</v>
      </c>
      <c r="F91">
        <v>0.90310000000000001</v>
      </c>
      <c r="G91">
        <v>0.88800000000000001</v>
      </c>
      <c r="H91" t="str">
        <f>IFERROR(VLOOKUP(A91,final!D:D,1,FALSE),"MISSING")</f>
        <v>DALNTH01</v>
      </c>
      <c r="I91" t="str">
        <f>IFERROR(VLOOKUP(A91,'From DB'!A:K,11,FALSE),"MISSING")</f>
        <v>MISSING</v>
      </c>
      <c r="K91" t="str">
        <f t="shared" si="1"/>
        <v/>
      </c>
      <c r="L91" t="str">
        <f>VLOOKUP(A91,new_list!A:E,5,FALSE)</f>
        <v>Generator</v>
      </c>
    </row>
    <row r="92" spans="1:12">
      <c r="A92" t="s">
        <v>2907</v>
      </c>
      <c r="B92" t="s">
        <v>2906</v>
      </c>
      <c r="C92">
        <v>33</v>
      </c>
      <c r="D92" t="s">
        <v>2908</v>
      </c>
      <c r="E92" t="s">
        <v>2905</v>
      </c>
      <c r="F92">
        <v>0.99960000000000004</v>
      </c>
      <c r="G92">
        <v>0.93259999999999998</v>
      </c>
      <c r="H92" t="str">
        <f>IFERROR(VLOOKUP(A92,final!D:D,1,FALSE),"MISSING")</f>
        <v>MISSING</v>
      </c>
      <c r="I92" t="str">
        <f>IFERROR(VLOOKUP(A92,'From DB'!A:K,11,FALSE),"MISSING")</f>
        <v>MISSING</v>
      </c>
      <c r="K92" t="str">
        <f t="shared" si="1"/>
        <v>NEED TO FIND</v>
      </c>
      <c r="L92" t="str">
        <f>VLOOKUP(A92,new_list!A:E,5,FALSE)</f>
        <v>Load</v>
      </c>
    </row>
    <row r="93" spans="1:12">
      <c r="A93" t="s">
        <v>344</v>
      </c>
      <c r="B93" t="s">
        <v>2254</v>
      </c>
      <c r="C93">
        <v>275</v>
      </c>
      <c r="D93" t="s">
        <v>1389</v>
      </c>
      <c r="E93" t="s">
        <v>2226</v>
      </c>
      <c r="F93">
        <v>0.9677</v>
      </c>
      <c r="G93">
        <v>0.97089999999999999</v>
      </c>
      <c r="H93" t="str">
        <f>IFERROR(VLOOKUP(A93,final!D:D,1,FALSE),"MISSING")</f>
        <v>DDPS1</v>
      </c>
      <c r="I93">
        <f>IFERROR(VLOOKUP(A93,'From DB'!A:K,11,FALSE),"MISSING")</f>
        <v>644</v>
      </c>
      <c r="K93" t="str">
        <f t="shared" si="1"/>
        <v/>
      </c>
      <c r="L93" t="str">
        <f>VLOOKUP(A93,new_list!A:E,5,FALSE)</f>
        <v>Generator</v>
      </c>
    </row>
    <row r="94" spans="1:12">
      <c r="A94" t="s">
        <v>2255</v>
      </c>
      <c r="B94" t="s">
        <v>1461</v>
      </c>
      <c r="C94">
        <v>275</v>
      </c>
      <c r="D94" t="s">
        <v>2256</v>
      </c>
      <c r="E94" t="s">
        <v>2257</v>
      </c>
      <c r="F94">
        <v>0.98199999999999998</v>
      </c>
      <c r="G94">
        <v>0.98119999999999996</v>
      </c>
      <c r="H94" t="str">
        <f>IFERROR(VLOOKUP(A94,final!D:D,1,FALSE),"MISSING")</f>
        <v>DDSF1</v>
      </c>
      <c r="I94" t="str">
        <f>IFERROR(VLOOKUP(A94,'From DB'!A:K,11,FALSE),"MISSING")</f>
        <v>MISSING</v>
      </c>
      <c r="K94" t="str">
        <f t="shared" si="1"/>
        <v/>
      </c>
      <c r="L94" t="str">
        <f>VLOOKUP(A94,new_list!A:E,5,FALSE)</f>
        <v>Generator</v>
      </c>
    </row>
    <row r="95" spans="1:12">
      <c r="A95" t="s">
        <v>342</v>
      </c>
      <c r="B95" t="s">
        <v>2717</v>
      </c>
      <c r="C95">
        <v>220</v>
      </c>
      <c r="D95" t="s">
        <v>1036</v>
      </c>
      <c r="E95" t="s">
        <v>1036</v>
      </c>
      <c r="F95">
        <v>0.92930000000000001</v>
      </c>
      <c r="G95">
        <v>0.92490000000000006</v>
      </c>
      <c r="H95" t="str">
        <f>IFERROR(VLOOKUP(A95,final!D:D,1,FALSE),"MISSING")</f>
        <v>DARTM1</v>
      </c>
      <c r="I95">
        <f>IFERROR(VLOOKUP(A95,'From DB'!A:K,11,FALSE),"MISSING")</f>
        <v>150</v>
      </c>
      <c r="K95" t="str">
        <f t="shared" si="1"/>
        <v/>
      </c>
      <c r="L95" t="str">
        <f>VLOOKUP(A95,new_list!A:E,5,FALSE)</f>
        <v>Generator</v>
      </c>
    </row>
    <row r="96" spans="1:12">
      <c r="A96" t="s">
        <v>345</v>
      </c>
      <c r="B96" t="s">
        <v>3030</v>
      </c>
      <c r="C96">
        <v>110</v>
      </c>
      <c r="D96" t="s">
        <v>957</v>
      </c>
      <c r="E96" t="s">
        <v>3031</v>
      </c>
      <c r="F96">
        <v>0.96870000000000001</v>
      </c>
      <c r="G96">
        <v>0.96919999999999995</v>
      </c>
      <c r="H96" t="str">
        <f>IFERROR(VLOOKUP(A96,final!D:D,1,FALSE),"MISSING")</f>
        <v>DEVILS_G</v>
      </c>
      <c r="I96">
        <f>IFERROR(VLOOKUP(A96,'From DB'!A:K,11,FALSE),"MISSING")</f>
        <v>60</v>
      </c>
      <c r="K96" t="str">
        <f t="shared" si="1"/>
        <v/>
      </c>
      <c r="L96" t="str">
        <f>VLOOKUP(A96,new_list!A:E,5,FALSE)</f>
        <v>Generator</v>
      </c>
    </row>
    <row r="97" spans="1:12">
      <c r="A97" t="s">
        <v>347</v>
      </c>
      <c r="B97" t="s">
        <v>2898</v>
      </c>
      <c r="C97">
        <v>66</v>
      </c>
      <c r="D97" t="s">
        <v>913</v>
      </c>
      <c r="E97" t="s">
        <v>2899</v>
      </c>
      <c r="F97">
        <v>0.99670000000000003</v>
      </c>
      <c r="G97">
        <v>1.0029999999999999</v>
      </c>
      <c r="H97" t="str">
        <f>IFERROR(VLOOKUP(A97,final!D:D,1,FALSE),"MISSING")</f>
        <v>DRYCGT1</v>
      </c>
      <c r="I97">
        <f>IFERROR(VLOOKUP(A97,'From DB'!A:K,11,FALSE),"MISSING")</f>
        <v>52</v>
      </c>
      <c r="K97" t="str">
        <f t="shared" si="1"/>
        <v/>
      </c>
      <c r="L97" t="str">
        <f>VLOOKUP(A97,new_list!A:E,5,FALSE)</f>
        <v>Generator</v>
      </c>
    </row>
    <row r="98" spans="1:12">
      <c r="A98" t="s">
        <v>349</v>
      </c>
      <c r="B98" t="s">
        <v>2900</v>
      </c>
      <c r="C98">
        <v>66</v>
      </c>
      <c r="D98" t="s">
        <v>915</v>
      </c>
      <c r="E98" t="s">
        <v>2899</v>
      </c>
      <c r="F98">
        <v>0.99670000000000003</v>
      </c>
      <c r="G98">
        <v>1.0029999999999999</v>
      </c>
      <c r="H98" t="str">
        <f>IFERROR(VLOOKUP(A98,final!D:D,1,FALSE),"MISSING")</f>
        <v>DRYCGT2</v>
      </c>
      <c r="I98">
        <f>IFERROR(VLOOKUP(A98,'From DB'!A:K,11,FALSE),"MISSING")</f>
        <v>52</v>
      </c>
      <c r="K98" t="str">
        <f t="shared" si="1"/>
        <v/>
      </c>
      <c r="L98" t="str">
        <f>VLOOKUP(A98,new_list!A:E,5,FALSE)</f>
        <v>Generator</v>
      </c>
    </row>
    <row r="99" spans="1:12">
      <c r="A99" t="s">
        <v>350</v>
      </c>
      <c r="B99" t="s">
        <v>2901</v>
      </c>
      <c r="C99">
        <v>66</v>
      </c>
      <c r="D99" t="s">
        <v>916</v>
      </c>
      <c r="E99" t="s">
        <v>2899</v>
      </c>
      <c r="F99">
        <v>0.99670000000000003</v>
      </c>
      <c r="G99">
        <v>1.0029999999999999</v>
      </c>
      <c r="H99" t="str">
        <f>IFERROR(VLOOKUP(A99,final!D:D,1,FALSE),"MISSING")</f>
        <v>DRYCGT3</v>
      </c>
      <c r="I99">
        <f>IFERROR(VLOOKUP(A99,'From DB'!A:K,11,FALSE),"MISSING")</f>
        <v>52</v>
      </c>
      <c r="K99" t="str">
        <f t="shared" si="1"/>
        <v/>
      </c>
      <c r="L99" t="str">
        <f>VLOOKUP(A99,new_list!A:E,5,FALSE)</f>
        <v>Generator</v>
      </c>
    </row>
    <row r="100" spans="1:12">
      <c r="A100" t="s">
        <v>351</v>
      </c>
      <c r="B100" t="s">
        <v>2594</v>
      </c>
      <c r="C100">
        <v>132</v>
      </c>
      <c r="D100" t="s">
        <v>2595</v>
      </c>
      <c r="E100" t="s">
        <v>2596</v>
      </c>
      <c r="F100">
        <v>1.0015000000000001</v>
      </c>
      <c r="G100">
        <v>1.0033000000000001</v>
      </c>
      <c r="H100" t="str">
        <f>IFERROR(VLOOKUP(A100,final!D:D,1,FALSE),"MISSING")</f>
        <v>MISSING</v>
      </c>
      <c r="I100">
        <f>IFERROR(VLOOKUP(A100,'From DB'!A:K,11,FALSE),"MISSING")</f>
        <v>5.4</v>
      </c>
      <c r="K100" t="str">
        <f t="shared" si="1"/>
        <v/>
      </c>
      <c r="L100" t="str">
        <f>VLOOKUP(A100,new_list!A:E,5,FALSE)</f>
        <v>Generator</v>
      </c>
    </row>
    <row r="101" spans="1:12">
      <c r="A101" t="s">
        <v>358</v>
      </c>
      <c r="B101" t="s">
        <v>2835</v>
      </c>
      <c r="C101">
        <v>66</v>
      </c>
      <c r="D101" t="s">
        <v>2836</v>
      </c>
      <c r="E101" t="s">
        <v>2837</v>
      </c>
      <c r="F101">
        <v>0.99390000000000001</v>
      </c>
      <c r="G101">
        <v>0.99790000000000001</v>
      </c>
      <c r="H101" t="str">
        <f>IFERROR(VLOOKUP(A101,final!D:D,1,FALSE),"MISSING")</f>
        <v>MISSING</v>
      </c>
      <c r="I101">
        <f>IFERROR(VLOOKUP(A101,'From DB'!A:K,11,FALSE),"MISSING")</f>
        <v>5</v>
      </c>
      <c r="K101" t="str">
        <f t="shared" si="1"/>
        <v/>
      </c>
      <c r="L101" t="str">
        <f>VLOOKUP(A101,new_list!A:E,5,FALSE)</f>
        <v>Generator</v>
      </c>
    </row>
    <row r="102" spans="1:12">
      <c r="A102" t="s">
        <v>355</v>
      </c>
      <c r="B102" t="s">
        <v>2718</v>
      </c>
      <c r="C102">
        <v>220</v>
      </c>
      <c r="D102" t="s">
        <v>1052</v>
      </c>
      <c r="E102" t="s">
        <v>2719</v>
      </c>
      <c r="F102">
        <v>0.98140000000000005</v>
      </c>
      <c r="G102">
        <v>0.97819999999999996</v>
      </c>
      <c r="H102" t="str">
        <f>IFERROR(VLOOKUP(A102,final!D:D,1,FALSE),"MISSING")</f>
        <v>EILDON1</v>
      </c>
      <c r="I102">
        <f>IFERROR(VLOOKUP(A102,'From DB'!A:K,11,FALSE),"MISSING")</f>
        <v>60</v>
      </c>
      <c r="K102" t="str">
        <f t="shared" si="1"/>
        <v/>
      </c>
      <c r="L102" t="str">
        <f>VLOOKUP(A102,new_list!A:E,5,FALSE)</f>
        <v>Generator</v>
      </c>
    </row>
    <row r="103" spans="1:12">
      <c r="A103" t="s">
        <v>357</v>
      </c>
      <c r="B103" t="s">
        <v>2720</v>
      </c>
      <c r="C103">
        <v>220</v>
      </c>
      <c r="D103" t="s">
        <v>1054</v>
      </c>
      <c r="E103" t="s">
        <v>2719</v>
      </c>
      <c r="F103">
        <v>0.98140000000000005</v>
      </c>
      <c r="G103">
        <v>0.97819999999999996</v>
      </c>
      <c r="H103" t="str">
        <f>IFERROR(VLOOKUP(A103,final!D:D,1,FALSE),"MISSING")</f>
        <v>EILDON2</v>
      </c>
      <c r="I103">
        <f>IFERROR(VLOOKUP(A103,'From DB'!A:K,11,FALSE),"MISSING")</f>
        <v>60</v>
      </c>
      <c r="K103" t="str">
        <f t="shared" si="1"/>
        <v/>
      </c>
      <c r="L103" t="str">
        <f>VLOOKUP(A103,new_list!A:E,5,FALSE)</f>
        <v>Generator</v>
      </c>
    </row>
    <row r="104" spans="1:12">
      <c r="A104" t="s">
        <v>2368</v>
      </c>
      <c r="B104" t="s">
        <v>2366</v>
      </c>
      <c r="C104">
        <v>66</v>
      </c>
      <c r="D104" t="s">
        <v>2369</v>
      </c>
      <c r="E104" t="s">
        <v>2370</v>
      </c>
      <c r="F104">
        <v>0.8659</v>
      </c>
      <c r="G104">
        <v>0.87780000000000002</v>
      </c>
      <c r="H104" t="str">
        <f>IFERROR(VLOOKUP(A104,final!D:D,1,FALSE),"MISSING")</f>
        <v>EMERASF1</v>
      </c>
      <c r="I104" t="str">
        <f>IFERROR(VLOOKUP(A104,'From DB'!A:K,11,FALSE),"MISSING")</f>
        <v>MISSING</v>
      </c>
      <c r="K104" t="str">
        <f t="shared" si="1"/>
        <v/>
      </c>
      <c r="L104" t="str">
        <f>VLOOKUP(A104,new_list!A:E,5,FALSE)</f>
        <v>Generator</v>
      </c>
    </row>
    <row r="105" spans="1:12">
      <c r="A105" t="s">
        <v>365</v>
      </c>
      <c r="B105" t="s">
        <v>2597</v>
      </c>
      <c r="C105">
        <v>330</v>
      </c>
      <c r="D105" t="s">
        <v>2598</v>
      </c>
      <c r="E105" t="s">
        <v>2477</v>
      </c>
      <c r="F105">
        <v>0.98270000000000002</v>
      </c>
      <c r="G105">
        <v>0.98280000000000001</v>
      </c>
      <c r="H105" t="str">
        <f>IFERROR(VLOOKUP(A105,final!D:D,1,FALSE),"MISSING")</f>
        <v>ERGT01</v>
      </c>
      <c r="I105">
        <f>IFERROR(VLOOKUP(A105,'From DB'!A:K,11,FALSE),"MISSING")</f>
        <v>41.5</v>
      </c>
      <c r="K105" t="str">
        <f t="shared" si="1"/>
        <v/>
      </c>
      <c r="L105" t="str">
        <f>VLOOKUP(A105,new_list!A:E,5,FALSE)</f>
        <v>Generator</v>
      </c>
    </row>
    <row r="106" spans="1:12">
      <c r="A106" t="s">
        <v>360</v>
      </c>
      <c r="B106" t="s">
        <v>2476</v>
      </c>
      <c r="C106">
        <v>330</v>
      </c>
      <c r="D106" t="s">
        <v>1189</v>
      </c>
      <c r="E106" t="s">
        <v>2477</v>
      </c>
      <c r="F106">
        <v>0.98270000000000002</v>
      </c>
      <c r="G106">
        <v>0.98280000000000001</v>
      </c>
      <c r="H106" t="str">
        <f>IFERROR(VLOOKUP(A106,final!D:D,1,FALSE),"MISSING")</f>
        <v>ER01</v>
      </c>
      <c r="I106">
        <f>IFERROR(VLOOKUP(A106,'From DB'!A:K,11,FALSE),"MISSING")</f>
        <v>720</v>
      </c>
      <c r="K106" t="str">
        <f t="shared" si="1"/>
        <v/>
      </c>
      <c r="L106" t="str">
        <f>VLOOKUP(A106,new_list!A:E,5,FALSE)</f>
        <v>Generator</v>
      </c>
    </row>
    <row r="107" spans="1:12">
      <c r="A107" t="s">
        <v>362</v>
      </c>
      <c r="B107" t="s">
        <v>2478</v>
      </c>
      <c r="C107">
        <v>330</v>
      </c>
      <c r="D107" t="s">
        <v>1191</v>
      </c>
      <c r="E107" t="s">
        <v>2477</v>
      </c>
      <c r="F107">
        <v>0.98270000000000002</v>
      </c>
      <c r="G107">
        <v>0.98280000000000001</v>
      </c>
      <c r="H107" t="str">
        <f>IFERROR(VLOOKUP(A107,final!D:D,1,FALSE),"MISSING")</f>
        <v>ER02</v>
      </c>
      <c r="I107">
        <f>IFERROR(VLOOKUP(A107,'From DB'!A:K,11,FALSE),"MISSING")</f>
        <v>720</v>
      </c>
      <c r="K107" t="str">
        <f t="shared" si="1"/>
        <v/>
      </c>
      <c r="L107" t="str">
        <f>VLOOKUP(A107,new_list!A:E,5,FALSE)</f>
        <v>Generator</v>
      </c>
    </row>
    <row r="108" spans="1:12">
      <c r="A108" t="s">
        <v>363</v>
      </c>
      <c r="B108" t="s">
        <v>2479</v>
      </c>
      <c r="C108">
        <v>500</v>
      </c>
      <c r="D108" t="s">
        <v>1192</v>
      </c>
      <c r="E108" t="s">
        <v>2480</v>
      </c>
      <c r="F108">
        <v>0.9839</v>
      </c>
      <c r="G108">
        <v>0.98529999999999995</v>
      </c>
      <c r="H108" t="str">
        <f>IFERROR(VLOOKUP(A108,final!D:D,1,FALSE),"MISSING")</f>
        <v>ER03</v>
      </c>
      <c r="I108">
        <f>IFERROR(VLOOKUP(A108,'From DB'!A:K,11,FALSE),"MISSING")</f>
        <v>720</v>
      </c>
      <c r="K108" t="str">
        <f t="shared" si="1"/>
        <v/>
      </c>
      <c r="L108" t="str">
        <f>VLOOKUP(A108,new_list!A:E,5,FALSE)</f>
        <v>Generator</v>
      </c>
    </row>
    <row r="109" spans="1:12">
      <c r="A109" t="s">
        <v>364</v>
      </c>
      <c r="B109" t="s">
        <v>2481</v>
      </c>
      <c r="C109">
        <v>500</v>
      </c>
      <c r="D109" t="s">
        <v>1193</v>
      </c>
      <c r="E109" t="s">
        <v>2480</v>
      </c>
      <c r="F109">
        <v>0.9839</v>
      </c>
      <c r="G109">
        <v>0.98529999999999995</v>
      </c>
      <c r="H109" t="str">
        <f>IFERROR(VLOOKUP(A109,final!D:D,1,FALSE),"MISSING")</f>
        <v>ER04</v>
      </c>
      <c r="I109">
        <f>IFERROR(VLOOKUP(A109,'From DB'!A:K,11,FALSE),"MISSING")</f>
        <v>720</v>
      </c>
      <c r="K109" t="str">
        <f t="shared" si="1"/>
        <v/>
      </c>
      <c r="L109" t="str">
        <f>VLOOKUP(A109,new_list!A:E,5,FALSE)</f>
        <v>Generator</v>
      </c>
    </row>
    <row r="110" spans="1:12">
      <c r="A110" t="s">
        <v>366</v>
      </c>
      <c r="B110" t="s">
        <v>3032</v>
      </c>
      <c r="C110">
        <v>220</v>
      </c>
      <c r="D110" t="s">
        <v>980</v>
      </c>
      <c r="E110" t="s">
        <v>3033</v>
      </c>
      <c r="F110">
        <v>0.96779999999999999</v>
      </c>
      <c r="G110">
        <v>0.96599999999999997</v>
      </c>
      <c r="H110" t="str">
        <f>IFERROR(VLOOKUP(A110,final!D:D,1,FALSE),"MISSING")</f>
        <v>FISHER</v>
      </c>
      <c r="I110">
        <f>IFERROR(VLOOKUP(A110,'From DB'!A:K,11,FALSE),"MISSING")</f>
        <v>43.2</v>
      </c>
      <c r="K110" t="str">
        <f t="shared" si="1"/>
        <v/>
      </c>
      <c r="L110" t="str">
        <f>VLOOKUP(A110,new_list!A:E,5,FALSE)</f>
        <v>Generator</v>
      </c>
    </row>
    <row r="111" spans="1:12">
      <c r="A111" t="s">
        <v>2722</v>
      </c>
      <c r="B111" t="s">
        <v>2721</v>
      </c>
      <c r="C111">
        <v>66</v>
      </c>
      <c r="D111" t="s">
        <v>2723</v>
      </c>
      <c r="E111" t="s">
        <v>2724</v>
      </c>
      <c r="F111">
        <v>0.95569999999999999</v>
      </c>
      <c r="G111">
        <v>1.0069999999999999</v>
      </c>
      <c r="H111" t="str">
        <f>IFERROR(VLOOKUP(A111,final!D:D,1,FALSE),"MISSING")</f>
        <v>GANNBG1</v>
      </c>
      <c r="I111" t="str">
        <f>IFERROR(VLOOKUP(A111,'From DB'!A:K,11,FALSE),"MISSING")</f>
        <v>MISSING</v>
      </c>
      <c r="K111" t="str">
        <f t="shared" si="1"/>
        <v/>
      </c>
      <c r="L111" t="str">
        <f>VLOOKUP(A111,new_list!A:E,5,FALSE)</f>
        <v>Generator</v>
      </c>
    </row>
    <row r="112" spans="1:12">
      <c r="A112" t="s">
        <v>2726</v>
      </c>
      <c r="B112" t="s">
        <v>2725</v>
      </c>
      <c r="C112">
        <v>66</v>
      </c>
      <c r="D112" t="s">
        <v>2727</v>
      </c>
      <c r="E112" t="s">
        <v>2728</v>
      </c>
      <c r="F112">
        <v>1.0206999999999999</v>
      </c>
      <c r="G112">
        <v>1.0310999999999999</v>
      </c>
      <c r="H112" t="str">
        <f>IFERROR(VLOOKUP(A112,final!D:D,1,FALSE),"MISSING")</f>
        <v>MISSING</v>
      </c>
      <c r="I112" t="str">
        <f>IFERROR(VLOOKUP(A112,'From DB'!A:K,11,FALSE),"MISSING")</f>
        <v>MISSING</v>
      </c>
      <c r="K112" t="str">
        <f t="shared" si="1"/>
        <v>NEED TO FIND</v>
      </c>
      <c r="L112" t="str">
        <f>VLOOKUP(A112,new_list!A:E,5,FALSE)</f>
        <v>Load</v>
      </c>
    </row>
    <row r="113" spans="1:12">
      <c r="A113" t="s">
        <v>2839</v>
      </c>
      <c r="B113" t="s">
        <v>2838</v>
      </c>
      <c r="C113">
        <v>66</v>
      </c>
      <c r="D113" t="s">
        <v>2840</v>
      </c>
      <c r="E113" t="s">
        <v>2841</v>
      </c>
      <c r="F113">
        <v>0.88619999999999999</v>
      </c>
      <c r="G113">
        <v>0.97289999999999999</v>
      </c>
      <c r="H113" t="str">
        <f>IFERROR(VLOOKUP(A113,final!D:D,1,FALSE),"MISSING")</f>
        <v>GANNSF1</v>
      </c>
      <c r="I113" t="str">
        <f>IFERROR(VLOOKUP(A113,'From DB'!A:K,11,FALSE),"MISSING")</f>
        <v>MISSING</v>
      </c>
      <c r="K113" t="str">
        <f t="shared" si="1"/>
        <v/>
      </c>
      <c r="L113" t="str">
        <f>VLOOKUP(A113,new_list!A:E,5,FALSE)</f>
        <v>Generator</v>
      </c>
    </row>
    <row r="114" spans="1:12">
      <c r="A114" t="s">
        <v>373</v>
      </c>
      <c r="B114" t="s">
        <v>2371</v>
      </c>
      <c r="C114">
        <v>66</v>
      </c>
      <c r="D114" t="s">
        <v>2372</v>
      </c>
      <c r="E114" t="s">
        <v>2373</v>
      </c>
      <c r="F114">
        <v>0.93049999999999999</v>
      </c>
      <c r="G114">
        <v>0.94510000000000005</v>
      </c>
      <c r="H114" t="str">
        <f>IFERROR(VLOOKUP(A114,final!D:D,1,FALSE),"MISSING")</f>
        <v>GERMCRK</v>
      </c>
      <c r="I114">
        <f>IFERROR(VLOOKUP(A114,'From DB'!A:K,11,FALSE),"MISSING")</f>
        <v>32</v>
      </c>
      <c r="K114" t="str">
        <f t="shared" si="1"/>
        <v/>
      </c>
      <c r="L114" t="str">
        <f>VLOOKUP(A114,new_list!A:E,5,FALSE)</f>
        <v>Generator</v>
      </c>
    </row>
    <row r="115" spans="1:12">
      <c r="A115" t="s">
        <v>386</v>
      </c>
      <c r="B115" t="s">
        <v>2261</v>
      </c>
      <c r="C115">
        <v>132</v>
      </c>
      <c r="D115" t="s">
        <v>1341</v>
      </c>
      <c r="E115" t="s">
        <v>2262</v>
      </c>
      <c r="F115">
        <v>0.91759999999999997</v>
      </c>
      <c r="G115">
        <v>0.92059999999999997</v>
      </c>
      <c r="H115" t="str">
        <f>IFERROR(VLOOKUP(A115,final!D:D,1,FALSE),"MISSING")</f>
        <v>GSTONE3</v>
      </c>
      <c r="I115">
        <f>IFERROR(VLOOKUP(A115,'From DB'!A:K,11,FALSE),"MISSING")</f>
        <v>280</v>
      </c>
      <c r="K115" t="str">
        <f t="shared" si="1"/>
        <v/>
      </c>
      <c r="L115" t="str">
        <f>VLOOKUP(A115,new_list!A:E,5,FALSE)</f>
        <v>Generator</v>
      </c>
    </row>
    <row r="116" spans="1:12">
      <c r="A116" t="s">
        <v>387</v>
      </c>
      <c r="B116" t="s">
        <v>2263</v>
      </c>
      <c r="C116">
        <v>132</v>
      </c>
      <c r="D116" t="s">
        <v>1342</v>
      </c>
      <c r="E116" t="s">
        <v>2262</v>
      </c>
      <c r="F116">
        <v>0.91759999999999997</v>
      </c>
      <c r="G116">
        <v>0.92059999999999997</v>
      </c>
      <c r="H116" t="str">
        <f>IFERROR(VLOOKUP(A116,final!D:D,1,FALSE),"MISSING")</f>
        <v>GSTONE4</v>
      </c>
      <c r="I116">
        <f>IFERROR(VLOOKUP(A116,'From DB'!A:K,11,FALSE),"MISSING")</f>
        <v>280</v>
      </c>
      <c r="K116" t="str">
        <f t="shared" si="1"/>
        <v/>
      </c>
      <c r="L116" t="str">
        <f>VLOOKUP(A116,new_list!A:E,5,FALSE)</f>
        <v>Generator</v>
      </c>
    </row>
    <row r="117" spans="1:12">
      <c r="A117" t="s">
        <v>383</v>
      </c>
      <c r="B117" t="s">
        <v>2266</v>
      </c>
      <c r="C117">
        <v>275</v>
      </c>
      <c r="D117" t="s">
        <v>1338</v>
      </c>
      <c r="E117" t="s">
        <v>2267</v>
      </c>
      <c r="F117">
        <v>0.91810000000000003</v>
      </c>
      <c r="G117">
        <v>0.92400000000000004</v>
      </c>
      <c r="H117" t="str">
        <f>IFERROR(VLOOKUP(A117,final!D:D,1,FALSE),"MISSING")</f>
        <v>GSTONE1</v>
      </c>
      <c r="I117">
        <f>IFERROR(VLOOKUP(A117,'From DB'!A:K,11,FALSE),"MISSING")</f>
        <v>280</v>
      </c>
      <c r="K117" t="str">
        <f t="shared" si="1"/>
        <v/>
      </c>
      <c r="L117" t="str">
        <f>VLOOKUP(A117,new_list!A:E,5,FALSE)</f>
        <v>Generator</v>
      </c>
    </row>
    <row r="118" spans="1:12">
      <c r="A118" t="s">
        <v>385</v>
      </c>
      <c r="B118" t="s">
        <v>2268</v>
      </c>
      <c r="C118">
        <v>275</v>
      </c>
      <c r="D118" t="s">
        <v>1340</v>
      </c>
      <c r="E118" t="s">
        <v>2267</v>
      </c>
      <c r="F118">
        <v>0.91810000000000003</v>
      </c>
      <c r="G118">
        <v>0.92400000000000004</v>
      </c>
      <c r="H118" t="str">
        <f>IFERROR(VLOOKUP(A118,final!D:D,1,FALSE),"MISSING")</f>
        <v>GSTONE2</v>
      </c>
      <c r="I118">
        <f>IFERROR(VLOOKUP(A118,'From DB'!A:K,11,FALSE),"MISSING")</f>
        <v>280</v>
      </c>
      <c r="K118" t="str">
        <f t="shared" si="1"/>
        <v/>
      </c>
      <c r="L118" t="str">
        <f>VLOOKUP(A118,new_list!A:E,5,FALSE)</f>
        <v>Generator</v>
      </c>
    </row>
    <row r="119" spans="1:12">
      <c r="A119" t="s">
        <v>388</v>
      </c>
      <c r="B119" t="s">
        <v>2269</v>
      </c>
      <c r="C119">
        <v>275</v>
      </c>
      <c r="D119" t="s">
        <v>1343</v>
      </c>
      <c r="E119" t="s">
        <v>2267</v>
      </c>
      <c r="F119">
        <v>0.91810000000000003</v>
      </c>
      <c r="G119">
        <v>0.92400000000000004</v>
      </c>
      <c r="H119" t="str">
        <f>IFERROR(VLOOKUP(A119,final!D:D,1,FALSE),"MISSING")</f>
        <v>GSTONE5</v>
      </c>
      <c r="I119">
        <f>IFERROR(VLOOKUP(A119,'From DB'!A:K,11,FALSE),"MISSING")</f>
        <v>280</v>
      </c>
      <c r="K119" t="str">
        <f t="shared" si="1"/>
        <v/>
      </c>
      <c r="L119" t="str">
        <f>VLOOKUP(A119,new_list!A:E,5,FALSE)</f>
        <v>Generator</v>
      </c>
    </row>
    <row r="120" spans="1:12">
      <c r="A120" t="s">
        <v>389</v>
      </c>
      <c r="B120" t="s">
        <v>2270</v>
      </c>
      <c r="C120">
        <v>275</v>
      </c>
      <c r="D120" t="s">
        <v>1344</v>
      </c>
      <c r="E120" t="s">
        <v>2267</v>
      </c>
      <c r="F120">
        <v>0.91810000000000003</v>
      </c>
      <c r="G120">
        <v>0.92400000000000004</v>
      </c>
      <c r="H120" t="str">
        <f>IFERROR(VLOOKUP(A120,final!D:D,1,FALSE),"MISSING")</f>
        <v>GSTONE6</v>
      </c>
      <c r="I120">
        <f>IFERROR(VLOOKUP(A120,'From DB'!A:K,11,FALSE),"MISSING")</f>
        <v>280</v>
      </c>
      <c r="K120" t="str">
        <f t="shared" si="1"/>
        <v/>
      </c>
      <c r="L120" t="str">
        <f>VLOOKUP(A120,new_list!A:E,5,FALSE)</f>
        <v>Generator</v>
      </c>
    </row>
    <row r="121" spans="1:12">
      <c r="A121" t="s">
        <v>375</v>
      </c>
      <c r="B121" t="s">
        <v>2599</v>
      </c>
      <c r="C121">
        <v>132</v>
      </c>
      <c r="D121" t="s">
        <v>2600</v>
      </c>
      <c r="E121" t="s">
        <v>2601</v>
      </c>
      <c r="F121">
        <v>0.97070000000000001</v>
      </c>
      <c r="G121">
        <v>0.96589999999999998</v>
      </c>
      <c r="H121" t="str">
        <f>IFERROR(VLOOKUP(A121,final!D:D,1,FALSE),"MISSING")</f>
        <v>MISSING</v>
      </c>
      <c r="I121">
        <f>IFERROR(VLOOKUP(A121,'From DB'!A:K,11,FALSE),"MISSING")</f>
        <v>5.8</v>
      </c>
      <c r="K121" t="str">
        <f t="shared" si="1"/>
        <v/>
      </c>
      <c r="L121" t="str">
        <f>VLOOKUP(A121,new_list!A:E,5,FALSE)</f>
        <v>Generator</v>
      </c>
    </row>
    <row r="122" spans="1:12">
      <c r="A122" t="s">
        <v>377</v>
      </c>
      <c r="B122" t="s">
        <v>2842</v>
      </c>
      <c r="C122">
        <v>66</v>
      </c>
      <c r="D122" t="s">
        <v>2843</v>
      </c>
      <c r="E122" t="s">
        <v>2816</v>
      </c>
      <c r="F122">
        <v>0.99470000000000003</v>
      </c>
      <c r="G122">
        <v>0.9879</v>
      </c>
      <c r="H122" t="str">
        <f>IFERROR(VLOOKUP(A122,final!D:D,1,FALSE),"MISSING")</f>
        <v>MISSING</v>
      </c>
      <c r="I122">
        <f>IFERROR(VLOOKUP(A122,'From DB'!A:K,11,FALSE),"MISSING")</f>
        <v>4</v>
      </c>
      <c r="K122" t="str">
        <f t="shared" si="1"/>
        <v/>
      </c>
      <c r="L122" t="str">
        <f>VLOOKUP(A122,new_list!A:E,5,FALSE)</f>
        <v>Generator</v>
      </c>
    </row>
    <row r="123" spans="1:12">
      <c r="A123" t="s">
        <v>567</v>
      </c>
      <c r="B123" t="s">
        <v>2602</v>
      </c>
      <c r="C123">
        <v>66</v>
      </c>
      <c r="D123" t="s">
        <v>2603</v>
      </c>
      <c r="E123" t="s">
        <v>2604</v>
      </c>
      <c r="F123">
        <v>0.91249999999999998</v>
      </c>
      <c r="G123">
        <v>0.89200000000000002</v>
      </c>
      <c r="H123" t="str">
        <f>IFERROR(VLOOKUP(A123,final!D:D,1,FALSE),"MISSING")</f>
        <v>MISSING</v>
      </c>
      <c r="I123">
        <f>IFERROR(VLOOKUP(A123,'From DB'!A:K,11,FALSE),"MISSING")</f>
        <v>6.7</v>
      </c>
      <c r="K123" t="str">
        <f t="shared" si="1"/>
        <v/>
      </c>
      <c r="L123" t="str">
        <f>VLOOKUP(A123,new_list!A:E,5,FALSE)</f>
        <v>Generator</v>
      </c>
    </row>
    <row r="124" spans="1:12">
      <c r="A124" t="s">
        <v>2606</v>
      </c>
      <c r="B124" t="s">
        <v>2605</v>
      </c>
      <c r="C124">
        <v>132</v>
      </c>
      <c r="D124" t="s">
        <v>2607</v>
      </c>
      <c r="E124" t="s">
        <v>2601</v>
      </c>
      <c r="F124">
        <v>0.97070000000000001</v>
      </c>
      <c r="G124">
        <v>0.96589999999999998</v>
      </c>
      <c r="H124" t="str">
        <f>IFERROR(VLOOKUP(A124,final!D:D,1,FALSE),"MISSING")</f>
        <v>GLENNCRK</v>
      </c>
      <c r="I124" t="str">
        <f>IFERROR(VLOOKUP(A124,'From DB'!A:K,11,FALSE),"MISSING")</f>
        <v>MISSING</v>
      </c>
      <c r="K124" t="str">
        <f t="shared" si="1"/>
        <v/>
      </c>
      <c r="L124" t="str">
        <f>VLOOKUP(A124,new_list!A:E,5,FALSE)</f>
        <v>Generator</v>
      </c>
    </row>
    <row r="125" spans="1:12">
      <c r="A125" t="s">
        <v>379</v>
      </c>
      <c r="B125" t="s">
        <v>3034</v>
      </c>
      <c r="C125">
        <v>220</v>
      </c>
      <c r="D125" t="s">
        <v>1028</v>
      </c>
      <c r="E125" t="s">
        <v>3035</v>
      </c>
      <c r="F125">
        <v>0.95830000000000004</v>
      </c>
      <c r="G125">
        <v>0.98680000000000001</v>
      </c>
      <c r="H125" t="str">
        <f>IFERROR(VLOOKUP(A125,final!D:D,1,FALSE),"MISSING")</f>
        <v>GORDON</v>
      </c>
      <c r="I125">
        <f>IFERROR(VLOOKUP(A125,'From DB'!A:K,11,FALSE),"MISSING")</f>
        <v>432</v>
      </c>
      <c r="K125" t="str">
        <f t="shared" si="1"/>
        <v/>
      </c>
      <c r="L125" t="str">
        <f>VLOOKUP(A125,new_list!A:E,5,FALSE)</f>
        <v>Generator</v>
      </c>
    </row>
    <row r="126" spans="1:12">
      <c r="A126" t="s">
        <v>381</v>
      </c>
      <c r="B126" t="s">
        <v>2608</v>
      </c>
      <c r="C126">
        <v>132</v>
      </c>
      <c r="D126" t="s">
        <v>2609</v>
      </c>
      <c r="E126" t="s">
        <v>2610</v>
      </c>
      <c r="F126">
        <v>0.99960000000000004</v>
      </c>
      <c r="G126">
        <v>0.99909999999999999</v>
      </c>
      <c r="H126" t="str">
        <f>IFERROR(VLOOKUP(A126,final!D:D,1,FALSE),"MISSING")</f>
        <v>MISSING</v>
      </c>
      <c r="I126">
        <f>IFERROR(VLOOKUP(A126,'From DB'!A:K,11,FALSE),"MISSING")</f>
        <v>2</v>
      </c>
      <c r="K126" t="str">
        <f t="shared" si="1"/>
        <v/>
      </c>
      <c r="L126" t="str">
        <f>VLOOKUP(A126,new_list!A:E,5,FALSE)</f>
        <v>Generator</v>
      </c>
    </row>
    <row r="127" spans="1:12">
      <c r="A127" t="s">
        <v>2486</v>
      </c>
      <c r="B127" t="s">
        <v>2485</v>
      </c>
      <c r="C127">
        <v>33</v>
      </c>
      <c r="D127" t="s">
        <v>2487</v>
      </c>
      <c r="E127" t="s">
        <v>2488</v>
      </c>
      <c r="F127">
        <v>0.92569999999999997</v>
      </c>
      <c r="G127">
        <v>1.0603</v>
      </c>
      <c r="H127" t="str">
        <f>IFERROR(VLOOKUP(A127,final!D:D,1,FALSE),"MISSING")</f>
        <v>GRIFSF1</v>
      </c>
      <c r="I127" t="str">
        <f>IFERROR(VLOOKUP(A127,'From DB'!A:K,11,FALSE),"MISSING")</f>
        <v>MISSING</v>
      </c>
      <c r="K127" t="str">
        <f t="shared" ref="K127:K187" si="2">IF(AND(H127="MISSING",OR(I127="MISSING",I127&gt;10),J127=""),"NEED TO FIND","")</f>
        <v/>
      </c>
      <c r="L127" t="str">
        <f>VLOOKUP(A127,new_list!A:E,5,FALSE)</f>
        <v>Generator</v>
      </c>
    </row>
    <row r="128" spans="1:12">
      <c r="A128" t="s">
        <v>2379</v>
      </c>
      <c r="B128" t="s">
        <v>2378</v>
      </c>
      <c r="C128">
        <v>66</v>
      </c>
      <c r="D128" t="s">
        <v>2380</v>
      </c>
      <c r="E128" t="s">
        <v>2377</v>
      </c>
      <c r="F128">
        <v>0.94910000000000005</v>
      </c>
      <c r="G128">
        <v>0.96830000000000005</v>
      </c>
      <c r="H128" t="str">
        <f>IFERROR(VLOOKUP(A128,final!D:D,1,FALSE),"MISSING")</f>
        <v>GROSV1</v>
      </c>
      <c r="I128" t="str">
        <f>IFERROR(VLOOKUP(A128,'From DB'!A:K,11,FALSE),"MISSING")</f>
        <v>MISSING</v>
      </c>
      <c r="K128" t="str">
        <f t="shared" si="2"/>
        <v/>
      </c>
      <c r="L128" t="str">
        <f>VLOOKUP(A128,new_list!A:E,5,FALSE)</f>
        <v>Generator</v>
      </c>
    </row>
    <row r="129" spans="1:12">
      <c r="A129" t="s">
        <v>2375</v>
      </c>
      <c r="B129" t="s">
        <v>2374</v>
      </c>
      <c r="C129">
        <v>66</v>
      </c>
      <c r="D129" t="s">
        <v>2376</v>
      </c>
      <c r="E129" t="s">
        <v>2377</v>
      </c>
      <c r="F129">
        <v>0.94910000000000005</v>
      </c>
      <c r="G129">
        <v>0.96830000000000005</v>
      </c>
      <c r="H129" t="str">
        <f>IFERROR(VLOOKUP(A129,final!D:D,1,FALSE),"MISSING")</f>
        <v>GROSV2</v>
      </c>
      <c r="I129" t="str">
        <f>IFERROR(VLOOKUP(A129,'From DB'!A:K,11,FALSE),"MISSING")</f>
        <v>MISSING</v>
      </c>
      <c r="K129" t="str">
        <f t="shared" si="2"/>
        <v/>
      </c>
      <c r="L129" t="str">
        <f>VLOOKUP(A129,new_list!A:E,5,FALSE)</f>
        <v>Generator</v>
      </c>
    </row>
    <row r="130" spans="1:12">
      <c r="A130" t="s">
        <v>2490</v>
      </c>
      <c r="B130" t="s">
        <v>2489</v>
      </c>
      <c r="C130">
        <v>330</v>
      </c>
      <c r="D130" t="s">
        <v>2491</v>
      </c>
      <c r="E130" t="s">
        <v>2492</v>
      </c>
      <c r="F130">
        <v>0.97170000000000001</v>
      </c>
      <c r="G130">
        <v>0.99590000000000001</v>
      </c>
      <c r="H130" t="str">
        <f>IFERROR(VLOOKUP(A130,final!D:D,1,FALSE),"MISSING")</f>
        <v>GULLRSF1</v>
      </c>
      <c r="I130" t="str">
        <f>IFERROR(VLOOKUP(A130,'From DB'!A:K,11,FALSE),"MISSING")</f>
        <v>MISSING</v>
      </c>
      <c r="K130" t="str">
        <f t="shared" si="2"/>
        <v/>
      </c>
      <c r="L130" t="str">
        <f>VLOOKUP(A130,new_list!A:E,5,FALSE)</f>
        <v>Generator</v>
      </c>
    </row>
    <row r="131" spans="1:12">
      <c r="A131" t="s">
        <v>390</v>
      </c>
      <c r="B131" t="s">
        <v>391</v>
      </c>
      <c r="C131">
        <v>330</v>
      </c>
      <c r="D131" t="s">
        <v>1228</v>
      </c>
      <c r="E131" t="s">
        <v>2492</v>
      </c>
      <c r="F131">
        <v>0.97170000000000001</v>
      </c>
      <c r="G131">
        <v>0.99590000000000001</v>
      </c>
      <c r="H131" t="str">
        <f>IFERROR(VLOOKUP(A131,final!D:D,1,FALSE),"MISSING")</f>
        <v>GULLRWF1</v>
      </c>
      <c r="I131">
        <f>IFERROR(VLOOKUP(A131,'From DB'!A:K,11,FALSE),"MISSING")</f>
        <v>166</v>
      </c>
      <c r="K131" t="str">
        <f t="shared" si="2"/>
        <v/>
      </c>
      <c r="L131" t="str">
        <f>VLOOKUP(A131,new_list!A:E,5,FALSE)</f>
        <v>Generator</v>
      </c>
    </row>
    <row r="132" spans="1:12">
      <c r="A132" t="s">
        <v>392</v>
      </c>
      <c r="B132" t="s">
        <v>111</v>
      </c>
      <c r="C132">
        <v>132</v>
      </c>
      <c r="D132" t="s">
        <v>1232</v>
      </c>
      <c r="E132" t="s">
        <v>2593</v>
      </c>
      <c r="F132">
        <v>0.95499999999999996</v>
      </c>
      <c r="G132">
        <v>1.0054000000000001</v>
      </c>
      <c r="H132" t="str">
        <f>IFERROR(VLOOKUP(A132,final!D:D,1,FALSE),"MISSING")</f>
        <v>GUNNING1</v>
      </c>
      <c r="I132">
        <f>IFERROR(VLOOKUP(A132,'From DB'!A:K,11,FALSE),"MISSING")</f>
        <v>47</v>
      </c>
      <c r="K132" t="str">
        <f t="shared" si="2"/>
        <v/>
      </c>
      <c r="L132" t="str">
        <f>VLOOKUP(A132,new_list!A:E,5,FALSE)</f>
        <v>Generator</v>
      </c>
    </row>
    <row r="133" spans="1:12">
      <c r="A133" t="s">
        <v>393</v>
      </c>
      <c r="B133" t="s">
        <v>2493</v>
      </c>
      <c r="C133">
        <v>132</v>
      </c>
      <c r="D133" t="s">
        <v>1281</v>
      </c>
      <c r="E133" t="s">
        <v>2494</v>
      </c>
      <c r="F133">
        <v>0.90710000000000002</v>
      </c>
      <c r="G133">
        <v>0.95369999999999999</v>
      </c>
      <c r="H133" t="str">
        <f>IFERROR(VLOOKUP(A133,final!D:D,1,FALSE),"MISSING")</f>
        <v>GUTHEGA</v>
      </c>
      <c r="I133">
        <f>IFERROR(VLOOKUP(A133,'From DB'!A:K,11,FALSE),"MISSING")</f>
        <v>60</v>
      </c>
      <c r="K133" t="str">
        <f t="shared" si="2"/>
        <v/>
      </c>
      <c r="L133" t="str">
        <f>VLOOKUP(A133,new_list!A:E,5,FALSE)</f>
        <v>Generator</v>
      </c>
    </row>
    <row r="134" spans="1:12">
      <c r="A134" t="s">
        <v>405</v>
      </c>
      <c r="B134" t="s">
        <v>2844</v>
      </c>
      <c r="C134">
        <v>66</v>
      </c>
      <c r="D134" t="s">
        <v>2845</v>
      </c>
      <c r="E134" t="s">
        <v>2846</v>
      </c>
      <c r="F134">
        <v>0.99529999999999996</v>
      </c>
      <c r="G134">
        <v>0.99560000000000004</v>
      </c>
      <c r="H134" t="str">
        <f>IFERROR(VLOOKUP(A134,final!D:D,1,FALSE),"MISSING")</f>
        <v>MISSING</v>
      </c>
      <c r="I134">
        <f>IFERROR(VLOOKUP(A134,'From DB'!A:K,11,FALSE),"MISSING")</f>
        <v>0.25</v>
      </c>
      <c r="K134" t="str">
        <f t="shared" si="2"/>
        <v/>
      </c>
      <c r="L134" t="str">
        <f>VLOOKUP(A134,new_list!A:E,5,FALSE)</f>
        <v>Generator</v>
      </c>
    </row>
    <row r="135" spans="1:12">
      <c r="A135" t="s">
        <v>2847</v>
      </c>
      <c r="B135" t="s">
        <v>396</v>
      </c>
      <c r="C135">
        <v>66</v>
      </c>
      <c r="D135" t="s">
        <v>2848</v>
      </c>
      <c r="E135" t="s">
        <v>2846</v>
      </c>
      <c r="F135">
        <v>0.99529999999999996</v>
      </c>
      <c r="G135">
        <v>0.99560000000000004</v>
      </c>
      <c r="H135" t="str">
        <f>IFERROR(VLOOKUP(A135,final!D:D,1,FALSE),"MISSING")</f>
        <v>MISSING</v>
      </c>
      <c r="I135" t="str">
        <f>IFERROR(VLOOKUP(A135,'From DB'!A:K,11,FALSE),"MISSING")</f>
        <v>MISSING</v>
      </c>
      <c r="K135" t="str">
        <f t="shared" si="2"/>
        <v>NEED TO FIND</v>
      </c>
      <c r="L135" t="str">
        <f>VLOOKUP(A135,new_list!A:E,5,FALSE)</f>
        <v>Generator</v>
      </c>
    </row>
    <row r="136" spans="1:12">
      <c r="A136" t="s">
        <v>397</v>
      </c>
      <c r="B136" t="s">
        <v>398</v>
      </c>
      <c r="C136">
        <v>275</v>
      </c>
      <c r="D136" t="s">
        <v>849</v>
      </c>
      <c r="E136" t="s">
        <v>2909</v>
      </c>
      <c r="F136">
        <v>0.97450000000000003</v>
      </c>
      <c r="G136">
        <v>0.97150000000000003</v>
      </c>
      <c r="H136" t="str">
        <f>IFERROR(VLOOKUP(A136,final!D:D,1,FALSE),"MISSING")</f>
        <v>HALLWF1</v>
      </c>
      <c r="I136">
        <f>IFERROR(VLOOKUP(A136,'From DB'!A:K,11,FALSE),"MISSING")</f>
        <v>94.5</v>
      </c>
      <c r="K136" t="str">
        <f t="shared" si="2"/>
        <v/>
      </c>
      <c r="L136" t="str">
        <f>VLOOKUP(A136,new_list!A:E,5,FALSE)</f>
        <v>Generator</v>
      </c>
    </row>
    <row r="137" spans="1:12">
      <c r="A137" t="s">
        <v>399</v>
      </c>
      <c r="B137" t="s">
        <v>400</v>
      </c>
      <c r="C137">
        <v>275</v>
      </c>
      <c r="D137" t="s">
        <v>851</v>
      </c>
      <c r="E137" t="s">
        <v>2910</v>
      </c>
      <c r="F137">
        <v>0.97430000000000005</v>
      </c>
      <c r="G137">
        <v>0.97150000000000003</v>
      </c>
      <c r="H137" t="str">
        <f>IFERROR(VLOOKUP(A137,final!D:D,1,FALSE),"MISSING")</f>
        <v>HALLWF2</v>
      </c>
      <c r="I137">
        <f>IFERROR(VLOOKUP(A137,'From DB'!A:K,11,FALSE),"MISSING")</f>
        <v>71.400000000000006</v>
      </c>
      <c r="K137" t="str">
        <f t="shared" si="2"/>
        <v/>
      </c>
      <c r="L137" t="str">
        <f>VLOOKUP(A137,new_list!A:E,5,FALSE)</f>
        <v>Generator</v>
      </c>
    </row>
    <row r="138" spans="1:12">
      <c r="A138" t="s">
        <v>164</v>
      </c>
      <c r="B138" t="s">
        <v>8</v>
      </c>
      <c r="C138">
        <v>275</v>
      </c>
      <c r="D138" t="s">
        <v>844</v>
      </c>
      <c r="E138" t="s">
        <v>2909</v>
      </c>
      <c r="F138">
        <v>0.97450000000000003</v>
      </c>
      <c r="G138">
        <v>0.97150000000000003</v>
      </c>
      <c r="H138" t="str">
        <f>IFERROR(VLOOKUP(A138,final!D:D,1,FALSE),"MISSING")</f>
        <v>AGLHAL</v>
      </c>
      <c r="I138">
        <f>IFERROR(VLOOKUP(A138,'From DB'!A:K,11,FALSE),"MISSING")</f>
        <v>180</v>
      </c>
      <c r="K138" t="str">
        <f t="shared" si="2"/>
        <v/>
      </c>
      <c r="L138" t="str">
        <f>VLOOKUP(A138,new_list!A:E,5,FALSE)</f>
        <v>Generator</v>
      </c>
    </row>
    <row r="139" spans="1:12">
      <c r="A139" t="s">
        <v>2272</v>
      </c>
      <c r="B139" t="s">
        <v>2271</v>
      </c>
      <c r="C139">
        <v>33</v>
      </c>
      <c r="D139" t="s">
        <v>2273</v>
      </c>
      <c r="E139" t="s">
        <v>2274</v>
      </c>
      <c r="F139">
        <v>0.83720000000000006</v>
      </c>
      <c r="G139">
        <v>0.87409999999999999</v>
      </c>
      <c r="H139" t="str">
        <f>IFERROR(VLOOKUP(A139,final!D:D,1,FALSE),"MISSING")</f>
        <v>HAMISF1</v>
      </c>
      <c r="I139" t="str">
        <f>IFERROR(VLOOKUP(A139,'From DB'!A:K,11,FALSE),"MISSING")</f>
        <v>MISSING</v>
      </c>
      <c r="K139" t="str">
        <f t="shared" si="2"/>
        <v/>
      </c>
      <c r="L139" t="str">
        <f>VLOOKUP(A139,new_list!A:E,5,FALSE)</f>
        <v>Generator</v>
      </c>
    </row>
    <row r="140" spans="1:12">
      <c r="A140" t="s">
        <v>2276</v>
      </c>
      <c r="B140" t="s">
        <v>2275</v>
      </c>
      <c r="C140">
        <v>33</v>
      </c>
      <c r="D140" t="s">
        <v>2277</v>
      </c>
      <c r="E140" t="s">
        <v>2260</v>
      </c>
      <c r="F140">
        <v>0.82709999999999995</v>
      </c>
      <c r="G140">
        <v>0.88360000000000005</v>
      </c>
      <c r="H140" t="str">
        <f>IFERROR(VLOOKUP(A140,final!D:D,1,FALSE),"MISSING")</f>
        <v>HAYMSF1</v>
      </c>
      <c r="I140" t="str">
        <f>IFERROR(VLOOKUP(A140,'From DB'!A:K,11,FALSE),"MISSING")</f>
        <v>MISSING</v>
      </c>
      <c r="K140" t="str">
        <f t="shared" si="2"/>
        <v/>
      </c>
      <c r="L140" t="str">
        <f>VLOOKUP(A140,new_list!A:E,5,FALSE)</f>
        <v>Generator</v>
      </c>
    </row>
    <row r="141" spans="1:12">
      <c r="A141" t="s">
        <v>403</v>
      </c>
      <c r="B141" t="s">
        <v>2849</v>
      </c>
      <c r="C141">
        <v>66</v>
      </c>
      <c r="D141" t="s">
        <v>2850</v>
      </c>
      <c r="E141" t="s">
        <v>2813</v>
      </c>
      <c r="F141">
        <v>0.97</v>
      </c>
      <c r="G141">
        <v>1.0016</v>
      </c>
      <c r="H141" t="str">
        <f>IFERROR(VLOOKUP(A141,final!D:D,1,FALSE),"MISSING")</f>
        <v>MISSING</v>
      </c>
      <c r="I141">
        <f>IFERROR(VLOOKUP(A141,'From DB'!A:K,11,FALSE),"MISSING")</f>
        <v>4.0999999999999996</v>
      </c>
      <c r="K141" t="str">
        <f t="shared" si="2"/>
        <v/>
      </c>
      <c r="L141" t="str">
        <f>VLOOKUP(A141,new_list!A:E,5,FALSE)</f>
        <v>Generator</v>
      </c>
    </row>
    <row r="142" spans="1:12">
      <c r="A142" t="s">
        <v>2921</v>
      </c>
      <c r="B142" t="s">
        <v>2920</v>
      </c>
      <c r="C142">
        <v>275</v>
      </c>
      <c r="D142" t="s">
        <v>2922</v>
      </c>
      <c r="E142" t="s">
        <v>2923</v>
      </c>
      <c r="F142">
        <v>0.98270000000000002</v>
      </c>
      <c r="G142">
        <v>0.97709999999999997</v>
      </c>
      <c r="H142" t="str">
        <f>IFERROR(VLOOKUP(A142,final!D:D,1,FALSE),"MISSING")</f>
        <v>HPRG1</v>
      </c>
      <c r="I142" t="str">
        <f>IFERROR(VLOOKUP(A142,'From DB'!A:K,11,FALSE),"MISSING")</f>
        <v>MISSING</v>
      </c>
      <c r="K142" t="str">
        <f t="shared" si="2"/>
        <v/>
      </c>
      <c r="L142" t="str">
        <f>VLOOKUP(A142,new_list!A:E,5,FALSE)</f>
        <v>Generator</v>
      </c>
    </row>
    <row r="143" spans="1:12">
      <c r="A143" t="s">
        <v>2925</v>
      </c>
      <c r="B143" t="s">
        <v>2924</v>
      </c>
      <c r="C143">
        <v>275</v>
      </c>
      <c r="D143" t="s">
        <v>2926</v>
      </c>
      <c r="E143" t="s">
        <v>2923</v>
      </c>
      <c r="F143">
        <v>0.98319999999999996</v>
      </c>
      <c r="G143">
        <v>0.98529999999999995</v>
      </c>
      <c r="H143" t="str">
        <f>IFERROR(VLOOKUP(A143,final!D:D,1,FALSE),"MISSING")</f>
        <v>MISSING</v>
      </c>
      <c r="I143" t="str">
        <f>IFERROR(VLOOKUP(A143,'From DB'!A:K,11,FALSE),"MISSING")</f>
        <v>MISSING</v>
      </c>
      <c r="K143" t="str">
        <f t="shared" si="2"/>
        <v>NEED TO FIND</v>
      </c>
      <c r="L143" t="str">
        <f>VLOOKUP(A143,new_list!A:E,5,FALSE)</f>
        <v>Load</v>
      </c>
    </row>
    <row r="144" spans="1:12">
      <c r="A144" t="s">
        <v>401</v>
      </c>
      <c r="B144" t="s">
        <v>2911</v>
      </c>
      <c r="C144">
        <v>275</v>
      </c>
      <c r="D144" t="s">
        <v>2912</v>
      </c>
      <c r="E144" t="s">
        <v>2913</v>
      </c>
      <c r="F144">
        <v>0.96879999999999999</v>
      </c>
      <c r="G144">
        <v>0.97440000000000004</v>
      </c>
      <c r="H144" t="str">
        <f>IFERROR(VLOOKUP(A144,final!D:D,1,FALSE),"MISSING")</f>
        <v>HDWF1</v>
      </c>
      <c r="I144">
        <f>IFERROR(VLOOKUP(A144,'From DB'!A:K,11,FALSE),"MISSING")</f>
        <v>102.4</v>
      </c>
      <c r="K144" t="str">
        <f t="shared" si="2"/>
        <v/>
      </c>
      <c r="L144" t="str">
        <f>VLOOKUP(A144,new_list!A:E,5,FALSE)</f>
        <v>Generator</v>
      </c>
    </row>
    <row r="145" spans="1:12">
      <c r="A145" t="s">
        <v>2915</v>
      </c>
      <c r="B145" t="s">
        <v>2914</v>
      </c>
      <c r="C145">
        <v>275</v>
      </c>
      <c r="D145" t="s">
        <v>2916</v>
      </c>
      <c r="E145" t="s">
        <v>2913</v>
      </c>
      <c r="F145">
        <v>0.96879999999999999</v>
      </c>
      <c r="G145">
        <v>0.97440000000000004</v>
      </c>
      <c r="H145" t="str">
        <f>IFERROR(VLOOKUP(A145,final!D:D,1,FALSE),"MISSING")</f>
        <v>HDWF2</v>
      </c>
      <c r="I145" t="str">
        <f>IFERROR(VLOOKUP(A145,'From DB'!A:K,11,FALSE),"MISSING")</f>
        <v>MISSING</v>
      </c>
      <c r="K145" t="str">
        <f t="shared" si="2"/>
        <v/>
      </c>
      <c r="L145" t="str">
        <f>VLOOKUP(A145,new_list!A:E,5,FALSE)</f>
        <v>Generator</v>
      </c>
    </row>
    <row r="146" spans="1:12">
      <c r="A146" t="s">
        <v>2918</v>
      </c>
      <c r="B146" t="s">
        <v>2917</v>
      </c>
      <c r="C146">
        <v>275</v>
      </c>
      <c r="D146" t="s">
        <v>2919</v>
      </c>
      <c r="E146" t="s">
        <v>2913</v>
      </c>
      <c r="F146">
        <v>0.96879999999999999</v>
      </c>
      <c r="G146">
        <v>0.97440000000000004</v>
      </c>
      <c r="H146" t="str">
        <f>IFERROR(VLOOKUP(A146,final!D:D,1,FALSE),"MISSING")</f>
        <v>HDWF3</v>
      </c>
      <c r="I146" t="str">
        <f>IFERROR(VLOOKUP(A146,'From DB'!A:K,11,FALSE),"MISSING")</f>
        <v>MISSING</v>
      </c>
      <c r="K146" t="str">
        <f t="shared" si="2"/>
        <v/>
      </c>
      <c r="L146" t="str">
        <f>VLOOKUP(A146,new_list!A:E,5,FALSE)</f>
        <v>Generator</v>
      </c>
    </row>
    <row r="147" spans="1:12">
      <c r="A147" t="s">
        <v>2279</v>
      </c>
      <c r="B147" t="s">
        <v>2278</v>
      </c>
      <c r="C147">
        <v>132</v>
      </c>
      <c r="D147" t="s">
        <v>2280</v>
      </c>
      <c r="E147" t="s">
        <v>2281</v>
      </c>
      <c r="F147">
        <v>0.86280000000000001</v>
      </c>
      <c r="G147">
        <v>0.88419999999999999</v>
      </c>
      <c r="H147" t="str">
        <f>IFERROR(VLOOKUP(A147,final!D:D,1,FALSE),"MISSING")</f>
        <v>HUGSF1</v>
      </c>
      <c r="I147" t="str">
        <f>IFERROR(VLOOKUP(A147,'From DB'!A:K,11,FALSE),"MISSING")</f>
        <v>MISSING</v>
      </c>
      <c r="K147" t="str">
        <f t="shared" si="2"/>
        <v/>
      </c>
      <c r="L147" t="str">
        <f>VLOOKUP(A147,new_list!A:E,5,FALSE)</f>
        <v>Generator</v>
      </c>
    </row>
    <row r="148" spans="1:12">
      <c r="A148" t="s">
        <v>407</v>
      </c>
      <c r="B148" t="s">
        <v>2499</v>
      </c>
      <c r="C148">
        <v>132</v>
      </c>
      <c r="D148" t="s">
        <v>1287</v>
      </c>
      <c r="E148" t="s">
        <v>1287</v>
      </c>
      <c r="F148">
        <v>0.9778</v>
      </c>
      <c r="G148">
        <v>1.0674999999999999</v>
      </c>
      <c r="H148" t="str">
        <f>IFERROR(VLOOKUP(A148,final!D:D,1,FALSE),"MISSING")</f>
        <v>HUMENSW</v>
      </c>
      <c r="I148">
        <f>IFERROR(VLOOKUP(A148,'From DB'!A:K,11,FALSE),"MISSING")</f>
        <v>29</v>
      </c>
      <c r="K148" t="str">
        <f t="shared" si="2"/>
        <v/>
      </c>
      <c r="L148" t="str">
        <f>VLOOKUP(A148,new_list!A:E,5,FALSE)</f>
        <v>Generator</v>
      </c>
    </row>
    <row r="149" spans="1:12">
      <c r="A149" t="s">
        <v>2852</v>
      </c>
      <c r="B149" t="s">
        <v>2851</v>
      </c>
      <c r="C149">
        <v>66</v>
      </c>
      <c r="D149" t="s">
        <v>2853</v>
      </c>
      <c r="E149" t="s">
        <v>2853</v>
      </c>
      <c r="F149">
        <v>0.94010000000000005</v>
      </c>
      <c r="G149">
        <v>0.94979999999999998</v>
      </c>
      <c r="H149" t="str">
        <f>IFERROR(VLOOKUP(A149,final!D:D,1,FALSE),"MISSING")</f>
        <v>HUMEV</v>
      </c>
      <c r="I149" t="str">
        <f>IFERROR(VLOOKUP(A149,'From DB'!A:K,11,FALSE),"MISSING")</f>
        <v>MISSING</v>
      </c>
      <c r="K149" t="str">
        <f t="shared" si="2"/>
        <v/>
      </c>
      <c r="L149" t="str">
        <f>VLOOKUP(A149,new_list!A:E,5,FALSE)</f>
        <v>Generator</v>
      </c>
    </row>
    <row r="150" spans="1:12">
      <c r="A150" t="s">
        <v>423</v>
      </c>
      <c r="B150" t="s">
        <v>424</v>
      </c>
      <c r="C150">
        <v>132</v>
      </c>
      <c r="D150" t="s">
        <v>2381</v>
      </c>
      <c r="E150" t="s">
        <v>1317</v>
      </c>
      <c r="F150">
        <v>0.94230000000000003</v>
      </c>
      <c r="G150">
        <v>0.96599999999999997</v>
      </c>
      <c r="H150" t="str">
        <f>IFERROR(VLOOKUP(A150,final!D:D,1,FALSE),"MISSING")</f>
        <v>INVICTA</v>
      </c>
      <c r="I150">
        <f>IFERROR(VLOOKUP(A150,'From DB'!A:K,11,FALSE),"MISSING")</f>
        <v>50</v>
      </c>
      <c r="K150" t="str">
        <f t="shared" si="2"/>
        <v/>
      </c>
      <c r="L150" t="str">
        <f>VLOOKUP(A150,new_list!A:E,5,FALSE)</f>
        <v>Generator</v>
      </c>
    </row>
    <row r="151" spans="1:12">
      <c r="A151" t="s">
        <v>421</v>
      </c>
      <c r="B151" t="s">
        <v>2382</v>
      </c>
      <c r="C151">
        <v>132</v>
      </c>
      <c r="D151" t="s">
        <v>2383</v>
      </c>
      <c r="E151" t="s">
        <v>2384</v>
      </c>
      <c r="F151">
        <v>0.96850000000000003</v>
      </c>
      <c r="G151">
        <v>0.97640000000000005</v>
      </c>
      <c r="H151" t="str">
        <f>IFERROR(VLOOKUP(A151,final!D:D,1,FALSE),"MISSING")</f>
        <v>ICSM</v>
      </c>
      <c r="I151">
        <f>IFERROR(VLOOKUP(A151,'From DB'!A:K,11,FALSE),"MISSING")</f>
        <v>25</v>
      </c>
      <c r="K151" t="str">
        <f t="shared" si="2"/>
        <v/>
      </c>
      <c r="L151" t="str">
        <f>VLOOKUP(A151,new_list!A:E,5,FALSE)</f>
        <v>Generator</v>
      </c>
    </row>
    <row r="152" spans="1:12">
      <c r="A152" t="s">
        <v>429</v>
      </c>
      <c r="B152" t="s">
        <v>2729</v>
      </c>
      <c r="C152">
        <v>220</v>
      </c>
      <c r="D152" t="s">
        <v>1085</v>
      </c>
      <c r="E152" t="s">
        <v>2730</v>
      </c>
      <c r="F152">
        <v>0.97499999999999998</v>
      </c>
      <c r="G152">
        <v>0.97829999999999995</v>
      </c>
      <c r="H152" t="str">
        <f>IFERROR(VLOOKUP(A152,final!D:D,1,FALSE),"MISSING")</f>
        <v>JLA01</v>
      </c>
      <c r="I152">
        <f>IFERROR(VLOOKUP(A152,'From DB'!A:K,11,FALSE),"MISSING")</f>
        <v>51</v>
      </c>
      <c r="K152" t="str">
        <f t="shared" si="2"/>
        <v/>
      </c>
      <c r="L152" t="str">
        <f>VLOOKUP(A152,new_list!A:E,5,FALSE)</f>
        <v>Generator</v>
      </c>
    </row>
    <row r="153" spans="1:12">
      <c r="A153" t="s">
        <v>431</v>
      </c>
      <c r="B153" t="s">
        <v>2731</v>
      </c>
      <c r="C153">
        <v>220</v>
      </c>
      <c r="D153" t="s">
        <v>1087</v>
      </c>
      <c r="E153" t="s">
        <v>2730</v>
      </c>
      <c r="F153">
        <v>0.97499999999999998</v>
      </c>
      <c r="G153">
        <v>0.97829999999999995</v>
      </c>
      <c r="H153" t="str">
        <f>IFERROR(VLOOKUP(A153,final!D:D,1,FALSE),"MISSING")</f>
        <v>JLA02</v>
      </c>
      <c r="I153">
        <f>IFERROR(VLOOKUP(A153,'From DB'!A:K,11,FALSE),"MISSING")</f>
        <v>51</v>
      </c>
      <c r="K153" t="str">
        <f t="shared" si="2"/>
        <v/>
      </c>
      <c r="L153" t="str">
        <f>VLOOKUP(A153,new_list!A:E,5,FALSE)</f>
        <v>Generator</v>
      </c>
    </row>
    <row r="154" spans="1:12">
      <c r="A154" t="s">
        <v>432</v>
      </c>
      <c r="B154" t="s">
        <v>2732</v>
      </c>
      <c r="C154">
        <v>220</v>
      </c>
      <c r="D154" t="s">
        <v>1088</v>
      </c>
      <c r="E154" t="s">
        <v>2730</v>
      </c>
      <c r="F154">
        <v>0.97499999999999998</v>
      </c>
      <c r="G154">
        <v>0.97829999999999995</v>
      </c>
      <c r="H154" t="str">
        <f>IFERROR(VLOOKUP(A154,final!D:D,1,FALSE),"MISSING")</f>
        <v>JLA03</v>
      </c>
      <c r="I154">
        <f>IFERROR(VLOOKUP(A154,'From DB'!A:K,11,FALSE),"MISSING")</f>
        <v>51</v>
      </c>
      <c r="K154" t="str">
        <f t="shared" si="2"/>
        <v/>
      </c>
      <c r="L154" t="str">
        <f>VLOOKUP(A154,new_list!A:E,5,FALSE)</f>
        <v>Generator</v>
      </c>
    </row>
    <row r="155" spans="1:12">
      <c r="A155" t="s">
        <v>433</v>
      </c>
      <c r="B155" t="s">
        <v>2733</v>
      </c>
      <c r="C155">
        <v>220</v>
      </c>
      <c r="D155" t="s">
        <v>1089</v>
      </c>
      <c r="E155" t="s">
        <v>2730</v>
      </c>
      <c r="F155">
        <v>0.97499999999999998</v>
      </c>
      <c r="G155">
        <v>0.97829999999999995</v>
      </c>
      <c r="H155" t="str">
        <f>IFERROR(VLOOKUP(A155,final!D:D,1,FALSE),"MISSING")</f>
        <v>JLA04</v>
      </c>
      <c r="I155">
        <f>IFERROR(VLOOKUP(A155,'From DB'!A:K,11,FALSE),"MISSING")</f>
        <v>51</v>
      </c>
      <c r="K155" t="str">
        <f t="shared" si="2"/>
        <v/>
      </c>
      <c r="L155" t="str">
        <f>VLOOKUP(A155,new_list!A:E,5,FALSE)</f>
        <v>Generator</v>
      </c>
    </row>
    <row r="156" spans="1:12">
      <c r="A156" t="s">
        <v>434</v>
      </c>
      <c r="B156" t="s">
        <v>2734</v>
      </c>
      <c r="C156">
        <v>220</v>
      </c>
      <c r="D156" t="s">
        <v>1091</v>
      </c>
      <c r="E156" t="s">
        <v>2730</v>
      </c>
      <c r="F156">
        <v>0.97499999999999998</v>
      </c>
      <c r="G156">
        <v>0.97829999999999995</v>
      </c>
      <c r="H156" t="str">
        <f>IFERROR(VLOOKUP(A156,final!D:D,1,FALSE),"MISSING")</f>
        <v>JLB01</v>
      </c>
      <c r="I156">
        <f>IFERROR(VLOOKUP(A156,'From DB'!A:K,11,FALSE),"MISSING")</f>
        <v>76</v>
      </c>
      <c r="K156" t="str">
        <f t="shared" si="2"/>
        <v/>
      </c>
      <c r="L156" t="str">
        <f>VLOOKUP(A156,new_list!A:E,5,FALSE)</f>
        <v>Generator</v>
      </c>
    </row>
    <row r="157" spans="1:12">
      <c r="A157" t="s">
        <v>436</v>
      </c>
      <c r="B157" t="s">
        <v>2735</v>
      </c>
      <c r="C157">
        <v>220</v>
      </c>
      <c r="D157" t="s">
        <v>1092</v>
      </c>
      <c r="E157" t="s">
        <v>2730</v>
      </c>
      <c r="F157">
        <v>0.97499999999999998</v>
      </c>
      <c r="G157">
        <v>0.97829999999999995</v>
      </c>
      <c r="H157" t="str">
        <f>IFERROR(VLOOKUP(A157,final!D:D,1,FALSE),"MISSING")</f>
        <v>JLB02</v>
      </c>
      <c r="I157">
        <f>IFERROR(VLOOKUP(A157,'From DB'!A:K,11,FALSE),"MISSING")</f>
        <v>76</v>
      </c>
      <c r="K157" t="str">
        <f t="shared" si="2"/>
        <v/>
      </c>
      <c r="L157" t="str">
        <f>VLOOKUP(A157,new_list!A:E,5,FALSE)</f>
        <v>Generator</v>
      </c>
    </row>
    <row r="158" spans="1:12">
      <c r="A158" t="s">
        <v>437</v>
      </c>
      <c r="B158" t="s">
        <v>2736</v>
      </c>
      <c r="C158">
        <v>220</v>
      </c>
      <c r="D158" t="s">
        <v>1093</v>
      </c>
      <c r="E158" t="s">
        <v>2730</v>
      </c>
      <c r="F158">
        <v>0.97499999999999998</v>
      </c>
      <c r="G158">
        <v>0.97829999999999995</v>
      </c>
      <c r="H158" t="str">
        <f>IFERROR(VLOOKUP(A158,final!D:D,1,FALSE),"MISSING")</f>
        <v>JLB03</v>
      </c>
      <c r="I158">
        <f>IFERROR(VLOOKUP(A158,'From DB'!A:K,11,FALSE),"MISSING")</f>
        <v>76</v>
      </c>
      <c r="K158" t="str">
        <f t="shared" si="2"/>
        <v/>
      </c>
      <c r="L158" t="str">
        <f>VLOOKUP(A158,new_list!A:E,5,FALSE)</f>
        <v>Generator</v>
      </c>
    </row>
    <row r="159" spans="1:12">
      <c r="A159" t="s">
        <v>438</v>
      </c>
      <c r="B159" t="s">
        <v>2611</v>
      </c>
      <c r="C159">
        <v>66</v>
      </c>
      <c r="D159" t="s">
        <v>2612</v>
      </c>
      <c r="E159" t="s">
        <v>2581</v>
      </c>
      <c r="F159">
        <v>0.98699999999999999</v>
      </c>
      <c r="G159">
        <v>1.0306999999999999</v>
      </c>
      <c r="H159" t="str">
        <f>IFERROR(VLOOKUP(A159,final!D:D,1,FALSE),"MISSING")</f>
        <v>MISSING</v>
      </c>
      <c r="I159">
        <f>IFERROR(VLOOKUP(A159,'From DB'!A:K,11,FALSE),"MISSING")</f>
        <v>1.1000000000000001</v>
      </c>
      <c r="K159" t="str">
        <f t="shared" si="2"/>
        <v/>
      </c>
      <c r="L159" t="str">
        <f>VLOOKUP(A159,new_list!A:E,5,FALSE)</f>
        <v>Generator</v>
      </c>
    </row>
    <row r="160" spans="1:12">
      <c r="A160" t="s">
        <v>427</v>
      </c>
      <c r="B160" t="s">
        <v>3036</v>
      </c>
      <c r="C160">
        <v>220</v>
      </c>
      <c r="D160" t="s">
        <v>1000</v>
      </c>
      <c r="E160" t="s">
        <v>3037</v>
      </c>
      <c r="F160">
        <v>0.93579999999999997</v>
      </c>
      <c r="G160">
        <v>0.9365</v>
      </c>
      <c r="H160" t="str">
        <f>IFERROR(VLOOKUP(A160,final!D:D,1,FALSE),"MISSING")</f>
        <v>JBUTTERS</v>
      </c>
      <c r="I160">
        <f>IFERROR(VLOOKUP(A160,'From DB'!A:K,11,FALSE),"MISSING")</f>
        <v>144</v>
      </c>
      <c r="K160" t="str">
        <f t="shared" si="2"/>
        <v/>
      </c>
      <c r="L160" t="str">
        <f>VLOOKUP(A160,new_list!A:E,5,FALSE)</f>
        <v>Generator</v>
      </c>
    </row>
    <row r="161" spans="1:12">
      <c r="A161" t="s">
        <v>440</v>
      </c>
      <c r="B161" t="s">
        <v>2613</v>
      </c>
      <c r="C161">
        <v>66</v>
      </c>
      <c r="D161" t="s">
        <v>2614</v>
      </c>
      <c r="E161" t="s">
        <v>2516</v>
      </c>
      <c r="F161">
        <v>0.99409999999999998</v>
      </c>
      <c r="G161">
        <v>1.0438000000000001</v>
      </c>
      <c r="H161" t="str">
        <f>IFERROR(VLOOKUP(A161,final!D:D,1,FALSE),"MISSING")</f>
        <v>JOUNAMA1</v>
      </c>
      <c r="I161">
        <f>IFERROR(VLOOKUP(A161,'From DB'!A:K,11,FALSE),"MISSING")</f>
        <v>14</v>
      </c>
      <c r="K161" t="str">
        <f t="shared" si="2"/>
        <v/>
      </c>
      <c r="L161" t="str">
        <f>VLOOKUP(A161,new_list!A:E,5,FALSE)</f>
        <v>Generator</v>
      </c>
    </row>
    <row r="162" spans="1:12">
      <c r="A162" t="s">
        <v>620</v>
      </c>
      <c r="B162" t="s">
        <v>2500</v>
      </c>
      <c r="C162">
        <v>330</v>
      </c>
      <c r="D162" t="s">
        <v>1217</v>
      </c>
      <c r="E162" t="s">
        <v>2501</v>
      </c>
      <c r="F162">
        <v>0.98050000000000004</v>
      </c>
      <c r="G162">
        <v>0.99809999999999999</v>
      </c>
      <c r="H162" t="str">
        <f>IFERROR(VLOOKUP(A162,final!D:D,1,FALSE),"MISSING")</f>
        <v>SHGEN</v>
      </c>
      <c r="I162">
        <f>IFERROR(VLOOKUP(A162,'From DB'!A:K,11,FALSE),"MISSING")</f>
        <v>240</v>
      </c>
      <c r="K162" t="str">
        <f t="shared" si="2"/>
        <v/>
      </c>
      <c r="L162" t="str">
        <f>VLOOKUP(A162,new_list!A:E,5,FALSE)</f>
        <v>Generator</v>
      </c>
    </row>
    <row r="163" spans="1:12">
      <c r="A163" t="s">
        <v>623</v>
      </c>
      <c r="B163" t="s">
        <v>2502</v>
      </c>
      <c r="C163">
        <v>330</v>
      </c>
      <c r="D163" t="s">
        <v>1219</v>
      </c>
      <c r="E163" t="s">
        <v>2501</v>
      </c>
      <c r="F163">
        <v>0.99819999999999998</v>
      </c>
      <c r="G163">
        <v>1.0137</v>
      </c>
      <c r="H163" t="str">
        <f>IFERROR(VLOOKUP(A163,final!D:D,1,FALSE),"MISSING")</f>
        <v>MISSING</v>
      </c>
      <c r="I163">
        <f>IFERROR(VLOOKUP(A163,'From DB'!A:K,11,FALSE),"MISSING")</f>
        <v>240</v>
      </c>
      <c r="K163" t="str">
        <f t="shared" si="2"/>
        <v>NEED TO FIND</v>
      </c>
      <c r="L163" t="str">
        <f>VLOOKUP(A163,new_list!A:E,5,FALSE)</f>
        <v>Load</v>
      </c>
    </row>
    <row r="164" spans="1:12">
      <c r="A164" t="s">
        <v>2855</v>
      </c>
      <c r="B164" t="s">
        <v>2854</v>
      </c>
      <c r="C164">
        <v>66</v>
      </c>
      <c r="D164" t="s">
        <v>2856</v>
      </c>
      <c r="E164" t="s">
        <v>2857</v>
      </c>
      <c r="F164">
        <v>0.7903</v>
      </c>
      <c r="G164">
        <v>0.94720000000000004</v>
      </c>
      <c r="H164" t="str">
        <f>IFERROR(VLOOKUP(A164,final!D:D,1,FALSE),"MISSING")</f>
        <v>KARSF1</v>
      </c>
      <c r="I164" t="str">
        <f>IFERROR(VLOOKUP(A164,'From DB'!A:K,11,FALSE),"MISSING")</f>
        <v>MISSING</v>
      </c>
      <c r="K164" t="str">
        <f t="shared" si="2"/>
        <v/>
      </c>
      <c r="L164" t="str">
        <f>VLOOKUP(A164,new_list!A:E,5,FALSE)</f>
        <v>Generator</v>
      </c>
    </row>
    <row r="165" spans="1:12">
      <c r="A165" t="s">
        <v>442</v>
      </c>
      <c r="B165" t="s">
        <v>2282</v>
      </c>
      <c r="C165">
        <v>132</v>
      </c>
      <c r="D165" t="s">
        <v>1303</v>
      </c>
      <c r="E165" t="s">
        <v>2283</v>
      </c>
      <c r="F165">
        <v>0.92700000000000005</v>
      </c>
      <c r="G165">
        <v>0.95230000000000004</v>
      </c>
      <c r="H165" t="str">
        <f>IFERROR(VLOOKUP(A165,final!D:D,1,FALSE),"MISSING")</f>
        <v>KAREEYA1</v>
      </c>
      <c r="I165">
        <f>IFERROR(VLOOKUP(A165,'From DB'!A:K,11,FALSE),"MISSING")</f>
        <v>21</v>
      </c>
      <c r="K165" t="str">
        <f t="shared" si="2"/>
        <v/>
      </c>
      <c r="L165" t="str">
        <f>VLOOKUP(A165,new_list!A:E,5,FALSE)</f>
        <v>Generator</v>
      </c>
    </row>
    <row r="166" spans="1:12">
      <c r="A166" t="s">
        <v>444</v>
      </c>
      <c r="B166" t="s">
        <v>2284</v>
      </c>
      <c r="C166">
        <v>132</v>
      </c>
      <c r="D166" t="s">
        <v>1305</v>
      </c>
      <c r="E166" t="s">
        <v>2283</v>
      </c>
      <c r="F166">
        <v>0.92700000000000005</v>
      </c>
      <c r="G166">
        <v>0.95230000000000004</v>
      </c>
      <c r="H166" t="str">
        <f>IFERROR(VLOOKUP(A166,final!D:D,1,FALSE),"MISSING")</f>
        <v>KAREEYA2</v>
      </c>
      <c r="I166">
        <f>IFERROR(VLOOKUP(A166,'From DB'!A:K,11,FALSE),"MISSING")</f>
        <v>21</v>
      </c>
      <c r="K166" t="str">
        <f t="shared" si="2"/>
        <v/>
      </c>
      <c r="L166" t="str">
        <f>VLOOKUP(A166,new_list!A:E,5,FALSE)</f>
        <v>Generator</v>
      </c>
    </row>
    <row r="167" spans="1:12">
      <c r="A167" t="s">
        <v>445</v>
      </c>
      <c r="B167" t="s">
        <v>2285</v>
      </c>
      <c r="C167">
        <v>132</v>
      </c>
      <c r="D167" t="s">
        <v>1306</v>
      </c>
      <c r="E167" t="s">
        <v>2283</v>
      </c>
      <c r="F167">
        <v>0.92700000000000005</v>
      </c>
      <c r="G167">
        <v>0.95230000000000004</v>
      </c>
      <c r="H167" t="str">
        <f>IFERROR(VLOOKUP(A167,final!D:D,1,FALSE),"MISSING")</f>
        <v>KAREEYA3</v>
      </c>
      <c r="I167">
        <f>IFERROR(VLOOKUP(A167,'From DB'!A:K,11,FALSE),"MISSING")</f>
        <v>21</v>
      </c>
      <c r="K167" t="str">
        <f t="shared" si="2"/>
        <v/>
      </c>
      <c r="L167" t="str">
        <f>VLOOKUP(A167,new_list!A:E,5,FALSE)</f>
        <v>Generator</v>
      </c>
    </row>
    <row r="168" spans="1:12">
      <c r="A168" t="s">
        <v>446</v>
      </c>
      <c r="B168" t="s">
        <v>2286</v>
      </c>
      <c r="C168">
        <v>132</v>
      </c>
      <c r="D168" t="s">
        <v>1307</v>
      </c>
      <c r="E168" t="s">
        <v>2283</v>
      </c>
      <c r="F168">
        <v>0.92700000000000005</v>
      </c>
      <c r="G168">
        <v>0.95230000000000004</v>
      </c>
      <c r="H168" t="str">
        <f>IFERROR(VLOOKUP(A168,final!D:D,1,FALSE),"MISSING")</f>
        <v>KAREEYA4</v>
      </c>
      <c r="I168">
        <f>IFERROR(VLOOKUP(A168,'From DB'!A:K,11,FALSE),"MISSING")</f>
        <v>21</v>
      </c>
      <c r="K168" t="str">
        <f t="shared" si="2"/>
        <v/>
      </c>
      <c r="L168" t="str">
        <f>VLOOKUP(A168,new_list!A:E,5,FALSE)</f>
        <v>Generator</v>
      </c>
    </row>
    <row r="169" spans="1:12">
      <c r="A169" t="s">
        <v>448</v>
      </c>
      <c r="B169" t="s">
        <v>2615</v>
      </c>
      <c r="C169">
        <v>66</v>
      </c>
      <c r="D169" t="s">
        <v>2616</v>
      </c>
      <c r="E169" t="s">
        <v>2616</v>
      </c>
      <c r="F169">
        <v>0.98140000000000005</v>
      </c>
      <c r="G169">
        <v>0.95789999999999997</v>
      </c>
      <c r="H169" t="str">
        <f>IFERROR(VLOOKUP(A169,final!D:D,1,FALSE),"MISSING")</f>
        <v>MISSING</v>
      </c>
      <c r="I169">
        <f>IFERROR(VLOOKUP(A169,'From DB'!A:K,11,FALSE),"MISSING")</f>
        <v>6</v>
      </c>
      <c r="K169" t="str">
        <f t="shared" si="2"/>
        <v/>
      </c>
      <c r="L169" t="str">
        <f>VLOOKUP(A169,new_list!A:E,5,FALSE)</f>
        <v>Generator</v>
      </c>
    </row>
    <row r="170" spans="1:12">
      <c r="A170" t="s">
        <v>2741</v>
      </c>
      <c r="B170" t="s">
        <v>2740</v>
      </c>
      <c r="C170">
        <v>66</v>
      </c>
      <c r="D170" t="s">
        <v>2742</v>
      </c>
      <c r="E170" t="s">
        <v>2743</v>
      </c>
      <c r="F170">
        <v>0.89429999999999998</v>
      </c>
      <c r="G170">
        <v>0.99109999999999998</v>
      </c>
      <c r="H170" t="str">
        <f>IFERROR(VLOOKUP(A170,final!D:D,1,FALSE),"MISSING")</f>
        <v>KIATAWF1</v>
      </c>
      <c r="I170" t="str">
        <f>IFERROR(VLOOKUP(A170,'From DB'!A:K,11,FALSE),"MISSING")</f>
        <v>MISSING</v>
      </c>
      <c r="K170" t="str">
        <f t="shared" si="2"/>
        <v/>
      </c>
      <c r="L170" t="str">
        <f>VLOOKUP(A170,new_list!A:E,5,FALSE)</f>
        <v>Generator</v>
      </c>
    </row>
    <row r="171" spans="1:12">
      <c r="A171" t="s">
        <v>2288</v>
      </c>
      <c r="B171" t="s">
        <v>2287</v>
      </c>
      <c r="C171">
        <v>132</v>
      </c>
      <c r="D171" t="s">
        <v>2289</v>
      </c>
      <c r="E171" t="s">
        <v>2281</v>
      </c>
      <c r="F171">
        <v>0.86280000000000001</v>
      </c>
      <c r="G171">
        <v>0.88419999999999999</v>
      </c>
      <c r="H171" t="str">
        <f>IFERROR(VLOOKUP(A171,final!D:D,1,FALSE),"MISSING")</f>
        <v>KSP1</v>
      </c>
      <c r="I171" t="str">
        <f>IFERROR(VLOOKUP(A171,'From DB'!A:K,11,FALSE),"MISSING")</f>
        <v>MISSING</v>
      </c>
      <c r="K171" t="str">
        <f t="shared" si="2"/>
        <v/>
      </c>
      <c r="L171" t="str">
        <f>VLOOKUP(A171,new_list!A:E,5,FALSE)</f>
        <v>Generator</v>
      </c>
    </row>
    <row r="172" spans="1:12">
      <c r="A172" t="s">
        <v>450</v>
      </c>
      <c r="B172" t="s">
        <v>2617</v>
      </c>
      <c r="C172">
        <v>66</v>
      </c>
      <c r="D172" t="s">
        <v>2618</v>
      </c>
      <c r="E172" t="s">
        <v>2619</v>
      </c>
      <c r="F172">
        <v>1.0025999999999999</v>
      </c>
      <c r="G172">
        <v>1.0011000000000001</v>
      </c>
      <c r="H172" t="str">
        <f>IFERROR(VLOOKUP(A172,final!D:D,1,FALSE),"MISSING")</f>
        <v>MISSING</v>
      </c>
      <c r="I172">
        <f>IFERROR(VLOOKUP(A172,'From DB'!A:K,11,FALSE),"MISSING")</f>
        <v>1.0640000000000001</v>
      </c>
      <c r="K172" t="str">
        <f t="shared" si="2"/>
        <v/>
      </c>
      <c r="L172" t="str">
        <f>VLOOKUP(A172,new_list!A:E,5,FALSE)</f>
        <v>Generator</v>
      </c>
    </row>
    <row r="173" spans="1:12">
      <c r="A173" t="s">
        <v>453</v>
      </c>
      <c r="B173" t="s">
        <v>2290</v>
      </c>
      <c r="C173">
        <v>275</v>
      </c>
      <c r="D173" t="s">
        <v>1375</v>
      </c>
      <c r="E173" t="s">
        <v>2291</v>
      </c>
      <c r="F173">
        <v>0.96870000000000001</v>
      </c>
      <c r="G173">
        <v>0.97430000000000005</v>
      </c>
      <c r="H173" t="str">
        <f>IFERROR(VLOOKUP(A173,final!D:D,1,FALSE),"MISSING")</f>
        <v>KPP_1</v>
      </c>
      <c r="I173">
        <f>IFERROR(VLOOKUP(A173,'From DB'!A:K,11,FALSE),"MISSING")</f>
        <v>744</v>
      </c>
      <c r="K173" t="str">
        <f t="shared" si="2"/>
        <v/>
      </c>
      <c r="L173" t="str">
        <f>VLOOKUP(A173,new_list!A:E,5,FALSE)</f>
        <v>Generator</v>
      </c>
    </row>
    <row r="174" spans="1:12">
      <c r="A174" t="s">
        <v>447</v>
      </c>
      <c r="B174" t="s">
        <v>2292</v>
      </c>
      <c r="C174">
        <v>132</v>
      </c>
      <c r="D174" t="s">
        <v>2293</v>
      </c>
      <c r="E174" t="s">
        <v>2283</v>
      </c>
      <c r="F174">
        <v>0.92700000000000005</v>
      </c>
      <c r="G174">
        <v>0.95230000000000004</v>
      </c>
      <c r="H174" t="str">
        <f>IFERROR(VLOOKUP(A174,final!D:D,1,FALSE),"MISSING")</f>
        <v>MISSING</v>
      </c>
      <c r="I174">
        <f>IFERROR(VLOOKUP(A174,'From DB'!A:K,11,FALSE),"MISSING")</f>
        <v>7</v>
      </c>
      <c r="K174" t="str">
        <f t="shared" si="2"/>
        <v/>
      </c>
      <c r="L174" t="str">
        <f>VLOOKUP(A174,new_list!A:E,5,FALSE)</f>
        <v>Generator</v>
      </c>
    </row>
    <row r="175" spans="1:12">
      <c r="A175" t="s">
        <v>455</v>
      </c>
      <c r="B175" t="s">
        <v>2927</v>
      </c>
      <c r="C175">
        <v>132</v>
      </c>
      <c r="D175" t="s">
        <v>922</v>
      </c>
      <c r="E175" t="s">
        <v>2928</v>
      </c>
      <c r="F175">
        <v>0.98699999999999999</v>
      </c>
      <c r="G175">
        <v>0.94740000000000002</v>
      </c>
      <c r="H175" t="str">
        <f>IFERROR(VLOOKUP(A175,final!D:D,1,FALSE),"MISSING")</f>
        <v>LADBROK1</v>
      </c>
      <c r="I175">
        <f>IFERROR(VLOOKUP(A175,'From DB'!A:K,11,FALSE),"MISSING")</f>
        <v>40</v>
      </c>
      <c r="K175" t="str">
        <f t="shared" si="2"/>
        <v/>
      </c>
      <c r="L175" t="str">
        <f>VLOOKUP(A175,new_list!A:E,5,FALSE)</f>
        <v>Generator</v>
      </c>
    </row>
    <row r="176" spans="1:12">
      <c r="A176" t="s">
        <v>457</v>
      </c>
      <c r="B176" t="s">
        <v>2929</v>
      </c>
      <c r="C176">
        <v>132</v>
      </c>
      <c r="D176" t="s">
        <v>924</v>
      </c>
      <c r="E176" t="s">
        <v>2928</v>
      </c>
      <c r="F176">
        <v>0.98699999999999999</v>
      </c>
      <c r="G176">
        <v>0.94740000000000002</v>
      </c>
      <c r="H176" t="str">
        <f>IFERROR(VLOOKUP(A176,final!D:D,1,FALSE),"MISSING")</f>
        <v>LADBROK2</v>
      </c>
      <c r="I176">
        <f>IFERROR(VLOOKUP(A176,'From DB'!A:K,11,FALSE),"MISSING")</f>
        <v>40</v>
      </c>
      <c r="K176" t="str">
        <f t="shared" si="2"/>
        <v/>
      </c>
      <c r="L176" t="str">
        <f>VLOOKUP(A176,new_list!A:E,5,FALSE)</f>
        <v>Generator</v>
      </c>
    </row>
    <row r="177" spans="1:12">
      <c r="A177" t="s">
        <v>471</v>
      </c>
      <c r="B177" t="s">
        <v>472</v>
      </c>
      <c r="C177">
        <v>33</v>
      </c>
      <c r="D177" t="s">
        <v>933</v>
      </c>
      <c r="E177" t="s">
        <v>2930</v>
      </c>
      <c r="F177">
        <v>0.9597</v>
      </c>
      <c r="G177">
        <v>0.91439999999999999</v>
      </c>
      <c r="H177" t="str">
        <f>IFERROR(VLOOKUP(A177,final!D:D,1,FALSE),"MISSING")</f>
        <v>LKBONNY1</v>
      </c>
      <c r="I177">
        <f>IFERROR(VLOOKUP(A177,'From DB'!A:K,11,FALSE),"MISSING")</f>
        <v>80.5</v>
      </c>
      <c r="K177" t="str">
        <f t="shared" si="2"/>
        <v/>
      </c>
      <c r="L177" t="str">
        <f>VLOOKUP(A177,new_list!A:E,5,FALSE)</f>
        <v>Generator</v>
      </c>
    </row>
    <row r="178" spans="1:12">
      <c r="A178" t="s">
        <v>473</v>
      </c>
      <c r="B178" t="s">
        <v>2931</v>
      </c>
      <c r="C178">
        <v>33</v>
      </c>
      <c r="D178" t="s">
        <v>2932</v>
      </c>
      <c r="E178" t="s">
        <v>2930</v>
      </c>
      <c r="F178">
        <v>0.9597</v>
      </c>
      <c r="G178">
        <v>0.91439999999999999</v>
      </c>
      <c r="H178" t="str">
        <f>IFERROR(VLOOKUP(A178,final!D:D,1,FALSE),"MISSING")</f>
        <v>LKBONNY2</v>
      </c>
      <c r="I178">
        <f>IFERROR(VLOOKUP(A178,'From DB'!A:K,11,FALSE),"MISSING")</f>
        <v>159</v>
      </c>
      <c r="K178" t="str">
        <f t="shared" si="2"/>
        <v/>
      </c>
      <c r="L178" t="str">
        <f>VLOOKUP(A178,new_list!A:E,5,FALSE)</f>
        <v>Generator</v>
      </c>
    </row>
    <row r="179" spans="1:12">
      <c r="A179" t="s">
        <v>475</v>
      </c>
      <c r="B179" t="s">
        <v>2933</v>
      </c>
      <c r="C179">
        <v>33</v>
      </c>
      <c r="D179" t="s">
        <v>2934</v>
      </c>
      <c r="E179" t="s">
        <v>2930</v>
      </c>
      <c r="F179">
        <v>0.9597</v>
      </c>
      <c r="G179">
        <v>0.91439999999999999</v>
      </c>
      <c r="H179" t="str">
        <f>IFERROR(VLOOKUP(A179,final!D:D,1,FALSE),"MISSING")</f>
        <v>LKBONNY3</v>
      </c>
      <c r="I179">
        <f>IFERROR(VLOOKUP(A179,'From DB'!A:K,11,FALSE),"MISSING")</f>
        <v>39</v>
      </c>
      <c r="K179" t="str">
        <f t="shared" si="2"/>
        <v/>
      </c>
      <c r="L179" t="str">
        <f>VLOOKUP(A179,new_list!A:E,5,FALSE)</f>
        <v>Generator</v>
      </c>
    </row>
    <row r="180" spans="1:12">
      <c r="A180" t="s">
        <v>469</v>
      </c>
      <c r="B180" t="s">
        <v>3038</v>
      </c>
      <c r="C180">
        <v>110</v>
      </c>
      <c r="D180" t="s">
        <v>1006</v>
      </c>
      <c r="E180" t="s">
        <v>3039</v>
      </c>
      <c r="F180">
        <v>0.92689999999999995</v>
      </c>
      <c r="G180">
        <v>0.9385</v>
      </c>
      <c r="H180" t="str">
        <f>IFERROR(VLOOKUP(A180,final!D:D,1,FALSE),"MISSING")</f>
        <v>LK_ECHO</v>
      </c>
      <c r="I180">
        <f>IFERROR(VLOOKUP(A180,'From DB'!A:K,11,FALSE),"MISSING")</f>
        <v>32.4</v>
      </c>
      <c r="K180" t="str">
        <f t="shared" si="2"/>
        <v/>
      </c>
      <c r="L180" t="str">
        <f>VLOOKUP(A180,new_list!A:E,5,FALSE)</f>
        <v>Generator</v>
      </c>
    </row>
    <row r="181" spans="1:12">
      <c r="A181" t="s">
        <v>477</v>
      </c>
      <c r="B181" t="s">
        <v>2744</v>
      </c>
      <c r="C181">
        <v>220</v>
      </c>
      <c r="D181" t="s">
        <v>2745</v>
      </c>
      <c r="E181" t="s">
        <v>2746</v>
      </c>
      <c r="F181">
        <v>0.99650000000000005</v>
      </c>
      <c r="G181">
        <v>1.0018</v>
      </c>
      <c r="H181" t="str">
        <f>IFERROR(VLOOKUP(A181,final!D:D,1,FALSE),"MISSING")</f>
        <v>LNGS1</v>
      </c>
      <c r="I181">
        <f>IFERROR(VLOOKUP(A181,'From DB'!A:K,11,FALSE),"MISSING")</f>
        <v>156</v>
      </c>
      <c r="K181" t="str">
        <f t="shared" si="2"/>
        <v/>
      </c>
      <c r="L181" t="str">
        <f>VLOOKUP(A181,new_list!A:E,5,FALSE)</f>
        <v>Generator</v>
      </c>
    </row>
    <row r="182" spans="1:12">
      <c r="A182" t="s">
        <v>478</v>
      </c>
      <c r="B182" t="s">
        <v>2747</v>
      </c>
      <c r="C182">
        <v>220</v>
      </c>
      <c r="D182" t="s">
        <v>2748</v>
      </c>
      <c r="E182" t="s">
        <v>2746</v>
      </c>
      <c r="F182">
        <v>0.99650000000000005</v>
      </c>
      <c r="G182">
        <v>1.0018</v>
      </c>
      <c r="H182" t="str">
        <f>IFERROR(VLOOKUP(A182,final!D:D,1,FALSE),"MISSING")</f>
        <v>LNGS2</v>
      </c>
      <c r="I182">
        <f>IFERROR(VLOOKUP(A182,'From DB'!A:K,11,FALSE),"MISSING")</f>
        <v>156</v>
      </c>
      <c r="K182" t="str">
        <f t="shared" si="2"/>
        <v/>
      </c>
      <c r="L182" t="str">
        <f>VLOOKUP(A182,new_list!A:E,5,FALSE)</f>
        <v>Generator</v>
      </c>
    </row>
    <row r="183" spans="1:12">
      <c r="A183" t="s">
        <v>465</v>
      </c>
      <c r="B183" t="s">
        <v>3040</v>
      </c>
      <c r="C183">
        <v>220</v>
      </c>
      <c r="D183" t="s">
        <v>971</v>
      </c>
      <c r="E183" t="s">
        <v>3041</v>
      </c>
      <c r="F183">
        <v>0.96860000000000002</v>
      </c>
      <c r="G183">
        <v>0.97009999999999996</v>
      </c>
      <c r="H183" t="str">
        <f>IFERROR(VLOOKUP(A183,final!D:D,1,FALSE),"MISSING")</f>
        <v>LEM_WIL</v>
      </c>
      <c r="I183">
        <f>IFERROR(VLOOKUP(A183,'From DB'!A:K,11,FALSE),"MISSING")</f>
        <v>81.599999999999994</v>
      </c>
      <c r="K183" t="str">
        <f t="shared" si="2"/>
        <v/>
      </c>
      <c r="L183" t="str">
        <f>VLOOKUP(A183,new_list!A:E,5,FALSE)</f>
        <v>Generator</v>
      </c>
    </row>
    <row r="184" spans="1:12">
      <c r="A184" t="s">
        <v>467</v>
      </c>
      <c r="B184" t="s">
        <v>3042</v>
      </c>
      <c r="C184">
        <v>220</v>
      </c>
      <c r="D184" t="s">
        <v>1015</v>
      </c>
      <c r="E184" t="s">
        <v>3025</v>
      </c>
      <c r="F184">
        <v>0.99239999999999995</v>
      </c>
      <c r="G184">
        <v>0.99770000000000003</v>
      </c>
      <c r="H184" t="str">
        <f>IFERROR(VLOOKUP(A184,final!D:D,1,FALSE),"MISSING")</f>
        <v>LI_WY_CA</v>
      </c>
      <c r="I184">
        <f>IFERROR(VLOOKUP(A184,'From DB'!A:K,11,FALSE),"MISSING")</f>
        <v>170.1</v>
      </c>
      <c r="K184" t="str">
        <f t="shared" si="2"/>
        <v/>
      </c>
      <c r="L184" t="str">
        <f>VLOOKUP(A184,new_list!A:E,5,FALSE)</f>
        <v>Generator</v>
      </c>
    </row>
    <row r="185" spans="1:12">
      <c r="A185" t="s">
        <v>409</v>
      </c>
      <c r="B185" t="s">
        <v>2620</v>
      </c>
      <c r="C185">
        <v>33</v>
      </c>
      <c r="D185" t="s">
        <v>1180</v>
      </c>
      <c r="E185" t="s">
        <v>2621</v>
      </c>
      <c r="F185">
        <v>0.96389999999999998</v>
      </c>
      <c r="G185">
        <v>0.95960000000000001</v>
      </c>
      <c r="H185" t="str">
        <f>IFERROR(VLOOKUP(A185,final!D:D,1,FALSE),"MISSING")</f>
        <v>HVGTS</v>
      </c>
      <c r="I185">
        <f>IFERROR(VLOOKUP(A185,'From DB'!A:K,11,FALSE),"MISSING")</f>
        <v>50</v>
      </c>
      <c r="K185" t="str">
        <f t="shared" si="2"/>
        <v/>
      </c>
      <c r="L185" t="str">
        <f>VLOOKUP(A185,new_list!A:E,5,FALSE)</f>
        <v>Generator</v>
      </c>
    </row>
    <row r="186" spans="1:12">
      <c r="A186" t="s">
        <v>460</v>
      </c>
      <c r="B186" t="s">
        <v>2507</v>
      </c>
      <c r="C186">
        <v>330</v>
      </c>
      <c r="D186" t="s">
        <v>1167</v>
      </c>
      <c r="E186" t="s">
        <v>2506</v>
      </c>
      <c r="F186">
        <v>0.95720000000000005</v>
      </c>
      <c r="G186">
        <v>0.95369999999999999</v>
      </c>
      <c r="H186" t="str">
        <f>IFERROR(VLOOKUP(A186,final!D:D,1,FALSE),"MISSING")</f>
        <v>LD01</v>
      </c>
      <c r="I186">
        <f>IFERROR(VLOOKUP(A186,'From DB'!A:K,11,FALSE),"MISSING")</f>
        <v>500</v>
      </c>
      <c r="K186" t="str">
        <f t="shared" si="2"/>
        <v/>
      </c>
      <c r="L186" t="str">
        <f>VLOOKUP(A186,new_list!A:E,5,FALSE)</f>
        <v>Generator</v>
      </c>
    </row>
    <row r="187" spans="1:12">
      <c r="A187" t="s">
        <v>462</v>
      </c>
      <c r="B187" t="s">
        <v>2508</v>
      </c>
      <c r="C187">
        <v>330</v>
      </c>
      <c r="D187" t="s">
        <v>1170</v>
      </c>
      <c r="E187" t="s">
        <v>2506</v>
      </c>
      <c r="F187">
        <v>0.95720000000000005</v>
      </c>
      <c r="G187">
        <v>0.95369999999999999</v>
      </c>
      <c r="H187" t="str">
        <f>IFERROR(VLOOKUP(A187,final!D:D,1,FALSE),"MISSING")</f>
        <v>LD02</v>
      </c>
      <c r="I187">
        <f>IFERROR(VLOOKUP(A187,'From DB'!A:K,11,FALSE),"MISSING")</f>
        <v>500</v>
      </c>
      <c r="K187" t="str">
        <f t="shared" si="2"/>
        <v/>
      </c>
      <c r="L187" t="str">
        <f>VLOOKUP(A187,new_list!A:E,5,FALSE)</f>
        <v>Generator</v>
      </c>
    </row>
    <row r="188" spans="1:12">
      <c r="A188" t="s">
        <v>463</v>
      </c>
      <c r="B188" t="s">
        <v>2509</v>
      </c>
      <c r="C188">
        <v>330</v>
      </c>
      <c r="D188" t="s">
        <v>1171</v>
      </c>
      <c r="E188" t="s">
        <v>2506</v>
      </c>
      <c r="F188">
        <v>0.95720000000000005</v>
      </c>
      <c r="G188">
        <v>0.95369999999999999</v>
      </c>
      <c r="H188" t="str">
        <f>IFERROR(VLOOKUP(A188,final!D:D,1,FALSE),"MISSING")</f>
        <v>LD03</v>
      </c>
      <c r="I188">
        <f>IFERROR(VLOOKUP(A188,'From DB'!A:K,11,FALSE),"MISSING")</f>
        <v>500</v>
      </c>
      <c r="K188" t="str">
        <f t="shared" ref="K188:K243" si="3">IF(AND(H188="MISSING",OR(I188="MISSING",I188&gt;10),J188=""),"NEED TO FIND","")</f>
        <v/>
      </c>
      <c r="L188" t="str">
        <f>VLOOKUP(A188,new_list!A:E,5,FALSE)</f>
        <v>Generator</v>
      </c>
    </row>
    <row r="189" spans="1:12">
      <c r="A189" t="s">
        <v>464</v>
      </c>
      <c r="B189" t="s">
        <v>2510</v>
      </c>
      <c r="C189">
        <v>330</v>
      </c>
      <c r="D189" t="s">
        <v>1172</v>
      </c>
      <c r="E189" t="s">
        <v>2506</v>
      </c>
      <c r="F189">
        <v>0.95720000000000005</v>
      </c>
      <c r="G189">
        <v>0.95369999999999999</v>
      </c>
      <c r="H189" t="str">
        <f>IFERROR(VLOOKUP(A189,final!D:D,1,FALSE),"MISSING")</f>
        <v>LD04</v>
      </c>
      <c r="I189">
        <f>IFERROR(VLOOKUP(A189,'From DB'!A:K,11,FALSE),"MISSING")</f>
        <v>500</v>
      </c>
      <c r="K189" t="str">
        <f t="shared" si="3"/>
        <v/>
      </c>
      <c r="L189" t="str">
        <f>VLOOKUP(A189,new_list!A:E,5,FALSE)</f>
        <v>Generator</v>
      </c>
    </row>
    <row r="190" spans="1:12">
      <c r="A190" t="s">
        <v>2295</v>
      </c>
      <c r="B190" t="s">
        <v>2294</v>
      </c>
      <c r="C190">
        <v>132</v>
      </c>
      <c r="D190" t="s">
        <v>2296</v>
      </c>
      <c r="E190" t="s">
        <v>2297</v>
      </c>
      <c r="F190">
        <v>0.86819999999999997</v>
      </c>
      <c r="G190">
        <v>0.88549999999999995</v>
      </c>
      <c r="H190" t="str">
        <f>IFERROR(VLOOKUP(A190,final!D:D,1,FALSE),"MISSING")</f>
        <v>LILYSF1</v>
      </c>
      <c r="I190" t="str">
        <f>IFERROR(VLOOKUP(A190,'From DB'!A:K,11,FALSE),"MISSING")</f>
        <v>MISSING</v>
      </c>
      <c r="K190" t="str">
        <f t="shared" si="3"/>
        <v/>
      </c>
      <c r="L190" t="str">
        <f>VLOOKUP(A190,new_list!A:E,5,FALSE)</f>
        <v>Generator</v>
      </c>
    </row>
    <row r="191" spans="1:12">
      <c r="A191" t="s">
        <v>2936</v>
      </c>
      <c r="B191" t="s">
        <v>2935</v>
      </c>
      <c r="C191">
        <v>275</v>
      </c>
      <c r="D191" t="s">
        <v>2937</v>
      </c>
      <c r="E191" t="s">
        <v>2938</v>
      </c>
      <c r="F191">
        <v>0.99099999999999999</v>
      </c>
      <c r="G191">
        <v>0.99470000000000003</v>
      </c>
      <c r="H191" t="str">
        <f>IFERROR(VLOOKUP(A191,final!D:D,1,FALSE),"MISSING")</f>
        <v>LGAPWF1</v>
      </c>
      <c r="I191" t="str">
        <f>IFERROR(VLOOKUP(A191,'From DB'!A:K,11,FALSE),"MISSING")</f>
        <v>MISSING</v>
      </c>
      <c r="K191" t="str">
        <f t="shared" si="3"/>
        <v/>
      </c>
      <c r="L191" t="str">
        <f>VLOOKUP(A191,new_list!A:E,5,FALSE)</f>
        <v>Generator</v>
      </c>
    </row>
    <row r="192" spans="1:12">
      <c r="A192" t="s">
        <v>425</v>
      </c>
      <c r="B192" t="s">
        <v>2622</v>
      </c>
      <c r="C192">
        <v>132</v>
      </c>
      <c r="D192" t="s">
        <v>2623</v>
      </c>
      <c r="E192" t="s">
        <v>2596</v>
      </c>
      <c r="F192">
        <v>1.0015000000000001</v>
      </c>
      <c r="G192">
        <v>1.0033000000000001</v>
      </c>
      <c r="H192" t="str">
        <f>IFERROR(VLOOKUP(A192,final!D:D,1,FALSE),"MISSING")</f>
        <v>MISSING</v>
      </c>
      <c r="I192">
        <f>IFERROR(VLOOKUP(A192,'From DB'!A:K,11,FALSE),"MISSING")</f>
        <v>2.2999999999999998</v>
      </c>
      <c r="K192" t="str">
        <f t="shared" si="3"/>
        <v/>
      </c>
      <c r="L192" t="str">
        <f>VLOOKUP(A192,new_list!A:E,5,FALSE)</f>
        <v>Generator</v>
      </c>
    </row>
    <row r="193" spans="1:12">
      <c r="A193" t="s">
        <v>479</v>
      </c>
      <c r="B193" t="s">
        <v>2858</v>
      </c>
      <c r="C193">
        <v>66</v>
      </c>
      <c r="D193" t="s">
        <v>2859</v>
      </c>
      <c r="E193" t="s">
        <v>2816</v>
      </c>
      <c r="F193">
        <v>0.99470000000000003</v>
      </c>
      <c r="G193">
        <v>0.9879</v>
      </c>
      <c r="H193" t="str">
        <f>IFERROR(VLOOKUP(A193,final!D:D,1,FALSE),"MISSING")</f>
        <v>LONGFORD</v>
      </c>
      <c r="I193">
        <f>IFERROR(VLOOKUP(A193,'From DB'!A:K,11,FALSE),"MISSING")</f>
        <v>44</v>
      </c>
      <c r="K193" t="str">
        <f t="shared" si="3"/>
        <v/>
      </c>
      <c r="L193" t="e">
        <f>VLOOKUP(A193,new_list!A:E,5,FALSE)</f>
        <v>#N/A</v>
      </c>
    </row>
    <row r="194" spans="1:12">
      <c r="A194" t="s">
        <v>2386</v>
      </c>
      <c r="B194" t="s">
        <v>2385</v>
      </c>
      <c r="C194">
        <v>132</v>
      </c>
      <c r="D194" t="s">
        <v>2387</v>
      </c>
      <c r="E194" t="s">
        <v>2221</v>
      </c>
      <c r="F194">
        <v>0.86860000000000004</v>
      </c>
      <c r="G194">
        <v>0.89339999999999997</v>
      </c>
      <c r="H194" t="str">
        <f>IFERROR(VLOOKUP(A194,final!D:D,1,FALSE),"MISSING")</f>
        <v>LRSF1</v>
      </c>
      <c r="I194" t="str">
        <f>IFERROR(VLOOKUP(A194,'From DB'!A:K,11,FALSE),"MISSING")</f>
        <v>MISSING</v>
      </c>
      <c r="K194" t="str">
        <f t="shared" si="3"/>
        <v/>
      </c>
      <c r="L194" t="str">
        <f>VLOOKUP(A194,new_list!A:E,5,FALSE)</f>
        <v>Generator</v>
      </c>
    </row>
    <row r="195" spans="1:12">
      <c r="A195" t="s">
        <v>696</v>
      </c>
      <c r="B195" t="s">
        <v>2511</v>
      </c>
      <c r="C195">
        <v>330</v>
      </c>
      <c r="D195" t="s">
        <v>1265</v>
      </c>
      <c r="E195" t="s">
        <v>2512</v>
      </c>
      <c r="F195">
        <v>0.93889999999999996</v>
      </c>
      <c r="G195">
        <v>0.99539999999999995</v>
      </c>
      <c r="H195" t="str">
        <f>IFERROR(VLOOKUP(A195,final!D:D,1,FALSE),"MISSING")</f>
        <v>TUMUT3</v>
      </c>
      <c r="I195">
        <f>IFERROR(VLOOKUP(A195,'From DB'!A:K,11,FALSE),"MISSING")</f>
        <v>1500</v>
      </c>
      <c r="K195" t="str">
        <f t="shared" si="3"/>
        <v/>
      </c>
      <c r="L195" t="str">
        <f>VLOOKUP(A195,new_list!A:E,5,FALSE)</f>
        <v>Generator</v>
      </c>
    </row>
    <row r="196" spans="1:12">
      <c r="A196" t="s">
        <v>2518</v>
      </c>
      <c r="B196" t="s">
        <v>2517</v>
      </c>
      <c r="C196">
        <v>330</v>
      </c>
      <c r="D196" t="s">
        <v>2519</v>
      </c>
      <c r="E196" t="s">
        <v>2512</v>
      </c>
      <c r="F196">
        <v>1.0167999999999999</v>
      </c>
      <c r="G196">
        <v>1.0545</v>
      </c>
      <c r="H196" t="str">
        <f>IFERROR(VLOOKUP(A196,final!D:D,1,FALSE),"MISSING")</f>
        <v>MISSING</v>
      </c>
      <c r="I196" t="str">
        <f>IFERROR(VLOOKUP(A196,'From DB'!A:K,11,FALSE),"MISSING")</f>
        <v>MISSING</v>
      </c>
      <c r="K196" t="str">
        <f t="shared" si="3"/>
        <v>NEED TO FIND</v>
      </c>
      <c r="L196" t="str">
        <f>VLOOKUP(A196,new_list!A:E,5,FALSE)</f>
        <v>Load</v>
      </c>
    </row>
    <row r="197" spans="1:12">
      <c r="A197" t="s">
        <v>489</v>
      </c>
      <c r="B197" t="s">
        <v>2753</v>
      </c>
      <c r="C197">
        <v>500</v>
      </c>
      <c r="D197" t="s">
        <v>1066</v>
      </c>
      <c r="E197" t="s">
        <v>2752</v>
      </c>
      <c r="F197">
        <v>0.97640000000000005</v>
      </c>
      <c r="G197">
        <v>0.9798</v>
      </c>
      <c r="H197" t="str">
        <f>IFERROR(VLOOKUP(A197,final!D:D,1,FALSE),"MISSING")</f>
        <v>LYA1</v>
      </c>
      <c r="I197">
        <f>IFERROR(VLOOKUP(A197,'From DB'!A:K,11,FALSE),"MISSING")</f>
        <v>560</v>
      </c>
      <c r="K197" t="str">
        <f t="shared" si="3"/>
        <v/>
      </c>
      <c r="L197" t="str">
        <f>VLOOKUP(A197,new_list!A:E,5,FALSE)</f>
        <v>Generator</v>
      </c>
    </row>
    <row r="198" spans="1:12">
      <c r="A198" t="s">
        <v>491</v>
      </c>
      <c r="B198" t="s">
        <v>2754</v>
      </c>
      <c r="C198">
        <v>500</v>
      </c>
      <c r="D198" t="s">
        <v>1068</v>
      </c>
      <c r="E198" t="s">
        <v>2752</v>
      </c>
      <c r="F198">
        <v>0.97640000000000005</v>
      </c>
      <c r="G198">
        <v>0.9798</v>
      </c>
      <c r="H198" t="str">
        <f>IFERROR(VLOOKUP(A198,final!D:D,1,FALSE),"MISSING")</f>
        <v>LYA2</v>
      </c>
      <c r="I198">
        <f>IFERROR(VLOOKUP(A198,'From DB'!A:K,11,FALSE),"MISSING")</f>
        <v>530</v>
      </c>
      <c r="K198" t="str">
        <f t="shared" si="3"/>
        <v/>
      </c>
      <c r="L198" t="str">
        <f>VLOOKUP(A198,new_list!A:E,5,FALSE)</f>
        <v>Generator</v>
      </c>
    </row>
    <row r="199" spans="1:12">
      <c r="A199" t="s">
        <v>492</v>
      </c>
      <c r="B199" t="s">
        <v>2755</v>
      </c>
      <c r="C199">
        <v>500</v>
      </c>
      <c r="D199" t="s">
        <v>1069</v>
      </c>
      <c r="E199" t="s">
        <v>2752</v>
      </c>
      <c r="F199">
        <v>0.97640000000000005</v>
      </c>
      <c r="G199">
        <v>0.9798</v>
      </c>
      <c r="H199" t="str">
        <f>IFERROR(VLOOKUP(A199,final!D:D,1,FALSE),"MISSING")</f>
        <v>LYA3</v>
      </c>
      <c r="I199">
        <f>IFERROR(VLOOKUP(A199,'From DB'!A:K,11,FALSE),"MISSING")</f>
        <v>560</v>
      </c>
      <c r="K199" t="str">
        <f t="shared" si="3"/>
        <v/>
      </c>
      <c r="L199" t="str">
        <f>VLOOKUP(A199,new_list!A:E,5,FALSE)</f>
        <v>Generator</v>
      </c>
    </row>
    <row r="200" spans="1:12">
      <c r="A200" t="s">
        <v>493</v>
      </c>
      <c r="B200" t="s">
        <v>2756</v>
      </c>
      <c r="C200">
        <v>500</v>
      </c>
      <c r="D200" t="s">
        <v>1070</v>
      </c>
      <c r="E200" t="s">
        <v>2752</v>
      </c>
      <c r="F200">
        <v>0.97640000000000005</v>
      </c>
      <c r="G200">
        <v>0.9798</v>
      </c>
      <c r="H200" t="str">
        <f>IFERROR(VLOOKUP(A200,final!D:D,1,FALSE),"MISSING")</f>
        <v>LYA4</v>
      </c>
      <c r="I200">
        <f>IFERROR(VLOOKUP(A200,'From DB'!A:K,11,FALSE),"MISSING")</f>
        <v>560</v>
      </c>
      <c r="K200" t="str">
        <f t="shared" si="3"/>
        <v/>
      </c>
      <c r="L200" t="str">
        <f>VLOOKUP(A200,new_list!A:E,5,FALSE)</f>
        <v>Generator</v>
      </c>
    </row>
    <row r="201" spans="1:12">
      <c r="A201" t="s">
        <v>483</v>
      </c>
      <c r="B201" t="s">
        <v>2757</v>
      </c>
      <c r="C201">
        <v>500</v>
      </c>
      <c r="D201" t="s">
        <v>1073</v>
      </c>
      <c r="E201" t="s">
        <v>2752</v>
      </c>
      <c r="F201">
        <v>0.97640000000000005</v>
      </c>
      <c r="G201">
        <v>0.9798</v>
      </c>
      <c r="H201" t="str">
        <f>IFERROR(VLOOKUP(A201,final!D:D,1,FALSE),"MISSING")</f>
        <v>LOYYB1</v>
      </c>
      <c r="I201">
        <f>IFERROR(VLOOKUP(A201,'From DB'!A:K,11,FALSE),"MISSING")</f>
        <v>500</v>
      </c>
      <c r="K201" t="str">
        <f t="shared" si="3"/>
        <v/>
      </c>
      <c r="L201" t="str">
        <f>VLOOKUP(A201,new_list!A:E,5,FALSE)</f>
        <v>Generator</v>
      </c>
    </row>
    <row r="202" spans="1:12">
      <c r="A202" t="s">
        <v>485</v>
      </c>
      <c r="B202" t="s">
        <v>2758</v>
      </c>
      <c r="C202">
        <v>500</v>
      </c>
      <c r="D202" t="s">
        <v>1075</v>
      </c>
      <c r="E202" t="s">
        <v>2752</v>
      </c>
      <c r="F202">
        <v>0.97640000000000005</v>
      </c>
      <c r="G202">
        <v>0.9798</v>
      </c>
      <c r="H202" t="str">
        <f>IFERROR(VLOOKUP(A202,final!D:D,1,FALSE),"MISSING")</f>
        <v>LOYYB2</v>
      </c>
      <c r="I202">
        <f>IFERROR(VLOOKUP(A202,'From DB'!A:K,11,FALSE),"MISSING")</f>
        <v>500</v>
      </c>
      <c r="K202" t="str">
        <f t="shared" si="3"/>
        <v/>
      </c>
      <c r="L202" t="str">
        <f>VLOOKUP(A202,new_list!A:E,5,FALSE)</f>
        <v>Generator</v>
      </c>
    </row>
    <row r="203" spans="1:12">
      <c r="A203" t="s">
        <v>488</v>
      </c>
      <c r="B203" t="s">
        <v>2624</v>
      </c>
      <c r="C203">
        <v>132</v>
      </c>
      <c r="D203" t="s">
        <v>2625</v>
      </c>
      <c r="E203" t="s">
        <v>2626</v>
      </c>
      <c r="F203">
        <v>1.0024</v>
      </c>
      <c r="G203">
        <v>1.0036</v>
      </c>
      <c r="H203" t="str">
        <f>IFERROR(VLOOKUP(A203,final!D:D,1,FALSE),"MISSING")</f>
        <v>MISSING</v>
      </c>
      <c r="I203">
        <f>IFERROR(VLOOKUP(A203,'From DB'!A:K,11,FALSE),"MISSING")</f>
        <v>5</v>
      </c>
      <c r="K203" t="str">
        <f t="shared" si="3"/>
        <v/>
      </c>
      <c r="L203" t="str">
        <f>VLOOKUP(A203,new_list!A:E,5,FALSE)</f>
        <v>Generator</v>
      </c>
    </row>
    <row r="204" spans="1:12">
      <c r="A204" t="s">
        <v>486</v>
      </c>
      <c r="B204" t="s">
        <v>2627</v>
      </c>
      <c r="C204">
        <v>132</v>
      </c>
      <c r="D204" t="s">
        <v>2628</v>
      </c>
      <c r="E204" t="s">
        <v>2626</v>
      </c>
      <c r="F204">
        <v>1.0024</v>
      </c>
      <c r="G204">
        <v>1.0036</v>
      </c>
      <c r="H204" t="str">
        <f>IFERROR(VLOOKUP(A204,final!D:D,1,FALSE),"MISSING")</f>
        <v>LUCAS2S2</v>
      </c>
      <c r="I204">
        <f>IFERROR(VLOOKUP(A204,'From DB'!A:K,11,FALSE),"MISSING")</f>
        <v>13</v>
      </c>
      <c r="K204" t="str">
        <f t="shared" si="3"/>
        <v/>
      </c>
      <c r="L204" t="str">
        <f>VLOOKUP(A204,new_list!A:E,5,FALSE)</f>
        <v>Generator</v>
      </c>
    </row>
    <row r="205" spans="1:12">
      <c r="A205" t="s">
        <v>494</v>
      </c>
      <c r="B205" t="s">
        <v>2759</v>
      </c>
      <c r="C205">
        <v>500</v>
      </c>
      <c r="D205" t="s">
        <v>1148</v>
      </c>
      <c r="E205" t="s">
        <v>2760</v>
      </c>
      <c r="F205">
        <v>0.98209999999999997</v>
      </c>
      <c r="G205">
        <v>0.99709999999999999</v>
      </c>
      <c r="H205" t="str">
        <f>IFERROR(VLOOKUP(A205,final!D:D,1,FALSE),"MISSING")</f>
        <v>MACARTH1</v>
      </c>
      <c r="I205">
        <f>IFERROR(VLOOKUP(A205,'From DB'!A:K,11,FALSE),"MISSING")</f>
        <v>420</v>
      </c>
      <c r="K205" t="str">
        <f t="shared" si="3"/>
        <v/>
      </c>
      <c r="L205" t="str">
        <f>VLOOKUP(A205,new_list!A:E,5,FALSE)</f>
        <v>Generator</v>
      </c>
    </row>
    <row r="206" spans="1:12">
      <c r="A206" t="s">
        <v>495</v>
      </c>
      <c r="B206" t="s">
        <v>2388</v>
      </c>
      <c r="C206">
        <v>33</v>
      </c>
      <c r="D206" t="s">
        <v>1321</v>
      </c>
      <c r="E206" t="s">
        <v>1321</v>
      </c>
      <c r="F206">
        <v>0.89570000000000005</v>
      </c>
      <c r="G206">
        <v>0.88629999999999998</v>
      </c>
      <c r="H206" t="str">
        <f>IFERROR(VLOOKUP(A206,final!D:D,1,FALSE),"MISSING")</f>
        <v>MACKAYGT</v>
      </c>
      <c r="I206">
        <f>IFERROR(VLOOKUP(A206,'From DB'!A:K,11,FALSE),"MISSING")</f>
        <v>30</v>
      </c>
      <c r="K206" t="str">
        <f t="shared" si="3"/>
        <v/>
      </c>
      <c r="L206" t="str">
        <f>VLOOKUP(A206,new_list!A:E,5,FALSE)</f>
        <v>Generator</v>
      </c>
    </row>
    <row r="207" spans="1:12">
      <c r="A207" t="s">
        <v>497</v>
      </c>
      <c r="B207" t="s">
        <v>3043</v>
      </c>
      <c r="C207">
        <v>110</v>
      </c>
      <c r="D207" t="s">
        <v>986</v>
      </c>
      <c r="E207" t="s">
        <v>3044</v>
      </c>
      <c r="F207">
        <v>0.93330000000000002</v>
      </c>
      <c r="G207">
        <v>0.92820000000000003</v>
      </c>
      <c r="H207" t="str">
        <f>IFERROR(VLOOKUP(A207,final!D:D,1,FALSE),"MISSING")</f>
        <v>MACKNTSH</v>
      </c>
      <c r="I207">
        <f>IFERROR(VLOOKUP(A207,'From DB'!A:K,11,FALSE),"MISSING")</f>
        <v>79.900000000000006</v>
      </c>
      <c r="K207" t="str">
        <f t="shared" si="3"/>
        <v/>
      </c>
      <c r="L207" t="str">
        <f>VLOOKUP(A207,new_list!A:E,5,FALSE)</f>
        <v>Generator</v>
      </c>
    </row>
    <row r="208" spans="1:12">
      <c r="A208" t="s">
        <v>2630</v>
      </c>
      <c r="B208" t="s">
        <v>2629</v>
      </c>
      <c r="C208">
        <v>132</v>
      </c>
      <c r="D208" t="s">
        <v>2631</v>
      </c>
      <c r="E208" t="s">
        <v>2632</v>
      </c>
      <c r="F208">
        <v>0.98770000000000002</v>
      </c>
      <c r="G208">
        <v>0.99050000000000005</v>
      </c>
      <c r="H208" t="str">
        <f>IFERROR(VLOOKUP(A208,final!D:D,1,FALSE),"MISSING")</f>
        <v>MANSLR1</v>
      </c>
      <c r="I208" t="str">
        <f>IFERROR(VLOOKUP(A208,'From DB'!A:K,11,FALSE),"MISSING")</f>
        <v>MISSING</v>
      </c>
      <c r="K208" t="str">
        <f t="shared" si="3"/>
        <v/>
      </c>
      <c r="L208" t="str">
        <f>VLOOKUP(A208,new_list!A:E,5,FALSE)</f>
        <v>Generator</v>
      </c>
    </row>
    <row r="209" spans="1:12">
      <c r="A209" t="s">
        <v>2861</v>
      </c>
      <c r="B209" t="s">
        <v>2860</v>
      </c>
      <c r="C209">
        <v>66</v>
      </c>
      <c r="D209" t="s">
        <v>2862</v>
      </c>
      <c r="E209" t="s">
        <v>2813</v>
      </c>
      <c r="F209">
        <v>0.97</v>
      </c>
      <c r="G209">
        <v>1.0016</v>
      </c>
      <c r="H209" t="str">
        <f>IFERROR(VLOOKUP(A209,final!D:D,1,FALSE),"MISSING")</f>
        <v>MISSING</v>
      </c>
      <c r="I209" t="str">
        <f>IFERROR(VLOOKUP(A209,'From DB'!A:K,11,FALSE),"MISSING")</f>
        <v>MISSING</v>
      </c>
      <c r="K209" t="str">
        <f t="shared" si="3"/>
        <v>NEED TO FIND</v>
      </c>
      <c r="L209" t="str">
        <f>VLOOKUP(A209,new_list!A:E,5,FALSE)</f>
        <v>Generator</v>
      </c>
    </row>
    <row r="210" spans="1:12">
      <c r="A210" t="s">
        <v>501</v>
      </c>
      <c r="B210" t="s">
        <v>2761</v>
      </c>
      <c r="C210">
        <v>220</v>
      </c>
      <c r="D210" t="s">
        <v>1039</v>
      </c>
      <c r="E210" t="s">
        <v>2762</v>
      </c>
      <c r="F210">
        <v>0.94499999999999995</v>
      </c>
      <c r="G210">
        <v>0.92649999999999999</v>
      </c>
      <c r="H210" t="str">
        <f>IFERROR(VLOOKUP(A210,final!D:D,1,FALSE),"MISSING")</f>
        <v>MCKAY1</v>
      </c>
      <c r="I210">
        <f>IFERROR(VLOOKUP(A210,'From DB'!A:K,11,FALSE),"MISSING")</f>
        <v>300</v>
      </c>
      <c r="K210" t="str">
        <f t="shared" si="3"/>
        <v/>
      </c>
      <c r="L210" t="str">
        <f>VLOOKUP(A210,new_list!A:E,5,FALSE)</f>
        <v>Generator</v>
      </c>
    </row>
    <row r="211" spans="1:12">
      <c r="A211" t="s">
        <v>505</v>
      </c>
      <c r="B211" t="s">
        <v>3045</v>
      </c>
      <c r="C211">
        <v>110</v>
      </c>
      <c r="D211" t="s">
        <v>1025</v>
      </c>
      <c r="E211" t="s">
        <v>3046</v>
      </c>
      <c r="F211">
        <v>0.96750000000000003</v>
      </c>
      <c r="G211">
        <v>0.97729999999999995</v>
      </c>
      <c r="H211" t="str">
        <f>IFERROR(VLOOKUP(A211,final!D:D,1,FALSE),"MISSING")</f>
        <v>MEADOWBK</v>
      </c>
      <c r="I211">
        <f>IFERROR(VLOOKUP(A211,'From DB'!A:K,11,FALSE),"MISSING")</f>
        <v>40</v>
      </c>
      <c r="K211" t="str">
        <f t="shared" si="3"/>
        <v/>
      </c>
      <c r="L211" t="str">
        <f>VLOOKUP(A211,new_list!A:E,5,FALSE)</f>
        <v>Generator</v>
      </c>
    </row>
    <row r="212" spans="1:12">
      <c r="A212" t="s">
        <v>509</v>
      </c>
      <c r="B212" t="s">
        <v>3072</v>
      </c>
      <c r="C212">
        <v>22</v>
      </c>
      <c r="D212" t="s">
        <v>3073</v>
      </c>
      <c r="E212" t="s">
        <v>3074</v>
      </c>
      <c r="F212">
        <v>1.0045999999999999</v>
      </c>
      <c r="G212">
        <v>1.014</v>
      </c>
      <c r="H212" t="str">
        <f>IFERROR(VLOOKUP(A212,final!D:D,1,FALSE),"MISSING")</f>
        <v>MISSING</v>
      </c>
      <c r="I212">
        <f>IFERROR(VLOOKUP(A212,'From DB'!A:K,11,FALSE),"MISSING")</f>
        <v>6</v>
      </c>
      <c r="K212" t="str">
        <f t="shared" si="3"/>
        <v/>
      </c>
      <c r="L212" t="e">
        <f>VLOOKUP(A212,new_list!A:E,5,FALSE)</f>
        <v>#N/A</v>
      </c>
    </row>
    <row r="213" spans="1:12">
      <c r="A213" t="s">
        <v>532</v>
      </c>
      <c r="B213" t="s">
        <v>2298</v>
      </c>
      <c r="C213">
        <v>330</v>
      </c>
      <c r="D213" t="s">
        <v>1408</v>
      </c>
      <c r="E213" t="s">
        <v>2300</v>
      </c>
      <c r="F213">
        <v>0.97829999999999995</v>
      </c>
      <c r="G213">
        <v>0.98119999999999996</v>
      </c>
      <c r="H213" t="str">
        <f>IFERROR(VLOOKUP(A213,final!D:D,1,FALSE),"MISSING")</f>
        <v>MPP_1</v>
      </c>
      <c r="I213">
        <f>IFERROR(VLOOKUP(A213,'From DB'!A:K,11,FALSE),"MISSING")</f>
        <v>426</v>
      </c>
      <c r="K213" t="str">
        <f t="shared" si="3"/>
        <v/>
      </c>
      <c r="L213" t="str">
        <f>VLOOKUP(A213,new_list!A:E,5,FALSE)</f>
        <v>Generator</v>
      </c>
    </row>
    <row r="214" spans="1:12">
      <c r="A214" t="s">
        <v>534</v>
      </c>
      <c r="B214" t="s">
        <v>2301</v>
      </c>
      <c r="C214">
        <v>330</v>
      </c>
      <c r="D214" t="s">
        <v>1410</v>
      </c>
      <c r="E214" t="s">
        <v>2300</v>
      </c>
      <c r="F214">
        <v>0.97829999999999995</v>
      </c>
      <c r="G214">
        <v>0.98119999999999996</v>
      </c>
      <c r="H214" t="str">
        <f>IFERROR(VLOOKUP(A214,final!D:D,1,FALSE),"MISSING")</f>
        <v>MPP_2</v>
      </c>
      <c r="I214">
        <f>IFERROR(VLOOKUP(A214,'From DB'!A:K,11,FALSE),"MISSING")</f>
        <v>426</v>
      </c>
      <c r="K214" t="str">
        <f t="shared" si="3"/>
        <v/>
      </c>
      <c r="L214" t="str">
        <f>VLOOKUP(A214,new_list!A:E,5,FALSE)</f>
        <v>Generator</v>
      </c>
    </row>
    <row r="215" spans="1:12">
      <c r="A215" t="s">
        <v>511</v>
      </c>
      <c r="B215" t="s">
        <v>17</v>
      </c>
      <c r="C215">
        <v>132</v>
      </c>
      <c r="D215" t="s">
        <v>873</v>
      </c>
      <c r="E215" t="s">
        <v>873</v>
      </c>
      <c r="F215">
        <v>0.97850000000000004</v>
      </c>
      <c r="G215">
        <v>0.99419999999999997</v>
      </c>
      <c r="H215" t="str">
        <f>IFERROR(VLOOKUP(A215,final!D:D,1,FALSE),"MISSING")</f>
        <v>MINTARO</v>
      </c>
      <c r="I215">
        <f>IFERROR(VLOOKUP(A215,'From DB'!A:K,11,FALSE),"MISSING")</f>
        <v>90</v>
      </c>
      <c r="K215" t="str">
        <f t="shared" si="3"/>
        <v/>
      </c>
      <c r="L215" t="str">
        <f>VLOOKUP(A215,new_list!A:E,5,FALSE)</f>
        <v>Generator</v>
      </c>
    </row>
    <row r="216" spans="1:12">
      <c r="A216" t="s">
        <v>520</v>
      </c>
      <c r="B216" t="s">
        <v>2389</v>
      </c>
      <c r="C216">
        <v>11</v>
      </c>
      <c r="D216" t="s">
        <v>2391</v>
      </c>
      <c r="E216" t="s">
        <v>2392</v>
      </c>
      <c r="F216">
        <v>0.96160000000000001</v>
      </c>
      <c r="G216">
        <v>0.98029999999999995</v>
      </c>
      <c r="H216" t="str">
        <f>IFERROR(VLOOKUP(A216,final!D:D,1,FALSE),"MISSING")</f>
        <v>MORANBAH</v>
      </c>
      <c r="I216">
        <f>IFERROR(VLOOKUP(A216,'From DB'!A:K,11,FALSE),"MISSING")</f>
        <v>12.56</v>
      </c>
      <c r="K216" t="str">
        <f t="shared" si="3"/>
        <v/>
      </c>
      <c r="L216" t="str">
        <f>VLOOKUP(A216,new_list!A:E,5,FALSE)</f>
        <v>Generator</v>
      </c>
    </row>
    <row r="217" spans="1:12">
      <c r="A217" t="s">
        <v>499</v>
      </c>
      <c r="B217" t="s">
        <v>2393</v>
      </c>
      <c r="C217">
        <v>66</v>
      </c>
      <c r="D217" t="s">
        <v>2394</v>
      </c>
      <c r="E217" t="s">
        <v>2395</v>
      </c>
      <c r="F217">
        <v>0.96220000000000006</v>
      </c>
      <c r="G217">
        <v>0.9819</v>
      </c>
      <c r="H217" t="str">
        <f>IFERROR(VLOOKUP(A217,final!D:D,1,FALSE),"MISSING")</f>
        <v>MBAHNTH</v>
      </c>
      <c r="I217">
        <f>IFERROR(VLOOKUP(A217,'From DB'!A:K,11,FALSE),"MISSING")</f>
        <v>21</v>
      </c>
      <c r="K217" t="str">
        <f t="shared" si="3"/>
        <v/>
      </c>
      <c r="L217" t="str">
        <f>VLOOKUP(A217,new_list!A:E,5,FALSE)</f>
        <v>Generator</v>
      </c>
    </row>
    <row r="218" spans="1:12">
      <c r="A218" t="s">
        <v>522</v>
      </c>
      <c r="B218" t="s">
        <v>523</v>
      </c>
      <c r="C218">
        <v>66</v>
      </c>
      <c r="D218" t="s">
        <v>2633</v>
      </c>
      <c r="E218" t="s">
        <v>2634</v>
      </c>
      <c r="F218">
        <v>0.85499999999999998</v>
      </c>
      <c r="G218">
        <v>0.89880000000000004</v>
      </c>
      <c r="H218" t="str">
        <f>IFERROR(VLOOKUP(A218,final!D:D,1,FALSE),"MISSING")</f>
        <v>MOREESF1</v>
      </c>
      <c r="I218">
        <f>IFERROR(VLOOKUP(A218,'From DB'!A:K,11,FALSE),"MISSING")</f>
        <v>57</v>
      </c>
      <c r="K218" t="str">
        <f t="shared" si="3"/>
        <v/>
      </c>
      <c r="L218" t="str">
        <f>VLOOKUP(A218,new_list!A:E,5,FALSE)</f>
        <v>Generator</v>
      </c>
    </row>
    <row r="219" spans="1:12">
      <c r="A219" t="s">
        <v>2992</v>
      </c>
      <c r="B219" t="s">
        <v>2991</v>
      </c>
      <c r="C219">
        <v>66</v>
      </c>
      <c r="D219" t="s">
        <v>2993</v>
      </c>
      <c r="E219" t="s">
        <v>2994</v>
      </c>
      <c r="F219">
        <v>1.0055000000000001</v>
      </c>
      <c r="G219">
        <v>1.0061</v>
      </c>
      <c r="H219" t="str">
        <f>IFERROR(VLOOKUP(A219,final!D:D,1,FALSE),"MISSING")</f>
        <v>MISSING</v>
      </c>
      <c r="I219" t="str">
        <f>IFERROR(VLOOKUP(A219,'From DB'!A:K,11,FALSE),"MISSING")</f>
        <v>MISSING</v>
      </c>
      <c r="K219" t="str">
        <f t="shared" si="3"/>
        <v>NEED TO FIND</v>
      </c>
      <c r="L219" t="str">
        <f>VLOOKUP(A219,new_list!A:E,5,FALSE)</f>
        <v>Generator</v>
      </c>
    </row>
    <row r="220" spans="1:12">
      <c r="A220" t="s">
        <v>526</v>
      </c>
      <c r="B220" t="s">
        <v>2763</v>
      </c>
      <c r="C220">
        <v>500</v>
      </c>
      <c r="D220" t="s">
        <v>1151</v>
      </c>
      <c r="E220" t="s">
        <v>2764</v>
      </c>
      <c r="F220">
        <v>0.98560000000000003</v>
      </c>
      <c r="G220">
        <v>0.99609999999999999</v>
      </c>
      <c r="H220" t="str">
        <f>IFERROR(VLOOKUP(A220,final!D:D,1,FALSE),"MISSING")</f>
        <v>MORTLK11</v>
      </c>
      <c r="I220">
        <f>IFERROR(VLOOKUP(A220,'From DB'!A:K,11,FALSE),"MISSING")</f>
        <v>283</v>
      </c>
      <c r="K220" t="str">
        <f t="shared" si="3"/>
        <v/>
      </c>
      <c r="L220" t="str">
        <f>VLOOKUP(A220,new_list!A:E,5,FALSE)</f>
        <v>Generator</v>
      </c>
    </row>
    <row r="221" spans="1:12">
      <c r="A221" t="s">
        <v>528</v>
      </c>
      <c r="B221" t="s">
        <v>2765</v>
      </c>
      <c r="C221">
        <v>500</v>
      </c>
      <c r="D221" t="s">
        <v>1153</v>
      </c>
      <c r="E221" t="s">
        <v>2764</v>
      </c>
      <c r="F221">
        <v>0.98560000000000003</v>
      </c>
      <c r="G221">
        <v>0.99609999999999999</v>
      </c>
      <c r="H221" t="str">
        <f>IFERROR(VLOOKUP(A221,final!D:D,1,FALSE),"MISSING")</f>
        <v>MORTLK12</v>
      </c>
      <c r="I221">
        <f>IFERROR(VLOOKUP(A221,'From DB'!A:K,11,FALSE),"MISSING")</f>
        <v>283</v>
      </c>
      <c r="K221" t="str">
        <f t="shared" si="3"/>
        <v/>
      </c>
      <c r="L221" t="str">
        <f>VLOOKUP(A221,new_list!A:E,5,FALSE)</f>
        <v>Generator</v>
      </c>
    </row>
    <row r="222" spans="1:12">
      <c r="A222" t="s">
        <v>516</v>
      </c>
      <c r="B222" t="s">
        <v>517</v>
      </c>
      <c r="C222">
        <v>66</v>
      </c>
      <c r="D222" t="s">
        <v>1145</v>
      </c>
      <c r="E222" t="s">
        <v>2781</v>
      </c>
      <c r="F222">
        <v>0.99909999999999999</v>
      </c>
      <c r="G222">
        <v>1.0148999999999999</v>
      </c>
      <c r="H222" t="str">
        <f>IFERROR(VLOOKUP(A222,final!D:D,1,FALSE),"MISSING")</f>
        <v>MLWF1</v>
      </c>
      <c r="I222">
        <f>IFERROR(VLOOKUP(A222,'From DB'!A:K,11,FALSE),"MISSING")</f>
        <v>20</v>
      </c>
      <c r="K222" t="str">
        <f t="shared" si="3"/>
        <v/>
      </c>
      <c r="L222" t="str">
        <f>VLOOKUP(A222,new_list!A:E,5,FALSE)</f>
        <v>Generator</v>
      </c>
    </row>
    <row r="223" spans="1:12">
      <c r="A223" t="s">
        <v>2303</v>
      </c>
      <c r="B223" t="s">
        <v>2302</v>
      </c>
      <c r="C223">
        <v>275</v>
      </c>
      <c r="D223" t="s">
        <v>2304</v>
      </c>
      <c r="E223" t="s">
        <v>2305</v>
      </c>
      <c r="F223">
        <v>0.93920000000000003</v>
      </c>
      <c r="G223">
        <v>0.95150000000000001</v>
      </c>
      <c r="H223" t="str">
        <f>IFERROR(VLOOKUP(A223,final!D:D,1,FALSE),"MISSING")</f>
        <v>MEWF1</v>
      </c>
      <c r="I223" t="str">
        <f>IFERROR(VLOOKUP(A223,'From DB'!A:K,11,FALSE),"MISSING")</f>
        <v>MISSING</v>
      </c>
      <c r="K223" t="str">
        <f t="shared" si="3"/>
        <v/>
      </c>
      <c r="L223" t="str">
        <f>VLOOKUP(A223,new_list!A:E,5,FALSE)</f>
        <v>Generator</v>
      </c>
    </row>
    <row r="224" spans="1:12">
      <c r="A224" t="s">
        <v>2864</v>
      </c>
      <c r="B224" t="s">
        <v>2863</v>
      </c>
      <c r="C224">
        <v>66</v>
      </c>
      <c r="D224" t="s">
        <v>2865</v>
      </c>
      <c r="E224" t="s">
        <v>2866</v>
      </c>
      <c r="F224">
        <v>0.99</v>
      </c>
      <c r="G224">
        <v>0.99890000000000001</v>
      </c>
      <c r="H224" t="str">
        <f>IFERROR(VLOOKUP(A224,final!D:D,1,FALSE),"MISSING")</f>
        <v>MTGELWF1</v>
      </c>
      <c r="I224" t="str">
        <f>IFERROR(VLOOKUP(A224,'From DB'!A:K,11,FALSE),"MISSING")</f>
        <v>MISSING</v>
      </c>
      <c r="K224" t="str">
        <f t="shared" si="3"/>
        <v/>
      </c>
      <c r="L224" t="str">
        <f>VLOOKUP(A224,new_list!A:E,5,FALSE)</f>
        <v>Generator</v>
      </c>
    </row>
    <row r="225" spans="1:12">
      <c r="A225" t="s">
        <v>507</v>
      </c>
      <c r="B225" t="s">
        <v>2766</v>
      </c>
      <c r="C225">
        <v>220</v>
      </c>
      <c r="D225" t="s">
        <v>1131</v>
      </c>
      <c r="E225" t="s">
        <v>2767</v>
      </c>
      <c r="F225">
        <v>0.9587</v>
      </c>
      <c r="G225">
        <v>0.9909</v>
      </c>
      <c r="H225" t="str">
        <f>IFERROR(VLOOKUP(A225,final!D:D,1,FALSE),"MISSING")</f>
        <v>MERCER01</v>
      </c>
      <c r="I225">
        <f>IFERROR(VLOOKUP(A225,'From DB'!A:K,11,FALSE),"MISSING")</f>
        <v>131</v>
      </c>
      <c r="K225" t="str">
        <f t="shared" si="3"/>
        <v/>
      </c>
      <c r="L225" t="str">
        <f>VLOOKUP(A225,new_list!A:E,5,FALSE)</f>
        <v>Generator</v>
      </c>
    </row>
    <row r="226" spans="1:12">
      <c r="A226" t="s">
        <v>539</v>
      </c>
      <c r="B226" t="s">
        <v>540</v>
      </c>
      <c r="C226">
        <v>33</v>
      </c>
      <c r="D226" t="s">
        <v>822</v>
      </c>
      <c r="E226" t="s">
        <v>2939</v>
      </c>
      <c r="F226">
        <v>0.89119999999999999</v>
      </c>
      <c r="G226">
        <v>0.90549999999999997</v>
      </c>
      <c r="H226" t="str">
        <f>IFERROR(VLOOKUP(A226,final!D:D,1,FALSE),"MISSING")</f>
        <v>MTMILLAR</v>
      </c>
      <c r="I226">
        <f>IFERROR(VLOOKUP(A226,'From DB'!A:K,11,FALSE),"MISSING")</f>
        <v>70</v>
      </c>
      <c r="K226" t="str">
        <f t="shared" si="3"/>
        <v/>
      </c>
      <c r="L226" t="str">
        <f>VLOOKUP(A226,new_list!A:E,5,FALSE)</f>
        <v>Generator</v>
      </c>
    </row>
    <row r="227" spans="1:12">
      <c r="A227" t="s">
        <v>529</v>
      </c>
      <c r="B227" t="s">
        <v>2530</v>
      </c>
      <c r="C227">
        <v>330</v>
      </c>
      <c r="D227" t="s">
        <v>1206</v>
      </c>
      <c r="E227" t="s">
        <v>2529</v>
      </c>
      <c r="F227">
        <v>0.97109999999999996</v>
      </c>
      <c r="G227">
        <v>0.9738</v>
      </c>
      <c r="H227" t="str">
        <f>IFERROR(VLOOKUP(A227,final!D:D,1,FALSE),"MISSING")</f>
        <v>MP1</v>
      </c>
      <c r="I227">
        <f>IFERROR(VLOOKUP(A227,'From DB'!A:K,11,FALSE),"MISSING")</f>
        <v>700</v>
      </c>
      <c r="K227" t="str">
        <f t="shared" si="3"/>
        <v/>
      </c>
      <c r="L227" t="str">
        <f>VLOOKUP(A227,new_list!A:E,5,FALSE)</f>
        <v>Generator</v>
      </c>
    </row>
    <row r="228" spans="1:12">
      <c r="A228" t="s">
        <v>531</v>
      </c>
      <c r="B228" t="s">
        <v>2531</v>
      </c>
      <c r="C228">
        <v>330</v>
      </c>
      <c r="D228" t="s">
        <v>1208</v>
      </c>
      <c r="E228" t="s">
        <v>2529</v>
      </c>
      <c r="F228">
        <v>0.97109999999999996</v>
      </c>
      <c r="G228">
        <v>0.9738</v>
      </c>
      <c r="H228" t="str">
        <f>IFERROR(VLOOKUP(A228,final!D:D,1,FALSE),"MISSING")</f>
        <v>MP2</v>
      </c>
      <c r="I228">
        <f>IFERROR(VLOOKUP(A228,'From DB'!A:K,11,FALSE),"MISSING")</f>
        <v>700</v>
      </c>
      <c r="K228" t="str">
        <f t="shared" si="3"/>
        <v/>
      </c>
      <c r="L228" t="str">
        <f>VLOOKUP(A228,new_list!A:E,5,FALSE)</f>
        <v>Generator</v>
      </c>
    </row>
    <row r="229" spans="1:12">
      <c r="A229" t="s">
        <v>535</v>
      </c>
      <c r="B229" t="s">
        <v>2306</v>
      </c>
      <c r="C229">
        <v>132</v>
      </c>
      <c r="D229" t="s">
        <v>1312</v>
      </c>
      <c r="E229" t="s">
        <v>2307</v>
      </c>
      <c r="F229">
        <v>0.91190000000000004</v>
      </c>
      <c r="G229">
        <v>0.88419999999999999</v>
      </c>
      <c r="H229" t="str">
        <f>IFERROR(VLOOKUP(A229,final!D:D,1,FALSE),"MISSING")</f>
        <v>MSTUART1</v>
      </c>
      <c r="I229">
        <f>IFERROR(VLOOKUP(A229,'From DB'!A:K,11,FALSE),"MISSING")</f>
        <v>146</v>
      </c>
      <c r="K229" t="str">
        <f t="shared" si="3"/>
        <v/>
      </c>
      <c r="L229" t="str">
        <f>VLOOKUP(A229,new_list!A:E,5,FALSE)</f>
        <v>Generator</v>
      </c>
    </row>
    <row r="230" spans="1:12">
      <c r="A230" t="s">
        <v>537</v>
      </c>
      <c r="B230" t="s">
        <v>2308</v>
      </c>
      <c r="C230">
        <v>132</v>
      </c>
      <c r="D230" t="s">
        <v>1314</v>
      </c>
      <c r="E230" t="s">
        <v>2307</v>
      </c>
      <c r="F230">
        <v>0.91190000000000004</v>
      </c>
      <c r="G230">
        <v>0.88419999999999999</v>
      </c>
      <c r="H230" t="str">
        <f>IFERROR(VLOOKUP(A230,final!D:D,1,FALSE),"MISSING")</f>
        <v>MSTUART2</v>
      </c>
      <c r="I230">
        <f>IFERROR(VLOOKUP(A230,'From DB'!A:K,11,FALSE),"MISSING")</f>
        <v>146</v>
      </c>
      <c r="K230" t="str">
        <f t="shared" si="3"/>
        <v/>
      </c>
      <c r="L230" t="str">
        <f>VLOOKUP(A230,new_list!A:E,5,FALSE)</f>
        <v>Generator</v>
      </c>
    </row>
    <row r="231" spans="1:12">
      <c r="A231" t="s">
        <v>538</v>
      </c>
      <c r="B231" t="s">
        <v>2309</v>
      </c>
      <c r="C231">
        <v>132</v>
      </c>
      <c r="D231" t="s">
        <v>1315</v>
      </c>
      <c r="E231" t="s">
        <v>2307</v>
      </c>
      <c r="F231">
        <v>0.91190000000000004</v>
      </c>
      <c r="G231">
        <v>0.88419999999999999</v>
      </c>
      <c r="H231" t="str">
        <f>IFERROR(VLOOKUP(A231,final!D:D,1,FALSE),"MISSING")</f>
        <v>MSTUART3</v>
      </c>
      <c r="I231">
        <f>IFERROR(VLOOKUP(A231,'From DB'!A:K,11,FALSE),"MISSING")</f>
        <v>131</v>
      </c>
      <c r="K231" t="str">
        <f t="shared" si="3"/>
        <v/>
      </c>
      <c r="L231" t="str">
        <f>VLOOKUP(A231,new_list!A:E,5,FALSE)</f>
        <v>Generator</v>
      </c>
    </row>
    <row r="232" spans="1:12">
      <c r="A232" t="s">
        <v>515</v>
      </c>
      <c r="B232" t="s">
        <v>2688</v>
      </c>
      <c r="C232">
        <v>132</v>
      </c>
      <c r="D232" t="s">
        <v>2689</v>
      </c>
      <c r="E232" t="s">
        <v>2690</v>
      </c>
      <c r="F232">
        <v>0.97109999999999996</v>
      </c>
      <c r="G232">
        <v>1.02</v>
      </c>
      <c r="H232" t="str">
        <f>IFERROR(VLOOKUP(A232,final!D:D,1,FALSE),"MISSING")</f>
        <v>MLSP1</v>
      </c>
      <c r="I232">
        <f>IFERROR(VLOOKUP(A232,'From DB'!A:K,11,FALSE),"MISSING")</f>
        <v>12</v>
      </c>
      <c r="K232" t="str">
        <f t="shared" si="3"/>
        <v/>
      </c>
      <c r="L232" t="str">
        <f>VLOOKUP(A232,new_list!A:E,5,FALSE)</f>
        <v>Generator</v>
      </c>
    </row>
    <row r="233" spans="1:12">
      <c r="A233" t="s">
        <v>2770</v>
      </c>
      <c r="B233" t="s">
        <v>2769</v>
      </c>
      <c r="C233">
        <v>220</v>
      </c>
      <c r="D233" t="s">
        <v>2771</v>
      </c>
      <c r="E233" t="s">
        <v>2772</v>
      </c>
      <c r="F233">
        <v>0.85709999999999997</v>
      </c>
      <c r="G233">
        <v>0.95489999999999997</v>
      </c>
      <c r="H233" t="str">
        <f>IFERROR(VLOOKUP(A233,final!D:D,1,FALSE),"MISSING")</f>
        <v>MUWAWF1</v>
      </c>
      <c r="I233" t="str">
        <f>IFERROR(VLOOKUP(A233,'From DB'!A:K,11,FALSE),"MISSING")</f>
        <v>MISSING</v>
      </c>
      <c r="K233" t="str">
        <f t="shared" si="3"/>
        <v/>
      </c>
      <c r="L233" t="str">
        <f>VLOOKUP(A233,new_list!A:E,5,FALSE)</f>
        <v>Generator</v>
      </c>
    </row>
    <row r="234" spans="1:12">
      <c r="A234" t="s">
        <v>541</v>
      </c>
      <c r="B234" t="s">
        <v>2768</v>
      </c>
      <c r="C234">
        <v>330</v>
      </c>
      <c r="D234" t="s">
        <v>1032</v>
      </c>
      <c r="E234" t="s">
        <v>2532</v>
      </c>
      <c r="F234">
        <v>0.93489999999999995</v>
      </c>
      <c r="G234">
        <v>0.90690000000000004</v>
      </c>
      <c r="H234" t="str">
        <f>IFERROR(VLOOKUP(A234,final!D:D,1,FALSE),"MISSING")</f>
        <v>MURRAY</v>
      </c>
      <c r="I234">
        <f>IFERROR(VLOOKUP(A234,'From DB'!A:K,11,FALSE),"MISSING")</f>
        <v>1500</v>
      </c>
      <c r="K234" t="str">
        <f t="shared" si="3"/>
        <v/>
      </c>
      <c r="L234" t="str">
        <f>VLOOKUP(A234,new_list!A:E,5,FALSE)</f>
        <v>Generator</v>
      </c>
    </row>
    <row r="235" spans="1:12">
      <c r="A235" t="s">
        <v>543</v>
      </c>
      <c r="B235" t="s">
        <v>3047</v>
      </c>
      <c r="C235">
        <v>110</v>
      </c>
      <c r="D235" t="s">
        <v>954</v>
      </c>
      <c r="E235" t="s">
        <v>3048</v>
      </c>
      <c r="F235">
        <v>0.90949999999999998</v>
      </c>
      <c r="G235">
        <v>0.91049999999999998</v>
      </c>
      <c r="H235" t="str">
        <f>IFERROR(VLOOKUP(A235,final!D:D,1,FALSE),"MISSING")</f>
        <v>MUSSELR1</v>
      </c>
      <c r="I235">
        <f>IFERROR(VLOOKUP(A235,'From DB'!A:K,11,FALSE),"MISSING")</f>
        <v>168</v>
      </c>
      <c r="K235" t="str">
        <f t="shared" si="3"/>
        <v/>
      </c>
      <c r="L235" t="str">
        <f>VLOOKUP(A235,new_list!A:E,5,FALSE)</f>
        <v>Generator</v>
      </c>
    </row>
    <row r="236" spans="1:12">
      <c r="A236" t="s">
        <v>2636</v>
      </c>
      <c r="B236" t="s">
        <v>2635</v>
      </c>
      <c r="C236">
        <v>132</v>
      </c>
      <c r="D236" t="s">
        <v>2637</v>
      </c>
      <c r="E236" t="s">
        <v>2638</v>
      </c>
      <c r="F236">
        <v>0.96150000000000002</v>
      </c>
      <c r="G236">
        <v>0.9708</v>
      </c>
      <c r="H236" t="str">
        <f>IFERROR(VLOOKUP(A236,final!D:D,1,FALSE),"MISSING")</f>
        <v>NASF1</v>
      </c>
      <c r="I236" t="str">
        <f>IFERROR(VLOOKUP(A236,'From DB'!A:K,11,FALSE),"MISSING")</f>
        <v>MISSING</v>
      </c>
      <c r="K236" t="str">
        <f t="shared" si="3"/>
        <v/>
      </c>
      <c r="L236" t="str">
        <f>VLOOKUP(A236,new_list!A:E,5,FALSE)</f>
        <v>Generator</v>
      </c>
    </row>
    <row r="237" spans="1:12">
      <c r="A237" t="s">
        <v>549</v>
      </c>
      <c r="B237" t="s">
        <v>2773</v>
      </c>
      <c r="C237">
        <v>220</v>
      </c>
      <c r="D237" t="s">
        <v>1059</v>
      </c>
      <c r="E237" t="s">
        <v>1059</v>
      </c>
      <c r="F237">
        <v>0.99109999999999998</v>
      </c>
      <c r="G237">
        <v>0.99619999999999997</v>
      </c>
      <c r="H237" t="str">
        <f>IFERROR(VLOOKUP(A237,final!D:D,1,FALSE),"MISSING")</f>
        <v>NPS</v>
      </c>
      <c r="I237">
        <f>IFERROR(VLOOKUP(A237,'From DB'!A:K,11,FALSE),"MISSING")</f>
        <v>500</v>
      </c>
      <c r="K237" t="str">
        <f t="shared" si="3"/>
        <v/>
      </c>
      <c r="L237" t="str">
        <f>VLOOKUP(A237,new_list!A:E,5,FALSE)</f>
        <v>Generator</v>
      </c>
    </row>
    <row r="238" spans="1:12">
      <c r="A238" t="s">
        <v>547</v>
      </c>
      <c r="B238" t="s">
        <v>2639</v>
      </c>
      <c r="C238">
        <v>132</v>
      </c>
      <c r="D238" t="s">
        <v>2640</v>
      </c>
      <c r="E238" t="s">
        <v>2641</v>
      </c>
      <c r="F238">
        <v>1.0058</v>
      </c>
      <c r="G238">
        <v>1.0048999999999999</v>
      </c>
      <c r="H238" t="str">
        <f>IFERROR(VLOOKUP(A238,final!D:D,1,FALSE),"MISSING")</f>
        <v>MISSING</v>
      </c>
      <c r="I238">
        <f>IFERROR(VLOOKUP(A238,'From DB'!A:K,11,FALSE),"MISSING")</f>
        <v>3.2</v>
      </c>
      <c r="K238" t="str">
        <f t="shared" si="3"/>
        <v/>
      </c>
      <c r="L238" t="str">
        <f>VLOOKUP(A238,new_list!A:E,5,FALSE)</f>
        <v>Generator</v>
      </c>
    </row>
    <row r="239" spans="1:12">
      <c r="A239" t="s">
        <v>545</v>
      </c>
      <c r="B239" t="s">
        <v>546</v>
      </c>
      <c r="C239">
        <v>275</v>
      </c>
      <c r="D239" t="s">
        <v>840</v>
      </c>
      <c r="E239" t="s">
        <v>2940</v>
      </c>
      <c r="F239">
        <v>0.97030000000000005</v>
      </c>
      <c r="G239">
        <v>0.96740000000000004</v>
      </c>
      <c r="H239" t="str">
        <f>IFERROR(VLOOKUP(A239,final!D:D,1,FALSE),"MISSING")</f>
        <v>NBHWF1</v>
      </c>
      <c r="I239">
        <f>IFERROR(VLOOKUP(A239,'From DB'!A:K,11,FALSE),"MISSING")</f>
        <v>132.30000000000001</v>
      </c>
      <c r="K239" t="str">
        <f t="shared" si="3"/>
        <v/>
      </c>
      <c r="L239" t="str">
        <f>VLOOKUP(A239,new_list!A:E,5,FALSE)</f>
        <v>Generator</v>
      </c>
    </row>
    <row r="240" spans="1:12">
      <c r="A240" t="s">
        <v>554</v>
      </c>
      <c r="B240" t="s">
        <v>2642</v>
      </c>
      <c r="C240">
        <v>132</v>
      </c>
      <c r="D240" t="s">
        <v>2643</v>
      </c>
      <c r="E240" t="s">
        <v>1290</v>
      </c>
      <c r="F240">
        <v>0.98499999999999999</v>
      </c>
      <c r="G240">
        <v>0.98240000000000005</v>
      </c>
      <c r="H240" t="str">
        <f>IFERROR(VLOOKUP(A240,final!D:D,1,FALSE),"MISSING")</f>
        <v>NYNGAN1</v>
      </c>
      <c r="I240">
        <f>IFERROR(VLOOKUP(A240,'From DB'!A:K,11,FALSE),"MISSING")</f>
        <v>102</v>
      </c>
      <c r="K240" t="str">
        <f t="shared" si="3"/>
        <v/>
      </c>
      <c r="L240" t="str">
        <f>VLOOKUP(A240,new_list!A:E,5,FALSE)</f>
        <v>Generator</v>
      </c>
    </row>
    <row r="241" spans="1:12">
      <c r="A241" t="s">
        <v>561</v>
      </c>
      <c r="B241" t="s">
        <v>2941</v>
      </c>
      <c r="C241">
        <v>66</v>
      </c>
      <c r="D241" t="s">
        <v>897</v>
      </c>
      <c r="E241" t="s">
        <v>2942</v>
      </c>
      <c r="F241">
        <v>0.99970000000000003</v>
      </c>
      <c r="G241">
        <v>0.99919999999999998</v>
      </c>
      <c r="H241" t="str">
        <f>IFERROR(VLOOKUP(A241,final!D:D,1,FALSE),"MISSING")</f>
        <v>OSB-AG</v>
      </c>
      <c r="I241">
        <f>IFERROR(VLOOKUP(A241,'From DB'!A:K,11,FALSE),"MISSING")</f>
        <v>180</v>
      </c>
      <c r="K241" t="str">
        <f t="shared" si="3"/>
        <v/>
      </c>
      <c r="L241" t="str">
        <f>VLOOKUP(A241,new_list!A:E,5,FALSE)</f>
        <v>Generator</v>
      </c>
    </row>
    <row r="242" spans="1:12">
      <c r="A242" t="s">
        <v>2397</v>
      </c>
      <c r="B242" t="s">
        <v>2396</v>
      </c>
      <c r="C242">
        <v>110</v>
      </c>
      <c r="D242" t="s">
        <v>2398</v>
      </c>
      <c r="E242" t="s">
        <v>2399</v>
      </c>
      <c r="F242">
        <v>0.98199999999999998</v>
      </c>
      <c r="G242">
        <v>0.98260000000000003</v>
      </c>
      <c r="H242" t="str">
        <f>IFERROR(VLOOKUP(A242,final!D:D,1,FALSE),"MISSING")</f>
        <v>OAKEY1SF</v>
      </c>
      <c r="I242" t="str">
        <f>IFERROR(VLOOKUP(A242,'From DB'!A:K,11,FALSE),"MISSING")</f>
        <v>MISSING</v>
      </c>
      <c r="K242" t="str">
        <f t="shared" si="3"/>
        <v/>
      </c>
      <c r="L242" t="str">
        <f>VLOOKUP(A242,new_list!A:E,5,FALSE)</f>
        <v>Generator</v>
      </c>
    </row>
    <row r="243" spans="1:12">
      <c r="A243" t="s">
        <v>556</v>
      </c>
      <c r="B243" t="s">
        <v>2310</v>
      </c>
      <c r="C243">
        <v>110</v>
      </c>
      <c r="D243" t="s">
        <v>1395</v>
      </c>
      <c r="E243" t="s">
        <v>2312</v>
      </c>
      <c r="F243">
        <v>0.95740000000000003</v>
      </c>
      <c r="G243">
        <v>0.95620000000000005</v>
      </c>
      <c r="H243" t="str">
        <f>IFERROR(VLOOKUP(A243,final!D:D,1,FALSE),"MISSING")</f>
        <v>OAKEY1</v>
      </c>
      <c r="I243">
        <f>IFERROR(VLOOKUP(A243,'From DB'!A:K,11,FALSE),"MISSING")</f>
        <v>141</v>
      </c>
      <c r="K243" t="str">
        <f t="shared" si="3"/>
        <v/>
      </c>
      <c r="L243" t="str">
        <f>VLOOKUP(A243,new_list!A:E,5,FALSE)</f>
        <v>Generator</v>
      </c>
    </row>
    <row r="244" spans="1:12">
      <c r="A244" t="s">
        <v>558</v>
      </c>
      <c r="B244" t="s">
        <v>2313</v>
      </c>
      <c r="C244">
        <v>110</v>
      </c>
      <c r="D244" t="s">
        <v>1397</v>
      </c>
      <c r="E244" t="s">
        <v>2312</v>
      </c>
      <c r="F244">
        <v>0.95740000000000003</v>
      </c>
      <c r="G244">
        <v>0.95620000000000005</v>
      </c>
      <c r="H244" t="str">
        <f>IFERROR(VLOOKUP(A244,final!D:D,1,FALSE),"MISSING")</f>
        <v>OAKEY2</v>
      </c>
      <c r="I244">
        <f>IFERROR(VLOOKUP(A244,'From DB'!A:K,11,FALSE),"MISSING")</f>
        <v>141</v>
      </c>
      <c r="K244" t="str">
        <f t="shared" ref="K244:K305" si="4">IF(AND(H244="MISSING",OR(I244="MISSING",I244&gt;10),J244=""),"NEED TO FIND","")</f>
        <v/>
      </c>
      <c r="L244" t="str">
        <f>VLOOKUP(A244,new_list!A:E,5,FALSE)</f>
        <v>Generator</v>
      </c>
    </row>
    <row r="245" spans="1:12">
      <c r="A245" t="s">
        <v>559</v>
      </c>
      <c r="B245" t="s">
        <v>560</v>
      </c>
      <c r="C245">
        <v>66</v>
      </c>
      <c r="D245" t="s">
        <v>1141</v>
      </c>
      <c r="E245" t="s">
        <v>2781</v>
      </c>
      <c r="F245">
        <v>0.99909999999999999</v>
      </c>
      <c r="G245">
        <v>1.0148999999999999</v>
      </c>
      <c r="H245" t="str">
        <f>IFERROR(VLOOKUP(A245,final!D:D,1,FALSE),"MISSING")</f>
        <v>OAKLAND1</v>
      </c>
      <c r="I245">
        <f>IFERROR(VLOOKUP(A245,'From DB'!A:K,11,FALSE),"MISSING")</f>
        <v>67</v>
      </c>
      <c r="K245" t="str">
        <f t="shared" si="4"/>
        <v/>
      </c>
      <c r="L245" t="str">
        <f>VLOOKUP(A245,new_list!A:E,5,FALSE)</f>
        <v>Generator</v>
      </c>
    </row>
    <row r="246" spans="1:12">
      <c r="A246" t="s">
        <v>2404</v>
      </c>
      <c r="B246" t="s">
        <v>2403</v>
      </c>
      <c r="C246">
        <v>66</v>
      </c>
      <c r="D246" t="s">
        <v>2405</v>
      </c>
      <c r="E246" t="s">
        <v>2373</v>
      </c>
      <c r="F246">
        <v>0.93049999999999999</v>
      </c>
      <c r="G246">
        <v>0.94510000000000005</v>
      </c>
      <c r="H246" t="str">
        <f>IFERROR(VLOOKUP(A246,final!D:D,1,FALSE),"MISSING")</f>
        <v>OAKY2</v>
      </c>
      <c r="I246" t="str">
        <f>IFERROR(VLOOKUP(A246,'From DB'!A:K,11,FALSE),"MISSING")</f>
        <v>MISSING</v>
      </c>
      <c r="K246" t="str">
        <f t="shared" si="4"/>
        <v/>
      </c>
      <c r="L246" t="str">
        <f>VLOOKUP(A246,new_list!A:E,5,FALSE)</f>
        <v>Generator</v>
      </c>
    </row>
    <row r="247" spans="1:12">
      <c r="A247" t="s">
        <v>2401</v>
      </c>
      <c r="B247" t="s">
        <v>2400</v>
      </c>
      <c r="C247">
        <v>66</v>
      </c>
      <c r="D247" t="s">
        <v>2402</v>
      </c>
      <c r="E247" t="s">
        <v>2373</v>
      </c>
      <c r="F247">
        <v>0.93049999999999999</v>
      </c>
      <c r="G247">
        <v>0.94510000000000005</v>
      </c>
      <c r="H247" t="str">
        <f>IFERROR(VLOOKUP(A247,final!D:D,1,FALSE),"MISSING")</f>
        <v>OAKYCREK</v>
      </c>
      <c r="I247" t="str">
        <f>IFERROR(VLOOKUP(A247,'From DB'!A:K,11,FALSE),"MISSING")</f>
        <v>MISSING</v>
      </c>
      <c r="K247" t="str">
        <f t="shared" si="4"/>
        <v/>
      </c>
      <c r="L247" t="str">
        <f>VLOOKUP(A247,new_list!A:E,5,FALSE)</f>
        <v>Generator</v>
      </c>
    </row>
    <row r="248" spans="1:12">
      <c r="A248" t="s">
        <v>563</v>
      </c>
      <c r="B248" t="s">
        <v>3049</v>
      </c>
      <c r="C248">
        <v>110</v>
      </c>
      <c r="D248" t="s">
        <v>962</v>
      </c>
      <c r="E248" t="s">
        <v>3050</v>
      </c>
      <c r="F248">
        <v>0.96909999999999996</v>
      </c>
      <c r="G248">
        <v>0.97709999999999997</v>
      </c>
      <c r="H248" t="str">
        <f>IFERROR(VLOOKUP(A248,final!D:D,1,FALSE),"MISSING")</f>
        <v>PALOONA</v>
      </c>
      <c r="I248">
        <f>IFERROR(VLOOKUP(A248,'From DB'!A:K,11,FALSE),"MISSING")</f>
        <v>28</v>
      </c>
      <c r="K248" t="str">
        <f t="shared" si="4"/>
        <v/>
      </c>
      <c r="L248" t="str">
        <f>VLOOKUP(A248,new_list!A:E,5,FALSE)</f>
        <v>Generator</v>
      </c>
    </row>
    <row r="249" spans="1:12">
      <c r="A249" t="s">
        <v>2996</v>
      </c>
      <c r="B249" t="s">
        <v>2995</v>
      </c>
      <c r="C249">
        <v>66</v>
      </c>
      <c r="D249" t="s">
        <v>2997</v>
      </c>
      <c r="E249" t="s">
        <v>2998</v>
      </c>
      <c r="F249">
        <v>1.0012000000000001</v>
      </c>
      <c r="G249">
        <v>0.99709999999999999</v>
      </c>
      <c r="H249" t="str">
        <f>IFERROR(VLOOKUP(A249,final!D:D,1,FALSE),"MISSING")</f>
        <v>MISSING</v>
      </c>
      <c r="I249" t="str">
        <f>IFERROR(VLOOKUP(A249,'From DB'!A:K,11,FALSE),"MISSING")</f>
        <v>MISSING</v>
      </c>
      <c r="K249" t="str">
        <f t="shared" si="4"/>
        <v>NEED TO FIND</v>
      </c>
      <c r="L249" t="str">
        <f>VLOOKUP(A249,new_list!A:E,5,FALSE)</f>
        <v>Generator</v>
      </c>
    </row>
    <row r="250" spans="1:12">
      <c r="A250" t="s">
        <v>2534</v>
      </c>
      <c r="B250" t="s">
        <v>2533</v>
      </c>
      <c r="C250">
        <v>66</v>
      </c>
      <c r="D250" t="s">
        <v>2535</v>
      </c>
      <c r="E250" t="s">
        <v>2536</v>
      </c>
      <c r="F250">
        <v>0.98399999999999999</v>
      </c>
      <c r="G250">
        <v>0.99639999999999995</v>
      </c>
      <c r="H250" t="str">
        <f>IFERROR(VLOOKUP(A250,final!D:D,1,FALSE),"MISSING")</f>
        <v>PARSF1</v>
      </c>
      <c r="I250" t="str">
        <f>IFERROR(VLOOKUP(A250,'From DB'!A:K,11,FALSE),"MISSING")</f>
        <v>MISSING</v>
      </c>
      <c r="K250" t="str">
        <f t="shared" si="4"/>
        <v/>
      </c>
      <c r="L250" t="str">
        <f>VLOOKUP(A250,new_list!A:E,5,FALSE)</f>
        <v>Generator</v>
      </c>
    </row>
    <row r="251" spans="1:12">
      <c r="A251" t="s">
        <v>581</v>
      </c>
      <c r="B251" t="s">
        <v>2943</v>
      </c>
      <c r="C251">
        <v>275</v>
      </c>
      <c r="D251" t="s">
        <v>886</v>
      </c>
      <c r="E251" t="s">
        <v>886</v>
      </c>
      <c r="F251">
        <v>0.99839999999999995</v>
      </c>
      <c r="G251">
        <v>1.0004999999999999</v>
      </c>
      <c r="H251" t="str">
        <f>IFERROR(VLOOKUP(A251,final!D:D,1,FALSE),"MISSING")</f>
        <v>PPCCGT</v>
      </c>
      <c r="I251">
        <f>IFERROR(VLOOKUP(A251,'From DB'!A:K,11,FALSE),"MISSING")</f>
        <v>478</v>
      </c>
      <c r="K251" t="str">
        <f t="shared" si="4"/>
        <v/>
      </c>
      <c r="L251" t="str">
        <f>VLOOKUP(A251,new_list!A:E,5,FALSE)</f>
        <v>Generator</v>
      </c>
    </row>
    <row r="252" spans="1:12">
      <c r="A252" t="s">
        <v>573</v>
      </c>
      <c r="B252" t="s">
        <v>3051</v>
      </c>
      <c r="C252">
        <v>220</v>
      </c>
      <c r="D252" t="s">
        <v>3052</v>
      </c>
      <c r="E252" t="s">
        <v>3053</v>
      </c>
      <c r="F252">
        <v>0.98329999999999995</v>
      </c>
      <c r="G252">
        <v>0.99119999999999997</v>
      </c>
      <c r="H252" t="str">
        <f>IFERROR(VLOOKUP(A252,final!D:D,1,FALSE),"MISSING")</f>
        <v>POAT220</v>
      </c>
      <c r="I252">
        <f>IFERROR(VLOOKUP(A252,'From DB'!A:K,11,FALSE),"MISSING")</f>
        <v>200</v>
      </c>
      <c r="K252" t="str">
        <f t="shared" si="4"/>
        <v/>
      </c>
      <c r="L252" t="str">
        <f>VLOOKUP(A252,new_list!A:E,5,FALSE)</f>
        <v>Generator</v>
      </c>
    </row>
    <row r="253" spans="1:12">
      <c r="A253" t="s">
        <v>571</v>
      </c>
      <c r="B253" t="s">
        <v>3051</v>
      </c>
      <c r="C253">
        <v>110</v>
      </c>
      <c r="D253" t="s">
        <v>995</v>
      </c>
      <c r="E253" t="s">
        <v>3054</v>
      </c>
      <c r="F253">
        <v>0.96989999999999998</v>
      </c>
      <c r="G253">
        <v>0.97989999999999999</v>
      </c>
      <c r="H253" t="str">
        <f>IFERROR(VLOOKUP(A253,final!D:D,1,FALSE),"MISSING")</f>
        <v>POAT110</v>
      </c>
      <c r="I253">
        <f>IFERROR(VLOOKUP(A253,'From DB'!A:K,11,FALSE),"MISSING")</f>
        <v>100</v>
      </c>
      <c r="K253" t="str">
        <f t="shared" si="4"/>
        <v/>
      </c>
      <c r="L253" t="str">
        <f>VLOOKUP(A253,new_list!A:E,5,FALSE)</f>
        <v>Generator</v>
      </c>
    </row>
    <row r="254" spans="1:12">
      <c r="A254" t="s">
        <v>576</v>
      </c>
      <c r="B254" t="s">
        <v>2944</v>
      </c>
      <c r="C254">
        <v>33</v>
      </c>
      <c r="D254" t="s">
        <v>834</v>
      </c>
      <c r="E254" t="s">
        <v>2945</v>
      </c>
      <c r="F254">
        <v>0.95940000000000003</v>
      </c>
      <c r="G254">
        <v>1.0383</v>
      </c>
      <c r="H254" t="str">
        <f>IFERROR(VLOOKUP(A254,final!D:D,1,FALSE),"MISSING")</f>
        <v>POR03</v>
      </c>
      <c r="I254">
        <f>IFERROR(VLOOKUP(A254,'From DB'!A:K,11,FALSE),"MISSING")</f>
        <v>23.5</v>
      </c>
      <c r="K254" t="str">
        <f t="shared" si="4"/>
        <v/>
      </c>
      <c r="L254" t="str">
        <f>VLOOKUP(A254,new_list!A:E,5,FALSE)</f>
        <v>Generator</v>
      </c>
    </row>
    <row r="255" spans="1:12">
      <c r="A255" t="s">
        <v>574</v>
      </c>
      <c r="B255" t="s">
        <v>5</v>
      </c>
      <c r="C255">
        <v>132</v>
      </c>
      <c r="D255" t="s">
        <v>829</v>
      </c>
      <c r="E255" t="s">
        <v>2946</v>
      </c>
      <c r="F255">
        <v>0.95669999999999999</v>
      </c>
      <c r="G255">
        <v>0.96909999999999996</v>
      </c>
      <c r="H255" t="str">
        <f>IFERROR(VLOOKUP(A255,final!D:D,1,FALSE),"MISSING")</f>
        <v>POR01</v>
      </c>
      <c r="I255">
        <f>IFERROR(VLOOKUP(A255,'From DB'!A:K,11,FALSE),"MISSING")</f>
        <v>50</v>
      </c>
      <c r="K255" t="str">
        <f t="shared" si="4"/>
        <v/>
      </c>
      <c r="L255" t="str">
        <f>VLOOKUP(A255,new_list!A:E,5,FALSE)</f>
        <v>Generator</v>
      </c>
    </row>
    <row r="256" spans="1:12">
      <c r="A256" t="s">
        <v>583</v>
      </c>
      <c r="B256" t="s">
        <v>2999</v>
      </c>
      <c r="C256">
        <v>66</v>
      </c>
      <c r="D256" t="s">
        <v>3000</v>
      </c>
      <c r="E256" t="s">
        <v>2990</v>
      </c>
      <c r="F256">
        <v>1.0061</v>
      </c>
      <c r="G256">
        <v>1.0067999999999999</v>
      </c>
      <c r="H256" t="str">
        <f>IFERROR(VLOOKUP(A256,final!D:D,1,FALSE),"MISSING")</f>
        <v>PTSTAN1</v>
      </c>
      <c r="I256">
        <f>IFERROR(VLOOKUP(A256,'From DB'!A:K,11,FALSE),"MISSING")</f>
        <v>58</v>
      </c>
      <c r="K256" t="str">
        <f t="shared" si="4"/>
        <v/>
      </c>
      <c r="L256" t="str">
        <f>VLOOKUP(A256,new_list!A:E,5,FALSE)</f>
        <v>Generator</v>
      </c>
    </row>
    <row r="257" spans="1:12">
      <c r="A257" t="s">
        <v>590</v>
      </c>
      <c r="B257" t="s">
        <v>2947</v>
      </c>
      <c r="C257">
        <v>66</v>
      </c>
      <c r="D257" t="s">
        <v>890</v>
      </c>
      <c r="E257" t="s">
        <v>2948</v>
      </c>
      <c r="F257">
        <v>0.99619999999999997</v>
      </c>
      <c r="G257">
        <v>0.98540000000000005</v>
      </c>
      <c r="H257" t="str">
        <f>IFERROR(VLOOKUP(A257,final!D:D,1,FALSE),"MISSING")</f>
        <v>QPS1</v>
      </c>
      <c r="I257">
        <f>IFERROR(VLOOKUP(A257,'From DB'!A:K,11,FALSE),"MISSING")</f>
        <v>24</v>
      </c>
      <c r="K257" t="str">
        <f t="shared" si="4"/>
        <v/>
      </c>
      <c r="L257" t="str">
        <f>VLOOKUP(A257,new_list!A:E,5,FALSE)</f>
        <v>Generator</v>
      </c>
    </row>
    <row r="258" spans="1:12">
      <c r="A258" t="s">
        <v>592</v>
      </c>
      <c r="B258" t="s">
        <v>2949</v>
      </c>
      <c r="C258">
        <v>66</v>
      </c>
      <c r="D258" t="s">
        <v>892</v>
      </c>
      <c r="E258" t="s">
        <v>2948</v>
      </c>
      <c r="F258">
        <v>0.99619999999999997</v>
      </c>
      <c r="G258">
        <v>0.98540000000000005</v>
      </c>
      <c r="H258" t="str">
        <f>IFERROR(VLOOKUP(A258,final!D:D,1,FALSE),"MISSING")</f>
        <v>QPS2</v>
      </c>
      <c r="I258">
        <f>IFERROR(VLOOKUP(A258,'From DB'!A:K,11,FALSE),"MISSING")</f>
        <v>24</v>
      </c>
      <c r="K258" t="str">
        <f t="shared" si="4"/>
        <v/>
      </c>
      <c r="L258" t="str">
        <f>VLOOKUP(A258,new_list!A:E,5,FALSE)</f>
        <v>Generator</v>
      </c>
    </row>
    <row r="259" spans="1:12">
      <c r="A259" t="s">
        <v>593</v>
      </c>
      <c r="B259" t="s">
        <v>2950</v>
      </c>
      <c r="C259">
        <v>66</v>
      </c>
      <c r="D259" t="s">
        <v>893</v>
      </c>
      <c r="E259" t="s">
        <v>2948</v>
      </c>
      <c r="F259">
        <v>0.99619999999999997</v>
      </c>
      <c r="G259">
        <v>0.98540000000000005</v>
      </c>
      <c r="H259" t="str">
        <f>IFERROR(VLOOKUP(A259,final!D:D,1,FALSE),"MISSING")</f>
        <v>QPS3</v>
      </c>
      <c r="I259">
        <f>IFERROR(VLOOKUP(A259,'From DB'!A:K,11,FALSE),"MISSING")</f>
        <v>24</v>
      </c>
      <c r="K259" t="str">
        <f t="shared" si="4"/>
        <v/>
      </c>
      <c r="L259" t="str">
        <f>VLOOKUP(A259,new_list!A:E,5,FALSE)</f>
        <v>Generator</v>
      </c>
    </row>
    <row r="260" spans="1:12">
      <c r="A260" t="s">
        <v>594</v>
      </c>
      <c r="B260" t="s">
        <v>2951</v>
      </c>
      <c r="C260">
        <v>66</v>
      </c>
      <c r="D260" t="s">
        <v>894</v>
      </c>
      <c r="E260" t="s">
        <v>2948</v>
      </c>
      <c r="F260">
        <v>0.99619999999999997</v>
      </c>
      <c r="G260">
        <v>0.98540000000000005</v>
      </c>
      <c r="H260" t="str">
        <f>IFERROR(VLOOKUP(A260,final!D:D,1,FALSE),"MISSING")</f>
        <v>QPS4</v>
      </c>
      <c r="I260">
        <f>IFERROR(VLOOKUP(A260,'From DB'!A:K,11,FALSE),"MISSING")</f>
        <v>24</v>
      </c>
      <c r="K260" t="str">
        <f t="shared" si="4"/>
        <v/>
      </c>
      <c r="L260" t="str">
        <f>VLOOKUP(A260,new_list!A:E,5,FALSE)</f>
        <v>Generator</v>
      </c>
    </row>
    <row r="261" spans="1:12">
      <c r="A261" t="s">
        <v>595</v>
      </c>
      <c r="B261" t="s">
        <v>2952</v>
      </c>
      <c r="C261">
        <v>66</v>
      </c>
      <c r="D261" t="s">
        <v>895</v>
      </c>
      <c r="E261" t="s">
        <v>2948</v>
      </c>
      <c r="F261">
        <v>0.99619999999999997</v>
      </c>
      <c r="G261">
        <v>0.98540000000000005</v>
      </c>
      <c r="H261" t="str">
        <f>IFERROR(VLOOKUP(A261,final!D:D,1,FALSE),"MISSING")</f>
        <v>QPS5</v>
      </c>
      <c r="I261">
        <f>IFERROR(VLOOKUP(A261,'From DB'!A:K,11,FALSE),"MISSING")</f>
        <v>128</v>
      </c>
      <c r="K261" t="str">
        <f t="shared" si="4"/>
        <v/>
      </c>
      <c r="L261" t="str">
        <f>VLOOKUP(A261,new_list!A:E,5,FALSE)</f>
        <v>Generator</v>
      </c>
    </row>
    <row r="262" spans="1:12">
      <c r="A262" t="s">
        <v>598</v>
      </c>
      <c r="B262" t="s">
        <v>3055</v>
      </c>
      <c r="C262">
        <v>220</v>
      </c>
      <c r="D262" t="s">
        <v>975</v>
      </c>
      <c r="E262" t="s">
        <v>3056</v>
      </c>
      <c r="F262">
        <v>0.92959999999999998</v>
      </c>
      <c r="G262">
        <v>0.93500000000000005</v>
      </c>
      <c r="H262" t="str">
        <f>IFERROR(VLOOKUP(A262,final!D:D,1,FALSE),"MISSING")</f>
        <v>REECE1</v>
      </c>
      <c r="I262">
        <f>IFERROR(VLOOKUP(A262,'From DB'!A:K,11,FALSE),"MISSING")</f>
        <v>115.6</v>
      </c>
      <c r="K262" t="str">
        <f t="shared" si="4"/>
        <v/>
      </c>
      <c r="L262" t="str">
        <f>VLOOKUP(A262,new_list!A:E,5,FALSE)</f>
        <v>Generator</v>
      </c>
    </row>
    <row r="263" spans="1:12">
      <c r="A263" t="s">
        <v>600</v>
      </c>
      <c r="B263" t="s">
        <v>3057</v>
      </c>
      <c r="C263">
        <v>220</v>
      </c>
      <c r="D263" t="s">
        <v>978</v>
      </c>
      <c r="E263" t="s">
        <v>3058</v>
      </c>
      <c r="F263">
        <v>0.93059999999999998</v>
      </c>
      <c r="G263">
        <v>0.9264</v>
      </c>
      <c r="H263" t="str">
        <f>IFERROR(VLOOKUP(A263,final!D:D,1,FALSE),"MISSING")</f>
        <v>REECE2</v>
      </c>
      <c r="I263">
        <f>IFERROR(VLOOKUP(A263,'From DB'!A:K,11,FALSE),"MISSING")</f>
        <v>115.6</v>
      </c>
      <c r="K263" t="str">
        <f t="shared" si="4"/>
        <v/>
      </c>
      <c r="L263" t="str">
        <f>VLOOKUP(A263,new_list!A:E,5,FALSE)</f>
        <v>Generator</v>
      </c>
    </row>
    <row r="264" spans="1:12">
      <c r="A264" t="s">
        <v>601</v>
      </c>
      <c r="B264" t="s">
        <v>3075</v>
      </c>
      <c r="C264">
        <v>22</v>
      </c>
      <c r="D264" t="s">
        <v>3076</v>
      </c>
      <c r="E264" t="s">
        <v>3077</v>
      </c>
      <c r="F264">
        <v>0.99450000000000005</v>
      </c>
      <c r="G264">
        <v>0.99650000000000005</v>
      </c>
      <c r="H264" t="str">
        <f>IFERROR(VLOOKUP(A264,final!D:D,1,FALSE),"MISSING")</f>
        <v>MISSING</v>
      </c>
      <c r="I264">
        <f>IFERROR(VLOOKUP(A264,'From DB'!A:K,11,FALSE),"MISSING")</f>
        <v>2</v>
      </c>
      <c r="K264" t="str">
        <f t="shared" si="4"/>
        <v/>
      </c>
      <c r="L264" t="str">
        <f>VLOOKUP(A264,new_list!A:E,5,FALSE)</f>
        <v>Generator</v>
      </c>
    </row>
    <row r="265" spans="1:12">
      <c r="A265" t="s">
        <v>603</v>
      </c>
      <c r="B265" t="s">
        <v>3059</v>
      </c>
      <c r="C265">
        <v>220</v>
      </c>
      <c r="D265" t="s">
        <v>1023</v>
      </c>
      <c r="E265" t="s">
        <v>3029</v>
      </c>
      <c r="F265">
        <v>0.99509999999999998</v>
      </c>
      <c r="G265">
        <v>1.0019</v>
      </c>
      <c r="H265" t="str">
        <f>IFERROR(VLOOKUP(A265,final!D:D,1,FALSE),"MISSING")</f>
        <v>REPULSE</v>
      </c>
      <c r="I265">
        <f>IFERROR(VLOOKUP(A265,'From DB'!A:K,11,FALSE),"MISSING")</f>
        <v>28</v>
      </c>
      <c r="K265" t="str">
        <f t="shared" si="4"/>
        <v/>
      </c>
      <c r="L265" t="str">
        <f>VLOOKUP(A265,new_list!A:E,5,FALSE)</f>
        <v>Generator</v>
      </c>
    </row>
    <row r="266" spans="1:12">
      <c r="A266" t="s">
        <v>264</v>
      </c>
      <c r="B266" t="s">
        <v>2818</v>
      </c>
      <c r="C266">
        <v>66</v>
      </c>
      <c r="D266" t="s">
        <v>2819</v>
      </c>
      <c r="E266" t="s">
        <v>2820</v>
      </c>
      <c r="F266">
        <v>1</v>
      </c>
      <c r="G266">
        <v>1</v>
      </c>
      <c r="H266" t="str">
        <f>IFERROR(VLOOKUP(A266,final!D:D,1,FALSE),"MISSING")</f>
        <v>MISSING</v>
      </c>
      <c r="I266">
        <f>IFERROR(VLOOKUP(A266,'From DB'!A:K,11,FALSE),"MISSING")</f>
        <v>5</v>
      </c>
      <c r="K266" t="str">
        <f t="shared" si="4"/>
        <v/>
      </c>
      <c r="L266" t="str">
        <f>VLOOKUP(A266,new_list!A:E,5,FALSE)</f>
        <v>Generator</v>
      </c>
    </row>
    <row r="267" spans="1:12">
      <c r="A267" t="s">
        <v>605</v>
      </c>
      <c r="B267" t="s">
        <v>2409</v>
      </c>
      <c r="C267">
        <v>110</v>
      </c>
      <c r="D267" t="s">
        <v>2410</v>
      </c>
      <c r="E267" t="s">
        <v>2411</v>
      </c>
      <c r="F267">
        <v>1.0130999999999999</v>
      </c>
      <c r="G267">
        <v>1.0123</v>
      </c>
      <c r="H267" t="str">
        <f>IFERROR(VLOOKUP(A267,final!D:D,1,FALSE),"MISSING")</f>
        <v>MISSING</v>
      </c>
      <c r="I267">
        <f>IFERROR(VLOOKUP(A267,'From DB'!A:K,11,FALSE),"MISSING")</f>
        <v>4</v>
      </c>
      <c r="K267" t="str">
        <f t="shared" si="4"/>
        <v/>
      </c>
      <c r="L267" t="str">
        <f>VLOOKUP(A267,new_list!A:E,5,FALSE)</f>
        <v>Generator</v>
      </c>
    </row>
    <row r="268" spans="1:12">
      <c r="A268" t="s">
        <v>614</v>
      </c>
      <c r="B268" t="s">
        <v>2412</v>
      </c>
      <c r="C268">
        <v>110</v>
      </c>
      <c r="D268" t="s">
        <v>2413</v>
      </c>
      <c r="E268" t="s">
        <v>2328</v>
      </c>
      <c r="F268">
        <v>1.0126999999999999</v>
      </c>
      <c r="G268">
        <v>1.0116000000000001</v>
      </c>
      <c r="H268" t="str">
        <f>IFERROR(VLOOKUP(A268,final!D:D,1,FALSE),"MISSING")</f>
        <v>RPCG</v>
      </c>
      <c r="I268">
        <f>IFERROR(VLOOKUP(A268,'From DB'!A:K,11,FALSE),"MISSING")</f>
        <v>30</v>
      </c>
      <c r="K268" t="str">
        <f t="shared" si="4"/>
        <v/>
      </c>
      <c r="L268" t="str">
        <f>VLOOKUP(A268,new_list!A:E,5,FALSE)</f>
        <v>Generator</v>
      </c>
    </row>
    <row r="269" spans="1:12">
      <c r="A269" t="s">
        <v>353</v>
      </c>
      <c r="B269" t="s">
        <v>2414</v>
      </c>
      <c r="C269">
        <v>110</v>
      </c>
      <c r="D269" t="s">
        <v>2415</v>
      </c>
      <c r="E269" t="s">
        <v>2416</v>
      </c>
      <c r="F269">
        <v>1.0044999999999999</v>
      </c>
      <c r="G269">
        <v>1.0042</v>
      </c>
      <c r="H269" t="str">
        <f>IFERROR(VLOOKUP(A269,final!D:D,1,FALSE),"MISSING")</f>
        <v>MISSING</v>
      </c>
      <c r="I269">
        <f>IFERROR(VLOOKUP(A269,'From DB'!A:K,11,FALSE),"MISSING")</f>
        <v>2</v>
      </c>
      <c r="K269" t="str">
        <f t="shared" si="4"/>
        <v/>
      </c>
      <c r="L269" t="str">
        <f>VLOOKUP(A269,new_list!A:E,5,FALSE)</f>
        <v>Generator</v>
      </c>
    </row>
    <row r="270" spans="1:12">
      <c r="A270" t="s">
        <v>607</v>
      </c>
      <c r="B270" t="s">
        <v>2417</v>
      </c>
      <c r="C270">
        <v>132</v>
      </c>
      <c r="D270" t="s">
        <v>1359</v>
      </c>
      <c r="E270" t="s">
        <v>2418</v>
      </c>
      <c r="F270">
        <v>0.85370000000000001</v>
      </c>
      <c r="G270">
        <v>0.97289999999999999</v>
      </c>
      <c r="H270" t="str">
        <f>IFERROR(VLOOKUP(A270,final!D:D,1,FALSE),"MISSING")</f>
        <v>ROMA_7</v>
      </c>
      <c r="I270">
        <f>IFERROR(VLOOKUP(A270,'From DB'!A:K,11,FALSE),"MISSING")</f>
        <v>40</v>
      </c>
      <c r="K270" t="str">
        <f t="shared" si="4"/>
        <v/>
      </c>
      <c r="L270" t="str">
        <f>VLOOKUP(A270,new_list!A:E,5,FALSE)</f>
        <v>Generator</v>
      </c>
    </row>
    <row r="271" spans="1:12">
      <c r="A271" t="s">
        <v>609</v>
      </c>
      <c r="B271" t="s">
        <v>2419</v>
      </c>
      <c r="C271">
        <v>132</v>
      </c>
      <c r="D271" t="s">
        <v>1361</v>
      </c>
      <c r="E271" t="s">
        <v>2418</v>
      </c>
      <c r="F271">
        <v>0.85370000000000001</v>
      </c>
      <c r="G271">
        <v>0.97289999999999999</v>
      </c>
      <c r="H271" t="str">
        <f>IFERROR(VLOOKUP(A271,final!D:D,1,FALSE),"MISSING")</f>
        <v>ROMA_8</v>
      </c>
      <c r="I271">
        <f>IFERROR(VLOOKUP(A271,'From DB'!A:K,11,FALSE),"MISSING")</f>
        <v>40</v>
      </c>
      <c r="K271" t="str">
        <f t="shared" si="4"/>
        <v/>
      </c>
      <c r="L271" t="str">
        <f>VLOOKUP(A271,new_list!A:E,5,FALSE)</f>
        <v>Generator</v>
      </c>
    </row>
    <row r="272" spans="1:12">
      <c r="A272" t="s">
        <v>2315</v>
      </c>
      <c r="B272" t="s">
        <v>2314</v>
      </c>
      <c r="C272">
        <v>132</v>
      </c>
      <c r="D272" t="s">
        <v>2316</v>
      </c>
      <c r="E272" t="s">
        <v>2281</v>
      </c>
      <c r="F272">
        <v>0.86280000000000001</v>
      </c>
      <c r="G272">
        <v>0.88419999999999999</v>
      </c>
      <c r="H272" t="str">
        <f>IFERROR(VLOOKUP(A272,final!D:D,1,FALSE),"MISSING")</f>
        <v>RRSF1</v>
      </c>
      <c r="I272" t="str">
        <f>IFERROR(VLOOKUP(A272,'From DB'!A:K,11,FALSE),"MISSING")</f>
        <v>MISSING</v>
      </c>
      <c r="K272" t="str">
        <f t="shared" si="4"/>
        <v/>
      </c>
      <c r="L272" t="str">
        <f>VLOOKUP(A272,new_list!A:E,5,FALSE)</f>
        <v>Generator</v>
      </c>
    </row>
    <row r="273" spans="1:12">
      <c r="A273" t="s">
        <v>610</v>
      </c>
      <c r="B273" t="s">
        <v>3060</v>
      </c>
      <c r="C273">
        <v>220</v>
      </c>
      <c r="D273" t="s">
        <v>983</v>
      </c>
      <c r="E273" t="s">
        <v>3033</v>
      </c>
      <c r="F273">
        <v>0.96779999999999999</v>
      </c>
      <c r="G273">
        <v>0.96599999999999997</v>
      </c>
      <c r="H273" t="str">
        <f>IFERROR(VLOOKUP(A273,final!D:D,1,FALSE),"MISSING")</f>
        <v>ROWALLAN</v>
      </c>
      <c r="I273">
        <f>IFERROR(VLOOKUP(A273,'From DB'!A:K,11,FALSE),"MISSING")</f>
        <v>10.5</v>
      </c>
      <c r="K273" t="str">
        <f t="shared" si="4"/>
        <v/>
      </c>
      <c r="L273" t="str">
        <f>VLOOKUP(A273,new_list!A:E,5,FALSE)</f>
        <v>Generator</v>
      </c>
    </row>
    <row r="274" spans="1:12">
      <c r="A274" t="s">
        <v>612</v>
      </c>
      <c r="B274" t="s">
        <v>613</v>
      </c>
      <c r="C274">
        <v>132</v>
      </c>
      <c r="D274" t="s">
        <v>1246</v>
      </c>
      <c r="E274" t="s">
        <v>2691</v>
      </c>
      <c r="F274">
        <v>0.97050000000000003</v>
      </c>
      <c r="G274">
        <v>1.0178</v>
      </c>
      <c r="H274" t="str">
        <f>IFERROR(VLOOKUP(A274,final!D:D,1,FALSE),"MISSING")</f>
        <v>ROYALLA1</v>
      </c>
      <c r="I274">
        <f>IFERROR(VLOOKUP(A274,'From DB'!A:K,11,FALSE),"MISSING")</f>
        <v>20</v>
      </c>
      <c r="K274" t="str">
        <f t="shared" si="4"/>
        <v/>
      </c>
      <c r="L274" t="str">
        <f>VLOOKUP(A274,new_list!A:E,5,FALSE)</f>
        <v>Generator</v>
      </c>
    </row>
    <row r="275" spans="1:12">
      <c r="A275" t="s">
        <v>1048</v>
      </c>
      <c r="B275" t="s">
        <v>2867</v>
      </c>
      <c r="C275">
        <v>66</v>
      </c>
      <c r="D275" t="s">
        <v>1049</v>
      </c>
      <c r="E275" t="s">
        <v>2837</v>
      </c>
      <c r="F275">
        <v>0.99390000000000001</v>
      </c>
      <c r="G275">
        <v>0.99790000000000001</v>
      </c>
      <c r="H275" t="str">
        <f>IFERROR(VLOOKUP(A275,final!D:D,1,FALSE),"MISSING")</f>
        <v>RUBICON</v>
      </c>
      <c r="I275" t="str">
        <f>IFERROR(VLOOKUP(A275,'From DB'!A:K,11,FALSE),"MISSING")</f>
        <v>MISSING</v>
      </c>
      <c r="K275" t="str">
        <f t="shared" si="4"/>
        <v/>
      </c>
      <c r="L275" t="str">
        <f>VLOOKUP(A275,new_list!A:E,5,FALSE)</f>
        <v>Generator</v>
      </c>
    </row>
    <row r="276" spans="1:12">
      <c r="A276" t="s">
        <v>2775</v>
      </c>
      <c r="B276" t="s">
        <v>2774</v>
      </c>
      <c r="C276">
        <v>66</v>
      </c>
      <c r="D276" t="s">
        <v>2776</v>
      </c>
      <c r="E276" t="s">
        <v>2777</v>
      </c>
      <c r="F276">
        <v>0.97729999999999995</v>
      </c>
      <c r="G276">
        <v>1.0076000000000001</v>
      </c>
      <c r="H276" t="str">
        <f>IFERROR(VLOOKUP(A276,final!D:D,1,FALSE),"MISSING")</f>
        <v>SALTCRK1</v>
      </c>
      <c r="I276" t="str">
        <f>IFERROR(VLOOKUP(A276,'From DB'!A:K,11,FALSE),"MISSING")</f>
        <v>MISSING</v>
      </c>
      <c r="K276" t="str">
        <f t="shared" si="4"/>
        <v/>
      </c>
      <c r="L276" t="str">
        <f>VLOOKUP(A276,new_list!A:E,5,FALSE)</f>
        <v>Generator</v>
      </c>
    </row>
    <row r="277" spans="1:12">
      <c r="A277" t="s">
        <v>2538</v>
      </c>
      <c r="B277" t="s">
        <v>2537</v>
      </c>
      <c r="C277">
        <v>330</v>
      </c>
      <c r="D277" t="s">
        <v>2539</v>
      </c>
      <c r="E277" t="s">
        <v>2540</v>
      </c>
      <c r="F277">
        <v>0.91579999999999995</v>
      </c>
      <c r="G277">
        <v>0.8821</v>
      </c>
      <c r="H277" t="str">
        <f>IFERROR(VLOOKUP(A277,final!D:D,1,FALSE),"MISSING")</f>
        <v>SAPHWF1</v>
      </c>
      <c r="I277" t="str">
        <f>IFERROR(VLOOKUP(A277,'From DB'!A:K,11,FALSE),"MISSING")</f>
        <v>MISSING</v>
      </c>
      <c r="K277" t="str">
        <f t="shared" si="4"/>
        <v/>
      </c>
      <c r="L277" t="str">
        <f>VLOOKUP(A277,new_list!A:E,5,FALSE)</f>
        <v>Generator</v>
      </c>
    </row>
    <row r="278" spans="1:12">
      <c r="A278" t="s">
        <v>617</v>
      </c>
      <c r="B278" t="s">
        <v>2868</v>
      </c>
      <c r="C278">
        <v>66</v>
      </c>
      <c r="D278" t="s">
        <v>2869</v>
      </c>
      <c r="E278" t="s">
        <v>2870</v>
      </c>
      <c r="F278">
        <v>1.0150999999999999</v>
      </c>
      <c r="G278">
        <v>1.0002</v>
      </c>
      <c r="H278" t="str">
        <f>IFERROR(VLOOKUP(A278,final!D:D,1,FALSE),"MISSING")</f>
        <v>MISSING</v>
      </c>
      <c r="I278">
        <f>IFERROR(VLOOKUP(A278,'From DB'!A:K,11,FALSE),"MISSING")</f>
        <v>1.1000000000000001</v>
      </c>
      <c r="K278" t="str">
        <f t="shared" si="4"/>
        <v/>
      </c>
      <c r="L278" t="str">
        <f>VLOOKUP(A278,new_list!A:E,5,FALSE)</f>
        <v>Generator</v>
      </c>
    </row>
    <row r="279" spans="1:12">
      <c r="A279" t="s">
        <v>2543</v>
      </c>
      <c r="B279" t="s">
        <v>2541</v>
      </c>
      <c r="C279">
        <v>220</v>
      </c>
      <c r="D279" t="s">
        <v>2544</v>
      </c>
      <c r="E279" t="s">
        <v>2545</v>
      </c>
      <c r="F279">
        <v>0.83840000000000003</v>
      </c>
      <c r="G279">
        <v>1.0062</v>
      </c>
      <c r="H279" t="str">
        <f>IFERROR(VLOOKUP(A279,final!D:D,1,FALSE),"MISSING")</f>
        <v>STWF1</v>
      </c>
      <c r="I279" t="str">
        <f>IFERROR(VLOOKUP(A279,'From DB'!A:K,11,FALSE),"MISSING")</f>
        <v>MISSING</v>
      </c>
      <c r="K279" t="str">
        <f t="shared" si="4"/>
        <v/>
      </c>
      <c r="L279" t="str">
        <f>VLOOKUP(A279,new_list!A:E,5,FALSE)</f>
        <v>Generator</v>
      </c>
    </row>
    <row r="280" spans="1:12">
      <c r="A280" t="s">
        <v>625</v>
      </c>
      <c r="B280" t="s">
        <v>2644</v>
      </c>
      <c r="C280">
        <v>132</v>
      </c>
      <c r="D280" t="s">
        <v>1211</v>
      </c>
      <c r="E280" t="s">
        <v>2645</v>
      </c>
      <c r="F280">
        <v>1.0019</v>
      </c>
      <c r="G280">
        <v>1</v>
      </c>
      <c r="H280" t="str">
        <f>IFERROR(VLOOKUP(A280,final!D:D,1,FALSE),"MISSING")</f>
        <v>SITHE01</v>
      </c>
      <c r="I280">
        <f>IFERROR(VLOOKUP(A280,'From DB'!A:K,11,FALSE),"MISSING")</f>
        <v>160</v>
      </c>
      <c r="K280" t="str">
        <f t="shared" si="4"/>
        <v/>
      </c>
      <c r="L280" t="str">
        <f>VLOOKUP(A280,new_list!A:E,5,FALSE)</f>
        <v>Generator</v>
      </c>
    </row>
    <row r="281" spans="1:12">
      <c r="A281" t="s">
        <v>631</v>
      </c>
      <c r="B281" t="s">
        <v>2956</v>
      </c>
      <c r="C281">
        <v>33</v>
      </c>
      <c r="D281" t="s">
        <v>855</v>
      </c>
      <c r="E281" t="s">
        <v>2957</v>
      </c>
      <c r="F281">
        <v>0.9093</v>
      </c>
      <c r="G281">
        <v>0.92030000000000001</v>
      </c>
      <c r="H281" t="str">
        <f>IFERROR(VLOOKUP(A281,final!D:D,1,FALSE),"MISSING")</f>
        <v>SNOWTWN1</v>
      </c>
      <c r="I281">
        <f>IFERROR(VLOOKUP(A281,'From DB'!A:K,11,FALSE),"MISSING")</f>
        <v>99</v>
      </c>
      <c r="K281" t="str">
        <f t="shared" si="4"/>
        <v/>
      </c>
      <c r="L281" t="str">
        <f>VLOOKUP(A281,new_list!A:E,5,FALSE)</f>
        <v>Generator</v>
      </c>
    </row>
    <row r="282" spans="1:12">
      <c r="A282" t="s">
        <v>627</v>
      </c>
      <c r="B282" t="s">
        <v>2953</v>
      </c>
      <c r="C282">
        <v>275</v>
      </c>
      <c r="D282" t="s">
        <v>859</v>
      </c>
      <c r="E282" t="s">
        <v>2954</v>
      </c>
      <c r="F282">
        <v>0.97199999999999998</v>
      </c>
      <c r="G282">
        <v>0.98129999999999995</v>
      </c>
      <c r="H282" t="str">
        <f>IFERROR(VLOOKUP(A282,final!D:D,1,FALSE),"MISSING")</f>
        <v>SNOWNTH1</v>
      </c>
      <c r="I282">
        <f>IFERROR(VLOOKUP(A282,'From DB'!A:K,11,FALSE),"MISSING")</f>
        <v>144</v>
      </c>
      <c r="K282" t="str">
        <f t="shared" si="4"/>
        <v/>
      </c>
      <c r="L282" t="str">
        <f>VLOOKUP(A282,new_list!A:E,5,FALSE)</f>
        <v>Generator</v>
      </c>
    </row>
    <row r="283" spans="1:12">
      <c r="A283" t="s">
        <v>629</v>
      </c>
      <c r="B283" t="s">
        <v>2955</v>
      </c>
      <c r="C283">
        <v>275</v>
      </c>
      <c r="D283" t="s">
        <v>862</v>
      </c>
      <c r="E283" t="s">
        <v>2954</v>
      </c>
      <c r="F283">
        <v>0.97199999999999998</v>
      </c>
      <c r="G283">
        <v>0.98129999999999995</v>
      </c>
      <c r="H283" t="str">
        <f>IFERROR(VLOOKUP(A283,final!D:D,1,FALSE),"MISSING")</f>
        <v>SNOWSTH1</v>
      </c>
      <c r="I283">
        <f>IFERROR(VLOOKUP(A283,'From DB'!A:K,11,FALSE),"MISSING")</f>
        <v>126</v>
      </c>
      <c r="K283" t="str">
        <f t="shared" si="4"/>
        <v/>
      </c>
      <c r="L283" t="str">
        <f>VLOOKUP(A283,new_list!A:E,5,FALSE)</f>
        <v>Generator</v>
      </c>
    </row>
    <row r="284" spans="1:12">
      <c r="A284" t="s">
        <v>634</v>
      </c>
      <c r="B284" t="s">
        <v>2958</v>
      </c>
      <c r="C284">
        <v>132</v>
      </c>
      <c r="D284" t="s">
        <v>926</v>
      </c>
      <c r="E284" t="s">
        <v>2959</v>
      </c>
      <c r="F284">
        <v>0.94110000000000005</v>
      </c>
      <c r="G284">
        <v>0.9325</v>
      </c>
      <c r="H284" t="str">
        <f>IFERROR(VLOOKUP(A284,final!D:D,1,FALSE),"MISSING")</f>
        <v>SNUG1</v>
      </c>
      <c r="I284">
        <f>IFERROR(VLOOKUP(A284,'From DB'!A:K,11,FALSE),"MISSING")</f>
        <v>63</v>
      </c>
      <c r="K284" t="str">
        <f t="shared" si="4"/>
        <v/>
      </c>
      <c r="L284" t="str">
        <f>VLOOKUP(A284,new_list!A:E,5,FALSE)</f>
        <v>Generator</v>
      </c>
    </row>
    <row r="285" spans="1:12">
      <c r="A285" t="s">
        <v>182</v>
      </c>
      <c r="B285" t="s">
        <v>183</v>
      </c>
      <c r="C285">
        <v>66</v>
      </c>
      <c r="D285" t="s">
        <v>1055</v>
      </c>
      <c r="E285" t="s">
        <v>2871</v>
      </c>
      <c r="F285">
        <v>0.96879999999999999</v>
      </c>
      <c r="G285">
        <v>0.99629999999999996</v>
      </c>
      <c r="H285" t="str">
        <f>IFERROR(VLOOKUP(A285,final!D:D,1,FALSE),"MISSING")</f>
        <v>AGLSOM</v>
      </c>
      <c r="I285">
        <f>IFERROR(VLOOKUP(A285,'From DB'!A:K,11,FALSE),"MISSING")</f>
        <v>160</v>
      </c>
      <c r="K285" t="str">
        <f t="shared" si="4"/>
        <v/>
      </c>
      <c r="L285" t="str">
        <f>VLOOKUP(A285,new_list!A:E,5,FALSE)</f>
        <v>Generator</v>
      </c>
    </row>
    <row r="286" spans="1:12">
      <c r="A286" t="s">
        <v>2648</v>
      </c>
      <c r="B286" t="s">
        <v>2647</v>
      </c>
      <c r="C286">
        <v>132</v>
      </c>
      <c r="D286" t="s">
        <v>2649</v>
      </c>
      <c r="E286" t="s">
        <v>2638</v>
      </c>
      <c r="F286">
        <v>0.96150000000000002</v>
      </c>
      <c r="G286">
        <v>0.9708</v>
      </c>
      <c r="H286" t="str">
        <f>IFERROR(VLOOKUP(A286,final!D:D,1,FALSE),"MISSING")</f>
        <v>SKSF1</v>
      </c>
      <c r="I286" t="str">
        <f>IFERROR(VLOOKUP(A286,'From DB'!A:K,11,FALSE),"MISSING")</f>
        <v>MISSING</v>
      </c>
      <c r="K286" t="str">
        <f t="shared" si="4"/>
        <v/>
      </c>
      <c r="L286" t="str">
        <f>VLOOKUP(A286,new_list!A:E,5,FALSE)</f>
        <v>Generator</v>
      </c>
    </row>
    <row r="287" spans="1:12">
      <c r="A287" t="s">
        <v>645</v>
      </c>
      <c r="B287" t="s">
        <v>2420</v>
      </c>
      <c r="C287">
        <v>110</v>
      </c>
      <c r="D287" t="s">
        <v>2421</v>
      </c>
      <c r="E287" t="s">
        <v>2422</v>
      </c>
      <c r="F287">
        <v>1.0137</v>
      </c>
      <c r="G287">
        <v>1.0122</v>
      </c>
      <c r="H287" t="str">
        <f>IFERROR(VLOOKUP(A287,final!D:D,1,FALSE),"MISSING")</f>
        <v>MISSING</v>
      </c>
      <c r="I287">
        <f>IFERROR(VLOOKUP(A287,'From DB'!A:K,11,FALSE),"MISSING")</f>
        <v>1</v>
      </c>
      <c r="K287" t="str">
        <f t="shared" si="4"/>
        <v/>
      </c>
      <c r="L287" t="str">
        <f>VLOOKUP(A287,new_list!A:E,5,FALSE)</f>
        <v>Generator</v>
      </c>
    </row>
    <row r="288" spans="1:12">
      <c r="A288" t="s">
        <v>650</v>
      </c>
      <c r="B288" t="s">
        <v>2872</v>
      </c>
      <c r="C288">
        <v>66</v>
      </c>
      <c r="D288" t="s">
        <v>2873</v>
      </c>
      <c r="E288" t="s">
        <v>2830</v>
      </c>
      <c r="F288">
        <v>0.99909999999999999</v>
      </c>
      <c r="G288">
        <v>0.99860000000000004</v>
      </c>
      <c r="H288" t="str">
        <f>IFERROR(VLOOKUP(A288,final!D:D,1,FALSE),"MISSING")</f>
        <v>MISSING</v>
      </c>
      <c r="I288">
        <f>IFERROR(VLOOKUP(A288,'From DB'!A:K,11,FALSE),"MISSING")</f>
        <v>4.2</v>
      </c>
      <c r="K288" t="str">
        <f t="shared" si="4"/>
        <v/>
      </c>
      <c r="L288" t="str">
        <f>VLOOKUP(A288,new_list!A:E,5,FALSE)</f>
        <v>Generator</v>
      </c>
    </row>
    <row r="289" spans="1:12">
      <c r="A289" t="s">
        <v>643</v>
      </c>
      <c r="B289" t="s">
        <v>2650</v>
      </c>
      <c r="C289">
        <v>33</v>
      </c>
      <c r="D289" t="s">
        <v>2651</v>
      </c>
      <c r="E289" t="s">
        <v>2652</v>
      </c>
      <c r="F289">
        <v>1.0061</v>
      </c>
      <c r="G289">
        <v>1.0063</v>
      </c>
      <c r="H289" t="str">
        <f>IFERROR(VLOOKUP(A289,final!D:D,1,FALSE),"MISSING")</f>
        <v>MISSING</v>
      </c>
      <c r="I289">
        <f>IFERROR(VLOOKUP(A289,'From DB'!A:K,11,FALSE),"MISSING")</f>
        <v>1</v>
      </c>
      <c r="K289" t="str">
        <f t="shared" si="4"/>
        <v/>
      </c>
      <c r="L289" t="e">
        <f>VLOOKUP(A289,new_list!A:E,5,FALSE)</f>
        <v>#N/A</v>
      </c>
    </row>
    <row r="290" spans="1:12">
      <c r="A290" t="s">
        <v>636</v>
      </c>
      <c r="B290" t="s">
        <v>2320</v>
      </c>
      <c r="C290">
        <v>275</v>
      </c>
      <c r="D290" t="s">
        <v>1327</v>
      </c>
      <c r="E290" t="s">
        <v>2321</v>
      </c>
      <c r="F290">
        <v>0.90129999999999999</v>
      </c>
      <c r="G290">
        <v>0.90749999999999997</v>
      </c>
      <c r="H290" t="str">
        <f>IFERROR(VLOOKUP(A290,final!D:D,1,FALSE),"MISSING")</f>
        <v>STAN-1</v>
      </c>
      <c r="I290">
        <f>IFERROR(VLOOKUP(A290,'From DB'!A:K,11,FALSE),"MISSING")</f>
        <v>365</v>
      </c>
      <c r="K290" t="str">
        <f t="shared" si="4"/>
        <v/>
      </c>
      <c r="L290" t="str">
        <f>VLOOKUP(A290,new_list!A:E,5,FALSE)</f>
        <v>Generator</v>
      </c>
    </row>
    <row r="291" spans="1:12">
      <c r="A291" t="s">
        <v>638</v>
      </c>
      <c r="B291" t="s">
        <v>2322</v>
      </c>
      <c r="C291">
        <v>275</v>
      </c>
      <c r="D291" t="s">
        <v>1329</v>
      </c>
      <c r="E291" t="s">
        <v>2321</v>
      </c>
      <c r="F291">
        <v>0.90129999999999999</v>
      </c>
      <c r="G291">
        <v>0.90749999999999997</v>
      </c>
      <c r="H291" t="str">
        <f>IFERROR(VLOOKUP(A291,final!D:D,1,FALSE),"MISSING")</f>
        <v>STAN-2</v>
      </c>
      <c r="I291">
        <f>IFERROR(VLOOKUP(A291,'From DB'!A:K,11,FALSE),"MISSING")</f>
        <v>365</v>
      </c>
      <c r="K291" t="str">
        <f t="shared" si="4"/>
        <v/>
      </c>
      <c r="L291" t="str">
        <f>VLOOKUP(A291,new_list!A:E,5,FALSE)</f>
        <v>Generator</v>
      </c>
    </row>
    <row r="292" spans="1:12">
      <c r="A292" t="s">
        <v>639</v>
      </c>
      <c r="B292" t="s">
        <v>2323</v>
      </c>
      <c r="C292">
        <v>275</v>
      </c>
      <c r="D292" t="s">
        <v>1330</v>
      </c>
      <c r="E292" t="s">
        <v>2321</v>
      </c>
      <c r="F292">
        <v>0.90129999999999999</v>
      </c>
      <c r="G292">
        <v>0.90749999999999997</v>
      </c>
      <c r="H292" t="str">
        <f>IFERROR(VLOOKUP(A292,final!D:D,1,FALSE),"MISSING")</f>
        <v>STAN-3</v>
      </c>
      <c r="I292">
        <f>IFERROR(VLOOKUP(A292,'From DB'!A:K,11,FALSE),"MISSING")</f>
        <v>365</v>
      </c>
      <c r="K292" t="str">
        <f t="shared" si="4"/>
        <v/>
      </c>
      <c r="L292" t="str">
        <f>VLOOKUP(A292,new_list!A:E,5,FALSE)</f>
        <v>Generator</v>
      </c>
    </row>
    <row r="293" spans="1:12">
      <c r="A293" t="s">
        <v>640</v>
      </c>
      <c r="B293" t="s">
        <v>2324</v>
      </c>
      <c r="C293">
        <v>275</v>
      </c>
      <c r="D293" t="s">
        <v>1331</v>
      </c>
      <c r="E293" t="s">
        <v>2321</v>
      </c>
      <c r="F293">
        <v>0.90129999999999999</v>
      </c>
      <c r="G293">
        <v>0.90749999999999997</v>
      </c>
      <c r="H293" t="str">
        <f>IFERROR(VLOOKUP(A293,final!D:D,1,FALSE),"MISSING")</f>
        <v>STAN-4</v>
      </c>
      <c r="I293">
        <f>IFERROR(VLOOKUP(A293,'From DB'!A:K,11,FALSE),"MISSING")</f>
        <v>365</v>
      </c>
      <c r="K293" t="str">
        <f t="shared" si="4"/>
        <v/>
      </c>
      <c r="L293" t="str">
        <f>VLOOKUP(A293,new_list!A:E,5,FALSE)</f>
        <v>Generator</v>
      </c>
    </row>
    <row r="294" spans="1:12">
      <c r="A294" t="s">
        <v>2326</v>
      </c>
      <c r="B294" t="s">
        <v>2325</v>
      </c>
      <c r="C294">
        <v>110</v>
      </c>
      <c r="D294" t="s">
        <v>2327</v>
      </c>
      <c r="E294" t="s">
        <v>2328</v>
      </c>
      <c r="F294">
        <v>1.0126999999999999</v>
      </c>
      <c r="G294">
        <v>1.0116000000000001</v>
      </c>
      <c r="H294" t="str">
        <f>IFERROR(VLOOKUP(A294,final!D:D,1,FALSE),"MISSING")</f>
        <v>MISSING</v>
      </c>
      <c r="I294" t="str">
        <f>IFERROR(VLOOKUP(A294,'From DB'!A:K,11,FALSE),"MISSING")</f>
        <v>MISSING</v>
      </c>
      <c r="K294" t="str">
        <f t="shared" si="4"/>
        <v>NEED TO FIND</v>
      </c>
      <c r="L294" t="str">
        <f>VLOOKUP(A294,new_list!A:E,5,FALSE)</f>
        <v>Generator</v>
      </c>
    </row>
    <row r="295" spans="1:12">
      <c r="A295" t="s">
        <v>641</v>
      </c>
      <c r="B295" t="s">
        <v>642</v>
      </c>
      <c r="C295">
        <v>66</v>
      </c>
      <c r="D295" t="s">
        <v>919</v>
      </c>
      <c r="E295" t="s">
        <v>2990</v>
      </c>
      <c r="F295">
        <v>1.0061</v>
      </c>
      <c r="G295">
        <v>1.0067999999999999</v>
      </c>
      <c r="H295" t="str">
        <f>IFERROR(VLOOKUP(A295,final!D:D,1,FALSE),"MISSING")</f>
        <v>STARHLWF</v>
      </c>
      <c r="I295">
        <f>IFERROR(VLOOKUP(A295,'From DB'!A:K,11,FALSE),"MISSING")</f>
        <v>34.5</v>
      </c>
      <c r="K295" t="str">
        <f t="shared" si="4"/>
        <v/>
      </c>
      <c r="L295" t="str">
        <f>VLOOKUP(A295,new_list!A:E,5,FALSE)</f>
        <v>Generator</v>
      </c>
    </row>
    <row r="296" spans="1:12">
      <c r="A296" t="s">
        <v>2330</v>
      </c>
      <c r="B296" t="s">
        <v>2329</v>
      </c>
      <c r="C296">
        <v>132</v>
      </c>
      <c r="D296" t="s">
        <v>2331</v>
      </c>
      <c r="E296" t="s">
        <v>2332</v>
      </c>
      <c r="F296">
        <v>1.0003</v>
      </c>
      <c r="G296">
        <v>1.0146999999999999</v>
      </c>
      <c r="H296" t="str">
        <f>IFERROR(VLOOKUP(A296,final!D:D,1,FALSE),"MISSING")</f>
        <v>SMCSF1</v>
      </c>
      <c r="I296" t="str">
        <f>IFERROR(VLOOKUP(A296,'From DB'!A:K,11,FALSE),"MISSING")</f>
        <v>MISSING</v>
      </c>
      <c r="K296" t="str">
        <f t="shared" si="4"/>
        <v/>
      </c>
      <c r="L296" t="str">
        <f>VLOOKUP(A296,new_list!A:E,5,FALSE)</f>
        <v>Generator</v>
      </c>
    </row>
    <row r="297" spans="1:12">
      <c r="A297" t="s">
        <v>2424</v>
      </c>
      <c r="B297" t="s">
        <v>2423</v>
      </c>
      <c r="C297">
        <v>132</v>
      </c>
      <c r="D297" t="s">
        <v>2425</v>
      </c>
      <c r="E297" t="s">
        <v>2426</v>
      </c>
      <c r="F297">
        <v>1.0024999999999999</v>
      </c>
      <c r="G297">
        <v>1.0024999999999999</v>
      </c>
      <c r="H297" t="str">
        <f>IFERROR(VLOOKUP(A297,final!D:D,1,FALSE),"MISSING")</f>
        <v>VALDORA1</v>
      </c>
      <c r="I297" t="str">
        <f>IFERROR(VLOOKUP(A297,'From DB'!A:K,11,FALSE),"MISSING")</f>
        <v>MISSING</v>
      </c>
      <c r="K297" t="str">
        <f t="shared" si="4"/>
        <v/>
      </c>
      <c r="L297" t="str">
        <f>VLOOKUP(A297,new_list!A:E,5,FALSE)</f>
        <v>Generator</v>
      </c>
    </row>
    <row r="298" spans="1:12">
      <c r="A298" t="s">
        <v>2428</v>
      </c>
      <c r="B298" t="s">
        <v>2427</v>
      </c>
      <c r="C298">
        <v>132</v>
      </c>
      <c r="D298" t="s">
        <v>2429</v>
      </c>
      <c r="E298" t="s">
        <v>2364</v>
      </c>
      <c r="F298">
        <v>0.9486</v>
      </c>
      <c r="G298">
        <v>0.95109999999999995</v>
      </c>
      <c r="H298" t="str">
        <f>IFERROR(VLOOKUP(A298,final!D:D,1,FALSE),"MISSING")</f>
        <v>SRSF1</v>
      </c>
      <c r="I298" t="str">
        <f>IFERROR(VLOOKUP(A298,'From DB'!A:K,11,FALSE),"MISSING")</f>
        <v>MISSING</v>
      </c>
      <c r="K298" t="str">
        <f t="shared" si="4"/>
        <v/>
      </c>
      <c r="L298" t="str">
        <f>VLOOKUP(A298,new_list!A:E,5,FALSE)</f>
        <v>Generator</v>
      </c>
    </row>
    <row r="299" spans="1:12">
      <c r="A299" t="s">
        <v>652</v>
      </c>
      <c r="B299" t="s">
        <v>2333</v>
      </c>
      <c r="C299">
        <v>275</v>
      </c>
      <c r="D299" t="s">
        <v>1404</v>
      </c>
      <c r="E299" t="s">
        <v>1404</v>
      </c>
      <c r="F299">
        <v>1.0008999999999999</v>
      </c>
      <c r="G299">
        <v>1.0008999999999999</v>
      </c>
      <c r="H299" t="str">
        <f>IFERROR(VLOOKUP(A299,final!D:D,1,FALSE),"MISSING")</f>
        <v>SWAN_E</v>
      </c>
      <c r="I299">
        <f>IFERROR(VLOOKUP(A299,'From DB'!A:K,11,FALSE),"MISSING")</f>
        <v>385</v>
      </c>
      <c r="K299" t="str">
        <f t="shared" si="4"/>
        <v/>
      </c>
      <c r="L299" t="str">
        <f>VLOOKUP(A299,new_list!A:E,5,FALSE)</f>
        <v>Generator</v>
      </c>
    </row>
    <row r="300" spans="1:12">
      <c r="A300" t="s">
        <v>2654</v>
      </c>
      <c r="B300" t="s">
        <v>2653</v>
      </c>
      <c r="C300">
        <v>132</v>
      </c>
      <c r="D300" t="s">
        <v>2655</v>
      </c>
      <c r="E300" t="s">
        <v>2568</v>
      </c>
      <c r="F300">
        <v>1.0012000000000001</v>
      </c>
      <c r="G300">
        <v>1.0024</v>
      </c>
      <c r="H300" t="str">
        <f>IFERROR(VLOOKUP(A300,final!D:D,1,FALSE),"MISSING")</f>
        <v>MISSING</v>
      </c>
      <c r="I300" t="str">
        <f>IFERROR(VLOOKUP(A300,'From DB'!A:K,11,FALSE),"MISSING")</f>
        <v>MISSING</v>
      </c>
      <c r="K300" t="str">
        <f t="shared" si="4"/>
        <v>NEED TO FIND</v>
      </c>
      <c r="L300" t="str">
        <f>VLOOKUP(A300,new_list!A:E,5,FALSE)</f>
        <v>Generator</v>
      </c>
    </row>
    <row r="301" spans="1:12">
      <c r="A301" t="s">
        <v>2961</v>
      </c>
      <c r="B301" t="s">
        <v>2960</v>
      </c>
      <c r="C301">
        <v>132</v>
      </c>
      <c r="D301" t="s">
        <v>2962</v>
      </c>
      <c r="E301" t="s">
        <v>2963</v>
      </c>
      <c r="F301">
        <v>1.0057</v>
      </c>
      <c r="G301">
        <v>0.99729999999999996</v>
      </c>
      <c r="H301" t="str">
        <f>IFERROR(VLOOKUP(A301,final!D:D,1,FALSE),"MISSING")</f>
        <v>TBSF1</v>
      </c>
      <c r="I301" t="str">
        <f>IFERROR(VLOOKUP(A301,'From DB'!A:K,11,FALSE),"MISSING")</f>
        <v>MISSING</v>
      </c>
      <c r="K301" t="str">
        <f t="shared" si="4"/>
        <v/>
      </c>
      <c r="L301" t="str">
        <f>VLOOKUP(A301,new_list!A:E,5,FALSE)</f>
        <v>Generator</v>
      </c>
    </row>
    <row r="302" spans="1:12">
      <c r="A302" t="s">
        <v>654</v>
      </c>
      <c r="B302" t="s">
        <v>2656</v>
      </c>
      <c r="C302">
        <v>132</v>
      </c>
      <c r="D302" t="s">
        <v>1214</v>
      </c>
      <c r="E302" t="s">
        <v>2657</v>
      </c>
      <c r="F302">
        <v>0.99109999999999998</v>
      </c>
      <c r="G302">
        <v>1.0001</v>
      </c>
      <c r="H302" t="str">
        <f>IFERROR(VLOOKUP(A302,final!D:D,1,FALSE),"MISSING")</f>
        <v>TALWA1</v>
      </c>
      <c r="I302">
        <f>IFERROR(VLOOKUP(A302,'From DB'!A:K,11,FALSE),"MISSING")</f>
        <v>460</v>
      </c>
      <c r="K302" t="str">
        <f t="shared" si="4"/>
        <v/>
      </c>
      <c r="L302" t="str">
        <f>VLOOKUP(A302,new_list!A:E,5,FALSE)</f>
        <v>Generator</v>
      </c>
    </row>
    <row r="303" spans="1:12">
      <c r="A303" t="s">
        <v>699</v>
      </c>
      <c r="B303" t="s">
        <v>33</v>
      </c>
      <c r="C303">
        <v>220</v>
      </c>
      <c r="D303" t="s">
        <v>942</v>
      </c>
      <c r="E303" t="s">
        <v>3061</v>
      </c>
      <c r="F303">
        <v>1</v>
      </c>
      <c r="G303">
        <v>0.99990000000000001</v>
      </c>
      <c r="H303" t="str">
        <f>IFERROR(VLOOKUP(A303,final!D:D,1,FALSE),"MISSING")</f>
        <v>TVCC201</v>
      </c>
      <c r="I303">
        <f>IFERROR(VLOOKUP(A303,'From DB'!A:K,11,FALSE),"MISSING")</f>
        <v>208</v>
      </c>
      <c r="K303" t="str">
        <f t="shared" si="4"/>
        <v/>
      </c>
      <c r="L303" t="str">
        <f>VLOOKUP(A303,new_list!A:E,5,FALSE)</f>
        <v>Generator</v>
      </c>
    </row>
    <row r="304" spans="1:12">
      <c r="A304" t="s">
        <v>701</v>
      </c>
      <c r="B304" t="s">
        <v>34</v>
      </c>
      <c r="C304">
        <v>110</v>
      </c>
      <c r="D304" t="s">
        <v>946</v>
      </c>
      <c r="E304" t="s">
        <v>3019</v>
      </c>
      <c r="F304">
        <v>0.99939999999999996</v>
      </c>
      <c r="G304">
        <v>1.0003</v>
      </c>
      <c r="H304" t="str">
        <f>IFERROR(VLOOKUP(A304,final!D:D,1,FALSE),"MISSING")</f>
        <v>TVPP104</v>
      </c>
      <c r="I304">
        <f>IFERROR(VLOOKUP(A304,'From DB'!A:K,11,FALSE),"MISSING")</f>
        <v>58</v>
      </c>
      <c r="K304" t="str">
        <f t="shared" si="4"/>
        <v/>
      </c>
      <c r="L304" t="str">
        <f>VLOOKUP(A304,new_list!A:E,5,FALSE)</f>
        <v>Generator</v>
      </c>
    </row>
    <row r="305" spans="1:12">
      <c r="A305" t="s">
        <v>656</v>
      </c>
      <c r="B305" t="s">
        <v>657</v>
      </c>
      <c r="C305">
        <v>132</v>
      </c>
      <c r="D305" t="s">
        <v>1224</v>
      </c>
      <c r="E305" t="s">
        <v>2658</v>
      </c>
      <c r="F305">
        <v>1.0119</v>
      </c>
      <c r="G305">
        <v>0.99770000000000003</v>
      </c>
      <c r="H305" t="str">
        <f>IFERROR(VLOOKUP(A305,final!D:D,1,FALSE),"MISSING")</f>
        <v>TARALGA1</v>
      </c>
      <c r="I305">
        <f>IFERROR(VLOOKUP(A305,'From DB'!A:K,11,FALSE),"MISSING")</f>
        <v>106.8</v>
      </c>
      <c r="K305" t="str">
        <f t="shared" si="4"/>
        <v/>
      </c>
      <c r="L305" t="str">
        <f>VLOOKUP(A305,new_list!A:E,5,FALSE)</f>
        <v>Generator</v>
      </c>
    </row>
    <row r="306" spans="1:12">
      <c r="A306" t="s">
        <v>679</v>
      </c>
      <c r="B306" t="s">
        <v>2334</v>
      </c>
      <c r="C306">
        <v>275</v>
      </c>
      <c r="D306" t="s">
        <v>1366</v>
      </c>
      <c r="E306" t="s">
        <v>1366</v>
      </c>
      <c r="F306">
        <v>0.97189999999999999</v>
      </c>
      <c r="G306">
        <v>0.97550000000000003</v>
      </c>
      <c r="H306" t="str">
        <f>IFERROR(VLOOKUP(A306,final!D:D,1,FALSE),"MISSING")</f>
        <v>TNPS1</v>
      </c>
      <c r="I306">
        <f>IFERROR(VLOOKUP(A306,'From DB'!A:K,11,FALSE),"MISSING")</f>
        <v>443</v>
      </c>
      <c r="K306" t="str">
        <f t="shared" ref="K306:K367" si="5">IF(AND(H306="MISSING",OR(I306="MISSING",I306&gt;10),J306=""),"NEED TO FIND","")</f>
        <v/>
      </c>
      <c r="L306" t="str">
        <f>VLOOKUP(A306,new_list!A:E,5,FALSE)</f>
        <v>Generator</v>
      </c>
    </row>
    <row r="307" spans="1:12">
      <c r="A307" t="s">
        <v>658</v>
      </c>
      <c r="B307" t="s">
        <v>2335</v>
      </c>
      <c r="C307">
        <v>275</v>
      </c>
      <c r="D307" t="s">
        <v>1369</v>
      </c>
      <c r="E307" t="s">
        <v>2336</v>
      </c>
      <c r="F307">
        <v>0.97209999999999996</v>
      </c>
      <c r="G307">
        <v>0.97519999999999996</v>
      </c>
      <c r="H307" t="str">
        <f>IFERROR(VLOOKUP(A307,final!D:D,1,FALSE),"MISSING")</f>
        <v>TARONG#1</v>
      </c>
      <c r="I307">
        <f>IFERROR(VLOOKUP(A307,'From DB'!A:K,11,FALSE),"MISSING")</f>
        <v>350</v>
      </c>
      <c r="K307" t="str">
        <f t="shared" si="5"/>
        <v/>
      </c>
      <c r="L307" t="str">
        <f>VLOOKUP(A307,new_list!A:E,5,FALSE)</f>
        <v>Generator</v>
      </c>
    </row>
    <row r="308" spans="1:12">
      <c r="A308" t="s">
        <v>660</v>
      </c>
      <c r="B308" t="s">
        <v>2337</v>
      </c>
      <c r="C308">
        <v>275</v>
      </c>
      <c r="D308" t="s">
        <v>1371</v>
      </c>
      <c r="E308" t="s">
        <v>2336</v>
      </c>
      <c r="F308">
        <v>0.97209999999999996</v>
      </c>
      <c r="G308">
        <v>0.97519999999999996</v>
      </c>
      <c r="H308" t="str">
        <f>IFERROR(VLOOKUP(A308,final!D:D,1,FALSE),"MISSING")</f>
        <v>TARONG#2</v>
      </c>
      <c r="I308">
        <f>IFERROR(VLOOKUP(A308,'From DB'!A:K,11,FALSE),"MISSING")</f>
        <v>350</v>
      </c>
      <c r="K308" t="str">
        <f t="shared" si="5"/>
        <v/>
      </c>
      <c r="L308" t="str">
        <f>VLOOKUP(A308,new_list!A:E,5,FALSE)</f>
        <v>Generator</v>
      </c>
    </row>
    <row r="309" spans="1:12">
      <c r="A309" t="s">
        <v>661</v>
      </c>
      <c r="B309" t="s">
        <v>2338</v>
      </c>
      <c r="C309">
        <v>275</v>
      </c>
      <c r="D309" t="s">
        <v>1372</v>
      </c>
      <c r="E309" t="s">
        <v>2336</v>
      </c>
      <c r="F309">
        <v>0.97209999999999996</v>
      </c>
      <c r="G309">
        <v>0.97519999999999996</v>
      </c>
      <c r="H309" t="str">
        <f>IFERROR(VLOOKUP(A309,final!D:D,1,FALSE),"MISSING")</f>
        <v>TARONG#3</v>
      </c>
      <c r="I309">
        <f>IFERROR(VLOOKUP(A309,'From DB'!A:K,11,FALSE),"MISSING")</f>
        <v>350</v>
      </c>
      <c r="K309" t="str">
        <f t="shared" si="5"/>
        <v/>
      </c>
      <c r="L309" t="str">
        <f>VLOOKUP(A309,new_list!A:E,5,FALSE)</f>
        <v>Generator</v>
      </c>
    </row>
    <row r="310" spans="1:12">
      <c r="A310" t="s">
        <v>662</v>
      </c>
      <c r="B310" t="s">
        <v>2339</v>
      </c>
      <c r="C310">
        <v>275</v>
      </c>
      <c r="D310" t="s">
        <v>1373</v>
      </c>
      <c r="E310" t="s">
        <v>2336</v>
      </c>
      <c r="F310">
        <v>0.97209999999999996</v>
      </c>
      <c r="G310">
        <v>0.97519999999999996</v>
      </c>
      <c r="H310" t="str">
        <f>IFERROR(VLOOKUP(A310,final!D:D,1,FALSE),"MISSING")</f>
        <v>TARONG#4</v>
      </c>
      <c r="I310">
        <f>IFERROR(VLOOKUP(A310,'From DB'!A:K,11,FALSE),"MISSING")</f>
        <v>350</v>
      </c>
      <c r="K310" t="str">
        <f t="shared" si="5"/>
        <v/>
      </c>
      <c r="L310" t="str">
        <f>VLOOKUP(A310,new_list!A:E,5,FALSE)</f>
        <v>Generator</v>
      </c>
    </row>
    <row r="311" spans="1:12">
      <c r="A311" t="s">
        <v>663</v>
      </c>
      <c r="B311" t="s">
        <v>3062</v>
      </c>
      <c r="C311">
        <v>110</v>
      </c>
      <c r="D311" t="s">
        <v>1009</v>
      </c>
      <c r="E311" t="s">
        <v>3063</v>
      </c>
      <c r="F311">
        <v>0.9194</v>
      </c>
      <c r="G311">
        <v>0.9405</v>
      </c>
      <c r="H311" t="str">
        <f>IFERROR(VLOOKUP(A311,final!D:D,1,FALSE),"MISSING")</f>
        <v>TARRALEA</v>
      </c>
      <c r="I311">
        <f>IFERROR(VLOOKUP(A311,'From DB'!A:K,11,FALSE),"MISSING")</f>
        <v>90</v>
      </c>
      <c r="K311" t="str">
        <f t="shared" si="5"/>
        <v/>
      </c>
      <c r="L311" t="str">
        <f>VLOOKUP(A311,new_list!A:E,5,FALSE)</f>
        <v>Generator</v>
      </c>
    </row>
    <row r="312" spans="1:12">
      <c r="A312" t="s">
        <v>665</v>
      </c>
      <c r="B312" t="s">
        <v>3001</v>
      </c>
      <c r="C312">
        <v>33</v>
      </c>
      <c r="D312" t="s">
        <v>3002</v>
      </c>
      <c r="E312" t="s">
        <v>3003</v>
      </c>
      <c r="F312">
        <v>1.0305</v>
      </c>
      <c r="G312">
        <v>0.99519999999999997</v>
      </c>
      <c r="H312" t="str">
        <f>IFERROR(VLOOKUP(A312,final!D:D,1,FALSE),"MISSING")</f>
        <v>MISSING</v>
      </c>
      <c r="I312">
        <f>IFERROR(VLOOKUP(A312,'From DB'!A:K,11,FALSE),"MISSING")</f>
        <v>0.5</v>
      </c>
      <c r="K312" t="str">
        <f t="shared" si="5"/>
        <v/>
      </c>
      <c r="L312" t="str">
        <f>VLOOKUP(A312,new_list!A:E,5,FALSE)</f>
        <v>Generator</v>
      </c>
    </row>
    <row r="313" spans="1:12">
      <c r="A313" t="s">
        <v>667</v>
      </c>
      <c r="B313" t="s">
        <v>2874</v>
      </c>
      <c r="C313">
        <v>66</v>
      </c>
      <c r="D313" t="s">
        <v>2875</v>
      </c>
      <c r="E313" t="s">
        <v>2870</v>
      </c>
      <c r="F313">
        <v>1.0150999999999999</v>
      </c>
      <c r="G313">
        <v>1.0002</v>
      </c>
      <c r="H313" t="str">
        <f>IFERROR(VLOOKUP(A313,final!D:D,1,FALSE),"MISSING")</f>
        <v>MISSING</v>
      </c>
      <c r="I313">
        <f>IFERROR(VLOOKUP(A313,'From DB'!A:K,11,FALSE),"MISSING")</f>
        <v>1.1000000000000001</v>
      </c>
      <c r="K313" t="str">
        <f t="shared" si="5"/>
        <v/>
      </c>
      <c r="L313" t="str">
        <f>VLOOKUP(A313,new_list!A:E,5,FALSE)</f>
        <v>Generator</v>
      </c>
    </row>
    <row r="314" spans="1:12">
      <c r="A314" t="s">
        <v>669</v>
      </c>
      <c r="B314" t="s">
        <v>2659</v>
      </c>
      <c r="C314">
        <v>132</v>
      </c>
      <c r="D314" t="s">
        <v>2660</v>
      </c>
      <c r="E314" t="s">
        <v>2575</v>
      </c>
      <c r="F314">
        <v>0.98960000000000004</v>
      </c>
      <c r="G314">
        <v>0.99009999999999998</v>
      </c>
      <c r="H314" t="str">
        <f>IFERROR(VLOOKUP(A314,final!D:D,1,FALSE),"MISSING")</f>
        <v>MISSING</v>
      </c>
      <c r="I314">
        <f>IFERROR(VLOOKUP(A314,'From DB'!A:K,11,FALSE),"MISSING")</f>
        <v>3</v>
      </c>
      <c r="K314" t="str">
        <f t="shared" si="5"/>
        <v/>
      </c>
      <c r="L314" t="str">
        <f>VLOOKUP(A314,new_list!A:E,5,FALSE)</f>
        <v>Generator</v>
      </c>
    </row>
    <row r="315" spans="1:12">
      <c r="A315" t="s">
        <v>243</v>
      </c>
      <c r="B315" t="s">
        <v>244</v>
      </c>
      <c r="C315">
        <v>275</v>
      </c>
      <c r="D315" t="s">
        <v>865</v>
      </c>
      <c r="E315" t="s">
        <v>2940</v>
      </c>
      <c r="F315">
        <v>0.97030000000000005</v>
      </c>
      <c r="G315">
        <v>0.96740000000000004</v>
      </c>
      <c r="H315" t="str">
        <f>IFERROR(VLOOKUP(A315,final!D:D,1,FALSE),"MISSING")</f>
        <v>BLUFF1</v>
      </c>
      <c r="I315">
        <f>IFERROR(VLOOKUP(A315,'From DB'!A:K,11,FALSE),"MISSING")</f>
        <v>52.5</v>
      </c>
      <c r="K315" t="str">
        <f t="shared" si="5"/>
        <v/>
      </c>
      <c r="L315" t="str">
        <f>VLOOKUP(A315,new_list!A:E,5,FALSE)</f>
        <v>Generator</v>
      </c>
    </row>
    <row r="316" spans="1:12">
      <c r="A316" t="s">
        <v>675</v>
      </c>
      <c r="B316" t="s">
        <v>2661</v>
      </c>
      <c r="C316">
        <v>66</v>
      </c>
      <c r="D316" t="s">
        <v>2662</v>
      </c>
      <c r="E316" t="s">
        <v>2663</v>
      </c>
      <c r="F316">
        <v>1.0264</v>
      </c>
      <c r="G316">
        <v>1.1440999999999999</v>
      </c>
      <c r="H316" t="str">
        <f>IFERROR(VLOOKUP(A316,final!D:D,1,FALSE),"MISSING")</f>
        <v>MISSING</v>
      </c>
      <c r="I316">
        <f>IFERROR(VLOOKUP(A316,'From DB'!A:K,11,FALSE),"MISSING")</f>
        <v>3</v>
      </c>
      <c r="K316" t="str">
        <f t="shared" si="5"/>
        <v/>
      </c>
      <c r="L316" t="str">
        <f>VLOOKUP(A316,new_list!A:E,5,FALSE)</f>
        <v>Generator</v>
      </c>
    </row>
    <row r="317" spans="1:12">
      <c r="A317" t="s">
        <v>677</v>
      </c>
      <c r="B317" t="s">
        <v>2430</v>
      </c>
      <c r="C317">
        <v>33</v>
      </c>
      <c r="D317" t="s">
        <v>2431</v>
      </c>
      <c r="E317" t="s">
        <v>2432</v>
      </c>
      <c r="F317">
        <v>1.0026999999999999</v>
      </c>
      <c r="G317">
        <v>1.0015000000000001</v>
      </c>
      <c r="H317" t="str">
        <f>IFERROR(VLOOKUP(A317,final!D:D,1,FALSE),"MISSING")</f>
        <v>MISSING</v>
      </c>
      <c r="I317">
        <f>IFERROR(VLOOKUP(A317,'From DB'!A:K,11,FALSE),"MISSING")</f>
        <v>2</v>
      </c>
      <c r="K317" t="str">
        <f t="shared" si="5"/>
        <v/>
      </c>
      <c r="L317" t="str">
        <f>VLOOKUP(A317,new_list!A:E,5,FALSE)</f>
        <v>Generator</v>
      </c>
    </row>
    <row r="318" spans="1:12">
      <c r="A318" t="s">
        <v>2779</v>
      </c>
      <c r="B318" t="s">
        <v>2778</v>
      </c>
      <c r="C318">
        <v>66</v>
      </c>
      <c r="D318" t="s">
        <v>2780</v>
      </c>
      <c r="E318" t="s">
        <v>2781</v>
      </c>
      <c r="F318">
        <v>0.99119999999999997</v>
      </c>
      <c r="G318">
        <v>1.0148999999999999</v>
      </c>
      <c r="H318" t="str">
        <f>IFERROR(VLOOKUP(A318,final!D:D,1,FALSE),"MISSING")</f>
        <v>MISSING</v>
      </c>
      <c r="I318" t="str">
        <f>IFERROR(VLOOKUP(A318,'From DB'!A:K,11,FALSE),"MISSING")</f>
        <v>MISSING</v>
      </c>
      <c r="K318" t="str">
        <f t="shared" si="5"/>
        <v>NEED TO FIND</v>
      </c>
      <c r="L318" t="str">
        <f>VLOOKUP(A318,new_list!A:E,5,FALSE)</f>
        <v>Generator</v>
      </c>
    </row>
    <row r="319" spans="1:12">
      <c r="A319" t="s">
        <v>681</v>
      </c>
      <c r="B319" t="s">
        <v>83</v>
      </c>
      <c r="C319">
        <v>66</v>
      </c>
      <c r="D319" t="s">
        <v>1120</v>
      </c>
      <c r="E319" t="s">
        <v>2816</v>
      </c>
      <c r="F319">
        <v>0.99470000000000003</v>
      </c>
      <c r="G319">
        <v>0.9879</v>
      </c>
      <c r="H319" t="str">
        <f>IFERROR(VLOOKUP(A319,final!D:D,1,FALSE),"MISSING")</f>
        <v>TOORAWF</v>
      </c>
      <c r="I319">
        <f>IFERROR(VLOOKUP(A319,'From DB'!A:K,11,FALSE),"MISSING")</f>
        <v>21</v>
      </c>
      <c r="K319" t="str">
        <f t="shared" si="5"/>
        <v/>
      </c>
      <c r="L319" t="str">
        <f>VLOOKUP(A319,new_list!A:E,5,FALSE)</f>
        <v>Generator</v>
      </c>
    </row>
    <row r="320" spans="1:12">
      <c r="A320" t="s">
        <v>682</v>
      </c>
      <c r="B320" t="s">
        <v>2964</v>
      </c>
      <c r="C320">
        <v>275</v>
      </c>
      <c r="D320" t="s">
        <v>907</v>
      </c>
      <c r="E320" t="s">
        <v>2965</v>
      </c>
      <c r="F320">
        <v>0.99929999999999997</v>
      </c>
      <c r="G320">
        <v>1.0008999999999999</v>
      </c>
      <c r="H320" t="str">
        <f>IFERROR(VLOOKUP(A320,final!D:D,1,FALSE),"MISSING")</f>
        <v>TORRA1</v>
      </c>
      <c r="I320">
        <f>IFERROR(VLOOKUP(A320,'From DB'!A:K,11,FALSE),"MISSING")</f>
        <v>120</v>
      </c>
      <c r="K320" t="str">
        <f t="shared" si="5"/>
        <v/>
      </c>
      <c r="L320" t="str">
        <f>VLOOKUP(A320,new_list!A:E,5,FALSE)</f>
        <v>Generator</v>
      </c>
    </row>
    <row r="321" spans="1:12">
      <c r="A321" t="s">
        <v>684</v>
      </c>
      <c r="B321" t="s">
        <v>2966</v>
      </c>
      <c r="C321">
        <v>275</v>
      </c>
      <c r="D321" t="s">
        <v>909</v>
      </c>
      <c r="E321" t="s">
        <v>2965</v>
      </c>
      <c r="F321">
        <v>0.99929999999999997</v>
      </c>
      <c r="G321">
        <v>1.0008999999999999</v>
      </c>
      <c r="H321" t="str">
        <f>IFERROR(VLOOKUP(A321,final!D:D,1,FALSE),"MISSING")</f>
        <v>TORRA2</v>
      </c>
      <c r="I321">
        <f>IFERROR(VLOOKUP(A321,'From DB'!A:K,11,FALSE),"MISSING")</f>
        <v>120</v>
      </c>
      <c r="K321" t="str">
        <f t="shared" si="5"/>
        <v/>
      </c>
      <c r="L321" t="str">
        <f>VLOOKUP(A321,new_list!A:E,5,FALSE)</f>
        <v>Generator</v>
      </c>
    </row>
    <row r="322" spans="1:12">
      <c r="A322" t="s">
        <v>685</v>
      </c>
      <c r="B322" t="s">
        <v>2967</v>
      </c>
      <c r="C322">
        <v>275</v>
      </c>
      <c r="D322" t="s">
        <v>910</v>
      </c>
      <c r="E322" t="s">
        <v>2965</v>
      </c>
      <c r="F322">
        <v>0.99929999999999997</v>
      </c>
      <c r="G322">
        <v>1.0008999999999999</v>
      </c>
      <c r="H322" t="str">
        <f>IFERROR(VLOOKUP(A322,final!D:D,1,FALSE),"MISSING")</f>
        <v>TORRA3</v>
      </c>
      <c r="I322">
        <f>IFERROR(VLOOKUP(A322,'From DB'!A:K,11,FALSE),"MISSING")</f>
        <v>120</v>
      </c>
      <c r="K322" t="str">
        <f t="shared" si="5"/>
        <v/>
      </c>
      <c r="L322" t="str">
        <f>VLOOKUP(A322,new_list!A:E,5,FALSE)</f>
        <v>Generator</v>
      </c>
    </row>
    <row r="323" spans="1:12">
      <c r="A323" t="s">
        <v>686</v>
      </c>
      <c r="B323" t="s">
        <v>2968</v>
      </c>
      <c r="C323">
        <v>275</v>
      </c>
      <c r="D323" t="s">
        <v>911</v>
      </c>
      <c r="E323" t="s">
        <v>2965</v>
      </c>
      <c r="F323">
        <v>0.99929999999999997</v>
      </c>
      <c r="G323">
        <v>1.0008999999999999</v>
      </c>
      <c r="H323" t="str">
        <f>IFERROR(VLOOKUP(A323,final!D:D,1,FALSE),"MISSING")</f>
        <v>TORRA4</v>
      </c>
      <c r="I323">
        <f>IFERROR(VLOOKUP(A323,'From DB'!A:K,11,FALSE),"MISSING")</f>
        <v>120</v>
      </c>
      <c r="K323" t="str">
        <f t="shared" si="5"/>
        <v/>
      </c>
      <c r="L323" t="str">
        <f>VLOOKUP(A323,new_list!A:E,5,FALSE)</f>
        <v>Generator</v>
      </c>
    </row>
    <row r="324" spans="1:12">
      <c r="A324" t="s">
        <v>687</v>
      </c>
      <c r="B324" t="s">
        <v>2969</v>
      </c>
      <c r="C324">
        <v>275</v>
      </c>
      <c r="D324" t="s">
        <v>901</v>
      </c>
      <c r="E324" t="s">
        <v>2965</v>
      </c>
      <c r="F324">
        <v>0.99929999999999997</v>
      </c>
      <c r="G324">
        <v>1.0008999999999999</v>
      </c>
      <c r="H324" t="str">
        <f>IFERROR(VLOOKUP(A324,final!D:D,1,FALSE),"MISSING")</f>
        <v>TORRB1</v>
      </c>
      <c r="I324">
        <f>IFERROR(VLOOKUP(A324,'From DB'!A:K,11,FALSE),"MISSING")</f>
        <v>200</v>
      </c>
      <c r="K324" t="str">
        <f t="shared" si="5"/>
        <v/>
      </c>
      <c r="L324" t="str">
        <f>VLOOKUP(A324,new_list!A:E,5,FALSE)</f>
        <v>Generator</v>
      </c>
    </row>
    <row r="325" spans="1:12">
      <c r="A325" t="s">
        <v>689</v>
      </c>
      <c r="B325" t="s">
        <v>2970</v>
      </c>
      <c r="C325">
        <v>275</v>
      </c>
      <c r="D325" t="s">
        <v>904</v>
      </c>
      <c r="E325" t="s">
        <v>2965</v>
      </c>
      <c r="F325">
        <v>0.99929999999999997</v>
      </c>
      <c r="G325">
        <v>1.0008999999999999</v>
      </c>
      <c r="H325" t="str">
        <f>IFERROR(VLOOKUP(A325,final!D:D,1,FALSE),"MISSING")</f>
        <v>TORRB2</v>
      </c>
      <c r="I325">
        <f>IFERROR(VLOOKUP(A325,'From DB'!A:K,11,FALSE),"MISSING")</f>
        <v>200</v>
      </c>
      <c r="K325" t="str">
        <f t="shared" si="5"/>
        <v/>
      </c>
      <c r="L325" t="str">
        <f>VLOOKUP(A325,new_list!A:E,5,FALSE)</f>
        <v>Generator</v>
      </c>
    </row>
    <row r="326" spans="1:12">
      <c r="A326" t="s">
        <v>690</v>
      </c>
      <c r="B326" t="s">
        <v>2971</v>
      </c>
      <c r="C326">
        <v>275</v>
      </c>
      <c r="D326" t="s">
        <v>905</v>
      </c>
      <c r="E326" t="s">
        <v>2965</v>
      </c>
      <c r="F326">
        <v>0.99929999999999997</v>
      </c>
      <c r="G326">
        <v>1.0008999999999999</v>
      </c>
      <c r="H326" t="str">
        <f>IFERROR(VLOOKUP(A326,final!D:D,1,FALSE),"MISSING")</f>
        <v>TORRB3</v>
      </c>
      <c r="I326">
        <f>IFERROR(VLOOKUP(A326,'From DB'!A:K,11,FALSE),"MISSING")</f>
        <v>200</v>
      </c>
      <c r="K326" t="str">
        <f t="shared" si="5"/>
        <v/>
      </c>
      <c r="L326" t="str">
        <f>VLOOKUP(A326,new_list!A:E,5,FALSE)</f>
        <v>Generator</v>
      </c>
    </row>
    <row r="327" spans="1:12">
      <c r="A327" t="s">
        <v>691</v>
      </c>
      <c r="B327" t="s">
        <v>2972</v>
      </c>
      <c r="C327">
        <v>275</v>
      </c>
      <c r="D327" t="s">
        <v>906</v>
      </c>
      <c r="E327" t="s">
        <v>2965</v>
      </c>
      <c r="F327">
        <v>0.99929999999999997</v>
      </c>
      <c r="G327">
        <v>1.0008999999999999</v>
      </c>
      <c r="H327" t="str">
        <f>IFERROR(VLOOKUP(A327,final!D:D,1,FALSE),"MISSING")</f>
        <v>TORRB4</v>
      </c>
      <c r="I327">
        <f>IFERROR(VLOOKUP(A327,'From DB'!A:K,11,FALSE),"MISSING")</f>
        <v>200</v>
      </c>
      <c r="K327" t="str">
        <f t="shared" si="5"/>
        <v/>
      </c>
      <c r="L327" t="str">
        <f>VLOOKUP(A327,new_list!A:E,5,FALSE)</f>
        <v>Generator</v>
      </c>
    </row>
    <row r="328" spans="1:12">
      <c r="A328" t="s">
        <v>2665</v>
      </c>
      <c r="B328" t="s">
        <v>2664</v>
      </c>
      <c r="C328">
        <v>132</v>
      </c>
      <c r="D328" t="s">
        <v>2666</v>
      </c>
      <c r="E328" t="s">
        <v>2568</v>
      </c>
      <c r="F328">
        <v>1.0012000000000001</v>
      </c>
      <c r="G328">
        <v>1.0024</v>
      </c>
      <c r="H328" t="str">
        <f>IFERROR(VLOOKUP(A328,final!D:D,1,FALSE),"MISSING")</f>
        <v>TOWER</v>
      </c>
      <c r="I328" t="str">
        <f>IFERROR(VLOOKUP(A328,'From DB'!A:K,11,FALSE),"MISSING")</f>
        <v>MISSING</v>
      </c>
      <c r="K328" t="str">
        <f t="shared" si="5"/>
        <v/>
      </c>
      <c r="L328" t="str">
        <f>VLOOKUP(A328,new_list!A:E,5,FALSE)</f>
        <v>Generator</v>
      </c>
    </row>
    <row r="329" spans="1:12">
      <c r="A329" t="s">
        <v>673</v>
      </c>
      <c r="B329" t="s">
        <v>2876</v>
      </c>
      <c r="C329">
        <v>66</v>
      </c>
      <c r="D329" t="s">
        <v>2877</v>
      </c>
      <c r="E329" t="s">
        <v>2816</v>
      </c>
      <c r="F329">
        <v>0.99470000000000003</v>
      </c>
      <c r="G329">
        <v>0.9879</v>
      </c>
      <c r="H329" t="str">
        <f>IFERROR(VLOOKUP(A329,final!D:D,1,FALSE),"MISSING")</f>
        <v>MISSING</v>
      </c>
      <c r="I329">
        <f>IFERROR(VLOOKUP(A329,'From DB'!A:K,11,FALSE),"MISSING")</f>
        <v>10</v>
      </c>
      <c r="K329" t="str">
        <f t="shared" si="5"/>
        <v/>
      </c>
      <c r="L329" t="str">
        <f>VLOOKUP(A329,new_list!A:E,5,FALSE)</f>
        <v>Generator</v>
      </c>
    </row>
    <row r="330" spans="1:12">
      <c r="A330" t="s">
        <v>692</v>
      </c>
      <c r="B330" t="s">
        <v>3064</v>
      </c>
      <c r="C330">
        <v>110</v>
      </c>
      <c r="D330" t="s">
        <v>965</v>
      </c>
      <c r="E330" t="s">
        <v>3065</v>
      </c>
      <c r="F330">
        <v>0.98970000000000002</v>
      </c>
      <c r="G330">
        <v>0.9909</v>
      </c>
      <c r="H330" t="str">
        <f>IFERROR(VLOOKUP(A330,final!D:D,1,FALSE),"MISSING")</f>
        <v>TREVALLN</v>
      </c>
      <c r="I330">
        <f>IFERROR(VLOOKUP(A330,'From DB'!A:K,11,FALSE),"MISSING")</f>
        <v>80</v>
      </c>
      <c r="K330" t="str">
        <f t="shared" si="5"/>
        <v/>
      </c>
      <c r="L330" t="str">
        <f>VLOOKUP(A330,new_list!A:E,5,FALSE)</f>
        <v>Generator</v>
      </c>
    </row>
    <row r="331" spans="1:12">
      <c r="A331" t="s">
        <v>694</v>
      </c>
      <c r="B331" t="s">
        <v>3066</v>
      </c>
      <c r="C331">
        <v>220</v>
      </c>
      <c r="D331" t="s">
        <v>992</v>
      </c>
      <c r="E331" t="s">
        <v>3067</v>
      </c>
      <c r="F331">
        <v>0.93720000000000003</v>
      </c>
      <c r="G331">
        <v>0.93769999999999998</v>
      </c>
      <c r="H331" t="str">
        <f>IFERROR(VLOOKUP(A331,final!D:D,1,FALSE),"MISSING")</f>
        <v>TRIBUTE</v>
      </c>
      <c r="I331">
        <f>IFERROR(VLOOKUP(A331,'From DB'!A:K,11,FALSE),"MISSING")</f>
        <v>82.8</v>
      </c>
      <c r="K331" t="str">
        <f t="shared" si="5"/>
        <v/>
      </c>
      <c r="L331" t="str">
        <f>VLOOKUP(A331,new_list!A:E,5,FALSE)</f>
        <v>Generator</v>
      </c>
    </row>
    <row r="332" spans="1:12">
      <c r="A332" t="s">
        <v>697</v>
      </c>
      <c r="B332" t="s">
        <v>3068</v>
      </c>
      <c r="C332">
        <v>110</v>
      </c>
      <c r="D332" t="s">
        <v>1012</v>
      </c>
      <c r="E332" t="s">
        <v>3069</v>
      </c>
      <c r="F332">
        <v>0.8911</v>
      </c>
      <c r="G332">
        <v>0.91839999999999999</v>
      </c>
      <c r="H332" t="str">
        <f>IFERROR(VLOOKUP(A332,final!D:D,1,FALSE),"MISSING")</f>
        <v>TUNGATIN</v>
      </c>
      <c r="I332">
        <f>IFERROR(VLOOKUP(A332,'From DB'!A:K,11,FALSE),"MISSING")</f>
        <v>125</v>
      </c>
      <c r="K332" t="str">
        <f t="shared" si="5"/>
        <v/>
      </c>
      <c r="L332" t="str">
        <f>VLOOKUP(A332,new_list!A:E,5,FALSE)</f>
        <v>Generator</v>
      </c>
    </row>
    <row r="333" spans="1:12">
      <c r="A333" t="s">
        <v>703</v>
      </c>
      <c r="B333" t="s">
        <v>2546</v>
      </c>
      <c r="C333">
        <v>330</v>
      </c>
      <c r="D333" t="s">
        <v>1278</v>
      </c>
      <c r="E333" t="s">
        <v>2547</v>
      </c>
      <c r="F333">
        <v>0.95940000000000003</v>
      </c>
      <c r="G333">
        <v>1.0112000000000001</v>
      </c>
      <c r="H333" t="str">
        <f>IFERROR(VLOOKUP(A333,final!D:D,1,FALSE),"MISSING")</f>
        <v>UPPTUMUT</v>
      </c>
      <c r="I333">
        <f>IFERROR(VLOOKUP(A333,'From DB'!A:K,11,FALSE),"MISSING")</f>
        <v>616</v>
      </c>
      <c r="K333" t="str">
        <f t="shared" si="5"/>
        <v/>
      </c>
      <c r="L333" t="str">
        <f>VLOOKUP(A333,new_list!A:E,5,FALSE)</f>
        <v>Generator</v>
      </c>
    </row>
    <row r="334" spans="1:12">
      <c r="A334" t="s">
        <v>705</v>
      </c>
      <c r="B334" t="s">
        <v>2548</v>
      </c>
      <c r="C334">
        <v>132</v>
      </c>
      <c r="D334" t="s">
        <v>1255</v>
      </c>
      <c r="E334" t="s">
        <v>2549</v>
      </c>
      <c r="F334">
        <v>0.88390000000000002</v>
      </c>
      <c r="G334">
        <v>0.96089999999999998</v>
      </c>
      <c r="H334" t="str">
        <f>IFERROR(VLOOKUP(A334,final!D:D,1,FALSE),"MISSING")</f>
        <v>URANQ11</v>
      </c>
      <c r="I334">
        <f>IFERROR(VLOOKUP(A334,'From DB'!A:K,11,FALSE),"MISSING")</f>
        <v>166</v>
      </c>
      <c r="K334" t="str">
        <f t="shared" si="5"/>
        <v/>
      </c>
      <c r="L334" t="str">
        <f>VLOOKUP(A334,new_list!A:E,5,FALSE)</f>
        <v>Generator</v>
      </c>
    </row>
    <row r="335" spans="1:12">
      <c r="A335" t="s">
        <v>707</v>
      </c>
      <c r="B335" t="s">
        <v>2550</v>
      </c>
      <c r="C335">
        <v>132</v>
      </c>
      <c r="D335" t="s">
        <v>1257</v>
      </c>
      <c r="E335" t="s">
        <v>2549</v>
      </c>
      <c r="F335">
        <v>0.88390000000000002</v>
      </c>
      <c r="G335">
        <v>0.96089999999999998</v>
      </c>
      <c r="H335" t="str">
        <f>IFERROR(VLOOKUP(A335,final!D:D,1,FALSE),"MISSING")</f>
        <v>URANQ12</v>
      </c>
      <c r="I335">
        <f>IFERROR(VLOOKUP(A335,'From DB'!A:K,11,FALSE),"MISSING")</f>
        <v>166</v>
      </c>
      <c r="K335" t="str">
        <f t="shared" si="5"/>
        <v/>
      </c>
      <c r="L335" t="str">
        <f>VLOOKUP(A335,new_list!A:E,5,FALSE)</f>
        <v>Generator</v>
      </c>
    </row>
    <row r="336" spans="1:12">
      <c r="A336" t="s">
        <v>708</v>
      </c>
      <c r="B336" t="s">
        <v>2551</v>
      </c>
      <c r="C336">
        <v>132</v>
      </c>
      <c r="D336" t="s">
        <v>1258</v>
      </c>
      <c r="E336" t="s">
        <v>2549</v>
      </c>
      <c r="F336">
        <v>0.88390000000000002</v>
      </c>
      <c r="G336">
        <v>0.96089999999999998</v>
      </c>
      <c r="H336" t="str">
        <f>IFERROR(VLOOKUP(A336,final!D:D,1,FALSE),"MISSING")</f>
        <v>URANQ13</v>
      </c>
      <c r="I336">
        <f>IFERROR(VLOOKUP(A336,'From DB'!A:K,11,FALSE),"MISSING")</f>
        <v>166</v>
      </c>
      <c r="K336" t="str">
        <f t="shared" si="5"/>
        <v/>
      </c>
      <c r="L336" t="str">
        <f>VLOOKUP(A336,new_list!A:E,5,FALSE)</f>
        <v>Generator</v>
      </c>
    </row>
    <row r="337" spans="1:12">
      <c r="A337" t="s">
        <v>709</v>
      </c>
      <c r="B337" t="s">
        <v>2552</v>
      </c>
      <c r="C337">
        <v>132</v>
      </c>
      <c r="D337" t="s">
        <v>1259</v>
      </c>
      <c r="E337" t="s">
        <v>2549</v>
      </c>
      <c r="F337">
        <v>0.88390000000000002</v>
      </c>
      <c r="G337">
        <v>0.96089999999999998</v>
      </c>
      <c r="H337" t="str">
        <f>IFERROR(VLOOKUP(A337,final!D:D,1,FALSE),"MISSING")</f>
        <v>URANQ14</v>
      </c>
      <c r="I337">
        <f>IFERROR(VLOOKUP(A337,'From DB'!A:K,11,FALSE),"MISSING")</f>
        <v>166</v>
      </c>
      <c r="K337" t="str">
        <f t="shared" si="5"/>
        <v/>
      </c>
      <c r="L337" t="str">
        <f>VLOOKUP(A337,new_list!A:E,5,FALSE)</f>
        <v>Generator</v>
      </c>
    </row>
    <row r="338" spans="1:12">
      <c r="A338" t="s">
        <v>710</v>
      </c>
      <c r="B338" t="s">
        <v>2557</v>
      </c>
      <c r="C338">
        <v>330</v>
      </c>
      <c r="D338" t="s">
        <v>1202</v>
      </c>
      <c r="E338" t="s">
        <v>2556</v>
      </c>
      <c r="F338">
        <v>0.98550000000000004</v>
      </c>
      <c r="G338">
        <v>0.98509999999999998</v>
      </c>
      <c r="H338" t="str">
        <f>IFERROR(VLOOKUP(A338,final!D:D,1,FALSE),"MISSING")</f>
        <v>VP5</v>
      </c>
      <c r="I338">
        <f>IFERROR(VLOOKUP(A338,'From DB'!A:K,11,FALSE),"MISSING")</f>
        <v>660</v>
      </c>
      <c r="K338" t="str">
        <f t="shared" si="5"/>
        <v/>
      </c>
      <c r="L338" t="str">
        <f>VLOOKUP(A338,new_list!A:E,5,FALSE)</f>
        <v>Generator</v>
      </c>
    </row>
    <row r="339" spans="1:12">
      <c r="A339" t="s">
        <v>712</v>
      </c>
      <c r="B339" t="s">
        <v>2558</v>
      </c>
      <c r="C339">
        <v>330</v>
      </c>
      <c r="D339" t="s">
        <v>1204</v>
      </c>
      <c r="E339" t="s">
        <v>2556</v>
      </c>
      <c r="F339">
        <v>0.98550000000000004</v>
      </c>
      <c r="G339">
        <v>0.98509999999999998</v>
      </c>
      <c r="H339" t="str">
        <f>IFERROR(VLOOKUP(A339,final!D:D,1,FALSE),"MISSING")</f>
        <v>VP6</v>
      </c>
      <c r="I339">
        <f>IFERROR(VLOOKUP(A339,'From DB'!A:K,11,FALSE),"MISSING")</f>
        <v>660</v>
      </c>
      <c r="K339" t="str">
        <f t="shared" si="5"/>
        <v/>
      </c>
      <c r="L339" t="str">
        <f>VLOOKUP(A339,new_list!A:E,5,FALSE)</f>
        <v>Generator</v>
      </c>
    </row>
    <row r="340" spans="1:12">
      <c r="A340" t="s">
        <v>715</v>
      </c>
      <c r="B340" t="s">
        <v>2782</v>
      </c>
      <c r="C340">
        <v>500</v>
      </c>
      <c r="D340" t="s">
        <v>2783</v>
      </c>
      <c r="E340" t="s">
        <v>2752</v>
      </c>
      <c r="F340">
        <v>0.97640000000000005</v>
      </c>
      <c r="G340">
        <v>0.9798</v>
      </c>
      <c r="H340" t="str">
        <f>IFERROR(VLOOKUP(A340,final!D:D,1,FALSE),"MISSING")</f>
        <v>VPGS1</v>
      </c>
      <c r="I340">
        <f>IFERROR(VLOOKUP(A340,'From DB'!A:K,11,FALSE),"MISSING")</f>
        <v>50</v>
      </c>
      <c r="K340" t="str">
        <f t="shared" si="5"/>
        <v/>
      </c>
      <c r="L340" t="str">
        <f>VLOOKUP(A340,new_list!A:E,5,FALSE)</f>
        <v>Generator</v>
      </c>
    </row>
    <row r="341" spans="1:12">
      <c r="A341" t="s">
        <v>716</v>
      </c>
      <c r="B341" t="s">
        <v>2784</v>
      </c>
      <c r="C341">
        <v>500</v>
      </c>
      <c r="D341" t="s">
        <v>2785</v>
      </c>
      <c r="E341" t="s">
        <v>2752</v>
      </c>
      <c r="F341">
        <v>0.97640000000000005</v>
      </c>
      <c r="G341">
        <v>0.9798</v>
      </c>
      <c r="H341" t="str">
        <f>IFERROR(VLOOKUP(A341,final!D:D,1,FALSE),"MISSING")</f>
        <v>VPGS2</v>
      </c>
      <c r="I341">
        <f>IFERROR(VLOOKUP(A341,'From DB'!A:K,11,FALSE),"MISSING")</f>
        <v>50</v>
      </c>
      <c r="K341" t="str">
        <f t="shared" si="5"/>
        <v/>
      </c>
      <c r="L341" t="str">
        <f>VLOOKUP(A341,new_list!A:E,5,FALSE)</f>
        <v>Generator</v>
      </c>
    </row>
    <row r="342" spans="1:12">
      <c r="A342" t="s">
        <v>717</v>
      </c>
      <c r="B342" t="s">
        <v>2786</v>
      </c>
      <c r="C342">
        <v>500</v>
      </c>
      <c r="D342" t="s">
        <v>2787</v>
      </c>
      <c r="E342" t="s">
        <v>2752</v>
      </c>
      <c r="F342">
        <v>0.97640000000000005</v>
      </c>
      <c r="G342">
        <v>0.9798</v>
      </c>
      <c r="H342" t="str">
        <f>IFERROR(VLOOKUP(A342,final!D:D,1,FALSE),"MISSING")</f>
        <v>VPGS3</v>
      </c>
      <c r="I342">
        <f>IFERROR(VLOOKUP(A342,'From DB'!A:K,11,FALSE),"MISSING")</f>
        <v>50</v>
      </c>
      <c r="K342" t="str">
        <f t="shared" si="5"/>
        <v/>
      </c>
      <c r="L342" t="str">
        <f>VLOOKUP(A342,new_list!A:E,5,FALSE)</f>
        <v>Generator</v>
      </c>
    </row>
    <row r="343" spans="1:12">
      <c r="A343" t="s">
        <v>718</v>
      </c>
      <c r="B343" t="s">
        <v>2788</v>
      </c>
      <c r="C343">
        <v>500</v>
      </c>
      <c r="D343" t="s">
        <v>2789</v>
      </c>
      <c r="E343" t="s">
        <v>2752</v>
      </c>
      <c r="F343">
        <v>0.97640000000000005</v>
      </c>
      <c r="G343">
        <v>0.9798</v>
      </c>
      <c r="H343" t="str">
        <f>IFERROR(VLOOKUP(A343,final!D:D,1,FALSE),"MISSING")</f>
        <v>VPGS4</v>
      </c>
      <c r="I343">
        <f>IFERROR(VLOOKUP(A343,'From DB'!A:K,11,FALSE),"MISSING")</f>
        <v>50</v>
      </c>
      <c r="K343" t="str">
        <f t="shared" si="5"/>
        <v/>
      </c>
      <c r="L343" t="str">
        <f>VLOOKUP(A343,new_list!A:E,5,FALSE)</f>
        <v>Generator</v>
      </c>
    </row>
    <row r="344" spans="1:12">
      <c r="A344" t="s">
        <v>719</v>
      </c>
      <c r="B344" t="s">
        <v>2790</v>
      </c>
      <c r="C344">
        <v>500</v>
      </c>
      <c r="D344" t="s">
        <v>2791</v>
      </c>
      <c r="E344" t="s">
        <v>2752</v>
      </c>
      <c r="F344">
        <v>0.97640000000000005</v>
      </c>
      <c r="G344">
        <v>0.9798</v>
      </c>
      <c r="H344" t="str">
        <f>IFERROR(VLOOKUP(A344,final!D:D,1,FALSE),"MISSING")</f>
        <v>VPGS5</v>
      </c>
      <c r="I344">
        <f>IFERROR(VLOOKUP(A344,'From DB'!A:K,11,FALSE),"MISSING")</f>
        <v>50</v>
      </c>
      <c r="K344" t="str">
        <f t="shared" si="5"/>
        <v/>
      </c>
      <c r="L344" t="str">
        <f>VLOOKUP(A344,new_list!A:E,5,FALSE)</f>
        <v>Generator</v>
      </c>
    </row>
    <row r="345" spans="1:12">
      <c r="A345" t="s">
        <v>720</v>
      </c>
      <c r="B345" t="s">
        <v>2792</v>
      </c>
      <c r="C345">
        <v>500</v>
      </c>
      <c r="D345" t="s">
        <v>2793</v>
      </c>
      <c r="E345" t="s">
        <v>2752</v>
      </c>
      <c r="F345">
        <v>0.97640000000000005</v>
      </c>
      <c r="G345">
        <v>0.9798</v>
      </c>
      <c r="H345" t="str">
        <f>IFERROR(VLOOKUP(A345,final!D:D,1,FALSE),"MISSING")</f>
        <v>VPGS6</v>
      </c>
      <c r="I345">
        <f>IFERROR(VLOOKUP(A345,'From DB'!A:K,11,FALSE),"MISSING")</f>
        <v>50</v>
      </c>
      <c r="K345" t="str">
        <f t="shared" si="5"/>
        <v/>
      </c>
      <c r="L345" t="str">
        <f>VLOOKUP(A345,new_list!A:E,5,FALSE)</f>
        <v>Generator</v>
      </c>
    </row>
    <row r="346" spans="1:12">
      <c r="A346" t="s">
        <v>725</v>
      </c>
      <c r="B346" t="s">
        <v>726</v>
      </c>
      <c r="C346">
        <v>132</v>
      </c>
      <c r="D346" t="s">
        <v>2977</v>
      </c>
      <c r="E346" t="s">
        <v>871</v>
      </c>
      <c r="F346">
        <v>0.9698</v>
      </c>
      <c r="G346">
        <v>0.97119999999999995</v>
      </c>
      <c r="H346" t="str">
        <f>IFERROR(VLOOKUP(A346,final!D:D,1,FALSE),"MISSING")</f>
        <v>WATERLWF</v>
      </c>
      <c r="I346">
        <f>IFERROR(VLOOKUP(A346,'From DB'!A:K,11,FALSE),"MISSING")</f>
        <v>111</v>
      </c>
      <c r="K346" t="str">
        <f t="shared" si="5"/>
        <v/>
      </c>
      <c r="L346" t="str">
        <f>VLOOKUP(A346,new_list!A:E,5,FALSE)</f>
        <v>Generator</v>
      </c>
    </row>
    <row r="347" spans="1:12">
      <c r="A347" t="s">
        <v>762</v>
      </c>
      <c r="B347" t="s">
        <v>763</v>
      </c>
      <c r="C347">
        <v>132</v>
      </c>
      <c r="D347" t="s">
        <v>876</v>
      </c>
      <c r="E347" t="s">
        <v>2978</v>
      </c>
      <c r="F347">
        <v>0.81310000000000004</v>
      </c>
      <c r="G347">
        <v>0.82789999999999997</v>
      </c>
      <c r="H347" t="str">
        <f>IFERROR(VLOOKUP(A347,final!D:D,1,FALSE),"MISSING")</f>
        <v>WPWF</v>
      </c>
      <c r="I347">
        <f>IFERROR(VLOOKUP(A347,'From DB'!A:K,11,FALSE),"MISSING")</f>
        <v>90.75</v>
      </c>
      <c r="K347" t="str">
        <f t="shared" si="5"/>
        <v/>
      </c>
      <c r="L347" t="str">
        <f>VLOOKUP(A347,new_list!A:E,5,FALSE)</f>
        <v>Generator</v>
      </c>
    </row>
    <row r="348" spans="1:12">
      <c r="A348" t="s">
        <v>727</v>
      </c>
      <c r="B348" t="s">
        <v>728</v>
      </c>
      <c r="C348">
        <v>220</v>
      </c>
      <c r="D348" t="s">
        <v>1134</v>
      </c>
      <c r="E348" t="s">
        <v>2794</v>
      </c>
      <c r="F348">
        <v>0.91869999999999996</v>
      </c>
      <c r="G348">
        <v>0.97840000000000005</v>
      </c>
      <c r="H348" t="str">
        <f>IFERROR(VLOOKUP(A348,final!D:D,1,FALSE),"MISSING")</f>
        <v>WAUBRAWF</v>
      </c>
      <c r="I348">
        <f>IFERROR(VLOOKUP(A348,'From DB'!A:K,11,FALSE),"MISSING")</f>
        <v>192</v>
      </c>
      <c r="K348" t="str">
        <f t="shared" si="5"/>
        <v/>
      </c>
      <c r="L348" t="str">
        <f>VLOOKUP(A348,new_list!A:E,5,FALSE)</f>
        <v>Generator</v>
      </c>
    </row>
    <row r="349" spans="1:12">
      <c r="A349" t="s">
        <v>467</v>
      </c>
      <c r="B349" t="s">
        <v>3070</v>
      </c>
      <c r="C349">
        <v>220</v>
      </c>
      <c r="D349" t="s">
        <v>1015</v>
      </c>
      <c r="E349" t="s">
        <v>3025</v>
      </c>
      <c r="F349">
        <v>0.99239999999999995</v>
      </c>
      <c r="G349">
        <v>0.99770000000000003</v>
      </c>
      <c r="H349" t="str">
        <f>IFERROR(VLOOKUP(A349,final!D:D,1,FALSE),"MISSING")</f>
        <v>LI_WY_CA</v>
      </c>
      <c r="I349">
        <f>IFERROR(VLOOKUP(A349,'From DB'!A:K,11,FALSE),"MISSING")</f>
        <v>170.1</v>
      </c>
      <c r="K349" t="str">
        <f t="shared" si="5"/>
        <v/>
      </c>
      <c r="L349" t="str">
        <f>VLOOKUP(A349,new_list!A:E,5,FALSE)</f>
        <v>Generator</v>
      </c>
    </row>
    <row r="350" spans="1:12">
      <c r="A350" t="s">
        <v>2796</v>
      </c>
      <c r="B350" t="s">
        <v>2795</v>
      </c>
      <c r="C350">
        <v>66</v>
      </c>
      <c r="D350" t="s">
        <v>2797</v>
      </c>
      <c r="E350" t="s">
        <v>2706</v>
      </c>
      <c r="F350">
        <v>0.80840000000000001</v>
      </c>
      <c r="G350">
        <v>0.92620000000000002</v>
      </c>
      <c r="H350" t="str">
        <f>IFERROR(VLOOKUP(A350,final!D:D,1,FALSE),"MISSING")</f>
        <v>WEMENSF1</v>
      </c>
      <c r="I350" t="str">
        <f>IFERROR(VLOOKUP(A350,'From DB'!A:K,11,FALSE),"MISSING")</f>
        <v>MISSING</v>
      </c>
      <c r="K350" t="str">
        <f t="shared" si="5"/>
        <v/>
      </c>
      <c r="L350" t="str">
        <f>VLOOKUP(A350,new_list!A:E,5,FALSE)</f>
        <v>Generator</v>
      </c>
    </row>
    <row r="351" spans="1:12">
      <c r="A351" t="s">
        <v>749</v>
      </c>
      <c r="B351" t="s">
        <v>2798</v>
      </c>
      <c r="C351">
        <v>220</v>
      </c>
      <c r="D351" t="s">
        <v>1042</v>
      </c>
      <c r="E351" t="s">
        <v>2799</v>
      </c>
      <c r="F351">
        <v>0.98729999999999996</v>
      </c>
      <c r="G351">
        <v>0.9607</v>
      </c>
      <c r="H351" t="str">
        <f>IFERROR(VLOOKUP(A351,final!D:D,1,FALSE),"MISSING")</f>
        <v>WKIEWA1</v>
      </c>
      <c r="I351">
        <f>IFERROR(VLOOKUP(A351,'From DB'!A:K,11,FALSE),"MISSING")</f>
        <v>31</v>
      </c>
      <c r="K351" t="str">
        <f t="shared" si="5"/>
        <v/>
      </c>
      <c r="L351" t="str">
        <f>VLOOKUP(A351,new_list!A:E,5,FALSE)</f>
        <v>Generator</v>
      </c>
    </row>
    <row r="352" spans="1:12">
      <c r="A352" t="s">
        <v>751</v>
      </c>
      <c r="B352" t="s">
        <v>2800</v>
      </c>
      <c r="C352">
        <v>220</v>
      </c>
      <c r="D352" t="s">
        <v>1044</v>
      </c>
      <c r="E352" t="s">
        <v>2799</v>
      </c>
      <c r="F352">
        <v>0.98729999999999996</v>
      </c>
      <c r="G352">
        <v>0.9607</v>
      </c>
      <c r="H352" t="str">
        <f>IFERROR(VLOOKUP(A352,final!D:D,1,FALSE),"MISSING")</f>
        <v>WKIEWA2</v>
      </c>
      <c r="I352">
        <f>IFERROR(VLOOKUP(A352,'From DB'!A:K,11,FALSE),"MISSING")</f>
        <v>31</v>
      </c>
      <c r="K352" t="str">
        <f t="shared" si="5"/>
        <v/>
      </c>
      <c r="L352" t="str">
        <f>VLOOKUP(A352,new_list!A:E,5,FALSE)</f>
        <v>Generator</v>
      </c>
    </row>
    <row r="353" spans="1:12">
      <c r="A353" t="s">
        <v>174</v>
      </c>
      <c r="B353" t="s">
        <v>2667</v>
      </c>
      <c r="C353">
        <v>132</v>
      </c>
      <c r="D353" t="s">
        <v>2668</v>
      </c>
      <c r="E353" t="s">
        <v>2669</v>
      </c>
      <c r="F353">
        <v>0.99439999999999995</v>
      </c>
      <c r="G353">
        <v>1.0037</v>
      </c>
      <c r="H353" t="str">
        <f>IFERROR(VLOOKUP(A353,final!D:D,1,FALSE),"MISSING")</f>
        <v>MISSING</v>
      </c>
      <c r="I353">
        <f>IFERROR(VLOOKUP(A353,'From DB'!A:K,11,FALSE),"MISSING")</f>
        <v>1</v>
      </c>
      <c r="K353" t="str">
        <f t="shared" si="5"/>
        <v/>
      </c>
      <c r="L353" t="str">
        <f>VLOOKUP(A353,new_list!A:E,5,FALSE)</f>
        <v>Generator</v>
      </c>
    </row>
    <row r="354" spans="1:12">
      <c r="A354" t="s">
        <v>733</v>
      </c>
      <c r="B354" t="s">
        <v>2670</v>
      </c>
      <c r="C354">
        <v>132</v>
      </c>
      <c r="D354" t="s">
        <v>2671</v>
      </c>
      <c r="E354" t="s">
        <v>2669</v>
      </c>
      <c r="F354">
        <v>0.99439999999999995</v>
      </c>
      <c r="G354">
        <v>1.0037</v>
      </c>
      <c r="H354" t="str">
        <f>IFERROR(VLOOKUP(A354,final!D:D,1,FALSE),"MISSING")</f>
        <v>MISSING</v>
      </c>
      <c r="I354">
        <f>IFERROR(VLOOKUP(A354,'From DB'!A:K,11,FALSE),"MISSING")</f>
        <v>1</v>
      </c>
      <c r="K354" t="str">
        <f t="shared" si="5"/>
        <v/>
      </c>
      <c r="L354" t="str">
        <f>VLOOKUP(A354,new_list!A:E,5,FALSE)</f>
        <v>Generator</v>
      </c>
    </row>
    <row r="355" spans="1:12">
      <c r="A355" t="s">
        <v>2564</v>
      </c>
      <c r="B355" t="s">
        <v>2563</v>
      </c>
      <c r="C355">
        <v>132</v>
      </c>
      <c r="D355" t="s">
        <v>2565</v>
      </c>
      <c r="E355" t="s">
        <v>2562</v>
      </c>
      <c r="F355">
        <v>0.83279999999999998</v>
      </c>
      <c r="G355">
        <v>0.8427</v>
      </c>
      <c r="H355" t="str">
        <f>IFERROR(VLOOKUP(A355,final!D:D,1,FALSE),"MISSING")</f>
        <v>WRSF1</v>
      </c>
      <c r="I355" t="str">
        <f>IFERROR(VLOOKUP(A355,'From DB'!A:K,11,FALSE),"MISSING")</f>
        <v>MISSING</v>
      </c>
      <c r="K355" t="str">
        <f t="shared" si="5"/>
        <v/>
      </c>
      <c r="L355" t="str">
        <f>VLOOKUP(A355,new_list!A:E,5,FALSE)</f>
        <v>Generator</v>
      </c>
    </row>
    <row r="356" spans="1:12">
      <c r="A356" t="s">
        <v>2560</v>
      </c>
      <c r="B356" t="s">
        <v>2559</v>
      </c>
      <c r="C356">
        <v>132</v>
      </c>
      <c r="D356" t="s">
        <v>2561</v>
      </c>
      <c r="E356" t="s">
        <v>2562</v>
      </c>
      <c r="F356">
        <v>0.83279999999999998</v>
      </c>
      <c r="G356">
        <v>0.8427</v>
      </c>
      <c r="H356" t="str">
        <f>IFERROR(VLOOKUP(A356,final!D:D,1,FALSE),"MISSING")</f>
        <v>WRWF1</v>
      </c>
      <c r="I356" t="str">
        <f>IFERROR(VLOOKUP(A356,'From DB'!A:K,11,FALSE),"MISSING")</f>
        <v>MISSING</v>
      </c>
      <c r="K356" t="str">
        <f t="shared" si="5"/>
        <v/>
      </c>
      <c r="L356" t="str">
        <f>VLOOKUP(A356,new_list!A:E,5,FALSE)</f>
        <v>Generator</v>
      </c>
    </row>
    <row r="357" spans="1:12">
      <c r="A357" t="s">
        <v>2341</v>
      </c>
      <c r="B357" t="s">
        <v>2340</v>
      </c>
      <c r="C357">
        <v>33</v>
      </c>
      <c r="D357" t="s">
        <v>2342</v>
      </c>
      <c r="E357" t="s">
        <v>2343</v>
      </c>
      <c r="F357">
        <v>0.82869999999999999</v>
      </c>
      <c r="G357">
        <v>0.87409999999999999</v>
      </c>
      <c r="H357" t="str">
        <f>IFERROR(VLOOKUP(A357,final!D:D,1,FALSE),"MISSING")</f>
        <v>WHITSF1</v>
      </c>
      <c r="I357" t="str">
        <f>IFERROR(VLOOKUP(A357,'From DB'!A:K,11,FALSE),"MISSING")</f>
        <v>MISSING</v>
      </c>
      <c r="K357" t="str">
        <f t="shared" si="5"/>
        <v/>
      </c>
      <c r="L357" t="str">
        <f>VLOOKUP(A357,new_list!A:E,5,FALSE)</f>
        <v>Generator</v>
      </c>
    </row>
    <row r="358" spans="1:12">
      <c r="A358" t="s">
        <v>737</v>
      </c>
      <c r="B358" t="s">
        <v>2433</v>
      </c>
      <c r="C358">
        <v>110</v>
      </c>
      <c r="D358" t="s">
        <v>2434</v>
      </c>
      <c r="E358" t="s">
        <v>2435</v>
      </c>
      <c r="F358">
        <v>1.0004999999999999</v>
      </c>
      <c r="G358">
        <v>1.0001</v>
      </c>
      <c r="H358" t="str">
        <f>IFERROR(VLOOKUP(A358,final!D:D,1,FALSE),"MISSING")</f>
        <v>MISSING</v>
      </c>
      <c r="I358">
        <f>IFERROR(VLOOKUP(A358,'From DB'!A:K,11,FALSE),"MISSING")</f>
        <v>1</v>
      </c>
      <c r="K358" t="str">
        <f t="shared" si="5"/>
        <v/>
      </c>
      <c r="L358" t="str">
        <f>VLOOKUP(A358,new_list!A:E,5,FALSE)</f>
        <v>Generator</v>
      </c>
    </row>
    <row r="359" spans="1:12">
      <c r="A359" t="s">
        <v>739</v>
      </c>
      <c r="B359" t="s">
        <v>2672</v>
      </c>
      <c r="C359">
        <v>66</v>
      </c>
      <c r="D359" t="s">
        <v>2673</v>
      </c>
      <c r="E359" t="s">
        <v>2674</v>
      </c>
      <c r="F359">
        <v>0.99729999999999996</v>
      </c>
      <c r="G359">
        <v>0.97889999999999999</v>
      </c>
      <c r="H359" t="str">
        <f>IFERROR(VLOOKUP(A359,final!D:D,1,FALSE),"MISSING")</f>
        <v>MISSING</v>
      </c>
      <c r="I359">
        <f>IFERROR(VLOOKUP(A359,'From DB'!A:K,11,FALSE),"MISSING")</f>
        <v>10</v>
      </c>
      <c r="K359" t="str">
        <f t="shared" si="5"/>
        <v/>
      </c>
      <c r="L359" t="str">
        <f>VLOOKUP(A359,new_list!A:E,5,FALSE)</f>
        <v>Generator</v>
      </c>
    </row>
    <row r="360" spans="1:12">
      <c r="A360" t="s">
        <v>741</v>
      </c>
      <c r="B360" t="s">
        <v>2675</v>
      </c>
      <c r="C360">
        <v>66</v>
      </c>
      <c r="D360" t="s">
        <v>2676</v>
      </c>
      <c r="E360" t="s">
        <v>2674</v>
      </c>
      <c r="F360">
        <v>0.99729999999999996</v>
      </c>
      <c r="G360">
        <v>0.97889999999999999</v>
      </c>
      <c r="H360" t="str">
        <f>IFERROR(VLOOKUP(A360,final!D:D,1,FALSE),"MISSING")</f>
        <v>MISSING</v>
      </c>
      <c r="I360">
        <f>IFERROR(VLOOKUP(A360,'From DB'!A:K,11,FALSE),"MISSING")</f>
        <v>6</v>
      </c>
      <c r="K360" t="str">
        <f t="shared" si="5"/>
        <v/>
      </c>
      <c r="L360" t="str">
        <f>VLOOKUP(A360,new_list!A:E,5,FALSE)</f>
        <v>Generator</v>
      </c>
    </row>
    <row r="361" spans="1:12">
      <c r="A361" t="s">
        <v>743</v>
      </c>
      <c r="B361" t="s">
        <v>2878</v>
      </c>
      <c r="C361">
        <v>66</v>
      </c>
      <c r="D361" t="s">
        <v>2879</v>
      </c>
      <c r="E361" t="s">
        <v>2880</v>
      </c>
      <c r="F361">
        <v>1.0183</v>
      </c>
      <c r="G361">
        <v>0.99029999999999996</v>
      </c>
      <c r="H361" t="str">
        <f>IFERROR(VLOOKUP(A361,final!D:D,1,FALSE),"MISSING")</f>
        <v>MISSING</v>
      </c>
      <c r="I361">
        <f>IFERROR(VLOOKUP(A361,'From DB'!A:K,11,FALSE),"MISSING")</f>
        <v>2</v>
      </c>
      <c r="K361" t="str">
        <f t="shared" si="5"/>
        <v/>
      </c>
      <c r="L361" t="str">
        <f>VLOOKUP(A361,new_list!A:E,5,FALSE)</f>
        <v>Generator</v>
      </c>
    </row>
    <row r="362" spans="1:12">
      <c r="A362" t="s">
        <v>2980</v>
      </c>
      <c r="B362" t="s">
        <v>2979</v>
      </c>
      <c r="C362">
        <v>275</v>
      </c>
      <c r="D362" t="s">
        <v>2981</v>
      </c>
      <c r="E362" t="s">
        <v>2982</v>
      </c>
      <c r="F362">
        <v>0.9798</v>
      </c>
      <c r="G362">
        <v>0.96889999999999998</v>
      </c>
      <c r="H362" t="str">
        <f>IFERROR(VLOOKUP(A362,final!D:D,1,FALSE),"MISSING")</f>
        <v>WGWF1</v>
      </c>
      <c r="I362" t="str">
        <f>IFERROR(VLOOKUP(A362,'From DB'!A:K,11,FALSE),"MISSING")</f>
        <v>MISSING</v>
      </c>
      <c r="K362" t="str">
        <f t="shared" si="5"/>
        <v/>
      </c>
      <c r="L362" t="str">
        <f>VLOOKUP(A362,new_list!A:E,5,FALSE)</f>
        <v>Generator</v>
      </c>
    </row>
    <row r="363" spans="1:12">
      <c r="A363" t="s">
        <v>465</v>
      </c>
      <c r="B363" t="s">
        <v>3071</v>
      </c>
      <c r="C363">
        <v>220</v>
      </c>
      <c r="D363" t="s">
        <v>971</v>
      </c>
      <c r="E363" t="s">
        <v>3041</v>
      </c>
      <c r="F363">
        <v>0.96860000000000002</v>
      </c>
      <c r="G363">
        <v>0.97009999999999996</v>
      </c>
      <c r="H363" t="str">
        <f>IFERROR(VLOOKUP(A363,final!D:D,1,FALSE),"MISSING")</f>
        <v>LEM_WIL</v>
      </c>
      <c r="I363">
        <f>IFERROR(VLOOKUP(A363,'From DB'!A:K,11,FALSE),"MISSING")</f>
        <v>81.599999999999994</v>
      </c>
      <c r="K363" t="str">
        <f t="shared" si="5"/>
        <v/>
      </c>
      <c r="L363" t="str">
        <f>VLOOKUP(A363,new_list!A:E,5,FALSE)</f>
        <v>Generator</v>
      </c>
    </row>
    <row r="364" spans="1:12">
      <c r="A364" t="s">
        <v>735</v>
      </c>
      <c r="B364" t="s">
        <v>736</v>
      </c>
      <c r="C364">
        <v>66</v>
      </c>
      <c r="D364" t="s">
        <v>2436</v>
      </c>
      <c r="E364" t="s">
        <v>2436</v>
      </c>
      <c r="F364">
        <v>0.97889999999999999</v>
      </c>
      <c r="G364">
        <v>0.99660000000000004</v>
      </c>
      <c r="H364" t="str">
        <f>IFERROR(VLOOKUP(A364,final!D:D,1,FALSE),"MISSING")</f>
        <v>WHILL1</v>
      </c>
      <c r="I364">
        <f>IFERROR(VLOOKUP(A364,'From DB'!A:K,11,FALSE),"MISSING")</f>
        <v>12</v>
      </c>
      <c r="K364" t="str">
        <f t="shared" si="5"/>
        <v/>
      </c>
      <c r="L364" t="str">
        <f>VLOOKUP(A364,new_list!A:E,5,FALSE)</f>
        <v>Generator</v>
      </c>
    </row>
    <row r="365" spans="1:12">
      <c r="A365" t="s">
        <v>3005</v>
      </c>
      <c r="B365" t="s">
        <v>3004</v>
      </c>
      <c r="C365">
        <v>66</v>
      </c>
      <c r="D365" t="s">
        <v>3006</v>
      </c>
      <c r="E365" t="s">
        <v>3007</v>
      </c>
      <c r="F365">
        <v>1</v>
      </c>
      <c r="G365">
        <v>1.0019</v>
      </c>
      <c r="H365" t="str">
        <f>IFERROR(VLOOKUP(A365,final!D:D,1,FALSE),"MISSING")</f>
        <v>MISSING</v>
      </c>
      <c r="I365" t="str">
        <f>IFERROR(VLOOKUP(A365,'From DB'!A:K,11,FALSE),"MISSING")</f>
        <v>MISSING</v>
      </c>
      <c r="K365" t="str">
        <f t="shared" si="5"/>
        <v>NEED TO FIND</v>
      </c>
      <c r="L365" t="str">
        <f>VLOOKUP(A365,new_list!A:E,5,FALSE)</f>
        <v>Generator</v>
      </c>
    </row>
    <row r="366" spans="1:12">
      <c r="A366" t="s">
        <v>3009</v>
      </c>
      <c r="B366" t="s">
        <v>3008</v>
      </c>
      <c r="C366">
        <v>66</v>
      </c>
      <c r="D366" t="s">
        <v>3010</v>
      </c>
      <c r="E366" t="s">
        <v>3011</v>
      </c>
      <c r="F366">
        <v>0.99980000000000002</v>
      </c>
      <c r="G366">
        <v>0.99970000000000003</v>
      </c>
      <c r="H366" t="str">
        <f>IFERROR(VLOOKUP(A366,final!D:D,1,FALSE),"MISSING")</f>
        <v>MISSING</v>
      </c>
      <c r="I366" t="str">
        <f>IFERROR(VLOOKUP(A366,'From DB'!A:K,11,FALSE),"MISSING")</f>
        <v>MISSING</v>
      </c>
      <c r="K366" t="str">
        <f t="shared" si="5"/>
        <v>NEED TO FIND</v>
      </c>
      <c r="L366" t="str">
        <f>VLOOKUP(A366,new_list!A:E,5,FALSE)</f>
        <v>Generator</v>
      </c>
    </row>
    <row r="367" spans="1:12">
      <c r="A367" t="s">
        <v>721</v>
      </c>
      <c r="B367" t="s">
        <v>2344</v>
      </c>
      <c r="C367">
        <v>275</v>
      </c>
      <c r="D367" t="s">
        <v>1399</v>
      </c>
      <c r="E367" t="s">
        <v>2345</v>
      </c>
      <c r="F367">
        <v>0.99280000000000002</v>
      </c>
      <c r="G367">
        <v>0.99390000000000001</v>
      </c>
      <c r="H367" t="str">
        <f>IFERROR(VLOOKUP(A367,final!D:D,1,FALSE),"MISSING")</f>
        <v>W/HOE#1</v>
      </c>
      <c r="I367">
        <f>IFERROR(VLOOKUP(A367,'From DB'!A:K,11,FALSE),"MISSING")</f>
        <v>250</v>
      </c>
      <c r="K367" t="str">
        <f t="shared" si="5"/>
        <v/>
      </c>
      <c r="L367" t="str">
        <f>VLOOKUP(A367,new_list!A:E,5,FALSE)</f>
        <v>Generator</v>
      </c>
    </row>
    <row r="368" spans="1:12">
      <c r="A368" t="s">
        <v>724</v>
      </c>
      <c r="B368" t="s">
        <v>2346</v>
      </c>
      <c r="C368">
        <v>275</v>
      </c>
      <c r="D368" t="s">
        <v>1402</v>
      </c>
      <c r="E368" t="s">
        <v>2345</v>
      </c>
      <c r="F368">
        <v>0.99280000000000002</v>
      </c>
      <c r="G368">
        <v>0.99390000000000001</v>
      </c>
      <c r="H368" t="str">
        <f>IFERROR(VLOOKUP(A368,final!D:D,1,FALSE),"MISSING")</f>
        <v>W/HOE#2</v>
      </c>
      <c r="I368">
        <f>IFERROR(VLOOKUP(A368,'From DB'!A:K,11,FALSE),"MISSING")</f>
        <v>250</v>
      </c>
      <c r="K368" t="str">
        <f t="shared" ref="K368:K389" si="6">IF(AND(H368="MISSING",OR(I368="MISSING",I368&gt;10),J368=""),"NEED TO FIND","")</f>
        <v/>
      </c>
      <c r="L368" t="str">
        <f>VLOOKUP(A368,new_list!A:E,5,FALSE)</f>
        <v>Generator</v>
      </c>
    </row>
    <row r="369" spans="1:12">
      <c r="A369" t="s">
        <v>585</v>
      </c>
      <c r="B369" t="s">
        <v>2347</v>
      </c>
      <c r="C369">
        <v>275</v>
      </c>
      <c r="D369" t="s">
        <v>2348</v>
      </c>
      <c r="E369" t="s">
        <v>2349</v>
      </c>
      <c r="F369">
        <v>0.99709999999999999</v>
      </c>
      <c r="G369">
        <v>0.99739999999999995</v>
      </c>
      <c r="H369" t="str">
        <f>IFERROR(VLOOKUP(A369,final!D:D,1,FALSE),"MISSING")</f>
        <v>MISSING</v>
      </c>
      <c r="I369">
        <f>IFERROR(VLOOKUP(A369,'From DB'!A:K,11,FALSE),"MISSING")</f>
        <v>240</v>
      </c>
      <c r="K369" t="str">
        <f t="shared" si="6"/>
        <v>NEED TO FIND</v>
      </c>
      <c r="L369" t="str">
        <f>VLOOKUP(A369,new_list!A:E,5,FALSE)</f>
        <v>Load</v>
      </c>
    </row>
    <row r="370" spans="1:12">
      <c r="A370" t="s">
        <v>588</v>
      </c>
      <c r="B370" t="s">
        <v>2350</v>
      </c>
      <c r="C370">
        <v>275</v>
      </c>
      <c r="D370" t="s">
        <v>2351</v>
      </c>
      <c r="E370" t="s">
        <v>2349</v>
      </c>
      <c r="F370">
        <v>0.99709999999999999</v>
      </c>
      <c r="G370">
        <v>0.99739999999999995</v>
      </c>
      <c r="H370" t="str">
        <f>IFERROR(VLOOKUP(A370,final!D:D,1,FALSE),"MISSING")</f>
        <v>MISSING</v>
      </c>
      <c r="I370">
        <f>IFERROR(VLOOKUP(A370,'From DB'!A:K,11,FALSE),"MISSING")</f>
        <v>240</v>
      </c>
      <c r="K370" t="str">
        <f t="shared" si="6"/>
        <v>NEED TO FIND</v>
      </c>
      <c r="L370" t="str">
        <f>VLOOKUP(A370,new_list!A:E,5,FALSE)</f>
        <v>Load</v>
      </c>
    </row>
    <row r="371" spans="1:12">
      <c r="A371" t="s">
        <v>2438</v>
      </c>
      <c r="B371" t="s">
        <v>2437</v>
      </c>
      <c r="C371">
        <v>110</v>
      </c>
      <c r="D371" t="s">
        <v>2439</v>
      </c>
      <c r="E371" t="s">
        <v>2440</v>
      </c>
      <c r="F371">
        <v>1.0043</v>
      </c>
      <c r="G371">
        <v>0.99680000000000002</v>
      </c>
      <c r="H371" t="str">
        <f>IFERROR(VLOOKUP(A371,final!D:D,1,FALSE),"MISSING")</f>
        <v>MISSING</v>
      </c>
      <c r="I371" t="str">
        <f>IFERROR(VLOOKUP(A371,'From DB'!A:K,11,FALSE),"MISSING")</f>
        <v>MISSING</v>
      </c>
      <c r="K371" t="str">
        <f t="shared" si="6"/>
        <v>NEED TO FIND</v>
      </c>
      <c r="L371" t="str">
        <f>VLOOKUP(A371,new_list!A:E,5,FALSE)</f>
        <v>Generator</v>
      </c>
    </row>
    <row r="372" spans="1:12">
      <c r="A372" t="s">
        <v>752</v>
      </c>
      <c r="B372" t="s">
        <v>753</v>
      </c>
      <c r="C372">
        <v>66</v>
      </c>
      <c r="D372" t="s">
        <v>2881</v>
      </c>
      <c r="E372" t="s">
        <v>2837</v>
      </c>
      <c r="F372">
        <v>0.99390000000000001</v>
      </c>
      <c r="G372">
        <v>0.99790000000000001</v>
      </c>
      <c r="H372" t="str">
        <f>IFERROR(VLOOKUP(A372,final!D:D,1,FALSE),"MISSING")</f>
        <v>MISSING</v>
      </c>
      <c r="I372">
        <f>IFERROR(VLOOKUP(A372,'From DB'!A:K,11,FALSE),"MISSING")</f>
        <v>6.7380000000000004</v>
      </c>
      <c r="K372" t="str">
        <f t="shared" si="6"/>
        <v/>
      </c>
      <c r="L372" t="str">
        <f>VLOOKUP(A372,new_list!A:E,5,FALSE)</f>
        <v>Generator</v>
      </c>
    </row>
    <row r="373" spans="1:12">
      <c r="A373" t="s">
        <v>754</v>
      </c>
      <c r="B373" t="s">
        <v>755</v>
      </c>
      <c r="C373">
        <v>66</v>
      </c>
      <c r="D373" t="s">
        <v>2882</v>
      </c>
      <c r="E373" t="s">
        <v>2816</v>
      </c>
      <c r="F373">
        <v>0.99470000000000003</v>
      </c>
      <c r="G373">
        <v>0.9879</v>
      </c>
      <c r="H373" t="str">
        <f>IFERROR(VLOOKUP(A373,final!D:D,1,FALSE),"MISSING")</f>
        <v>WONWP</v>
      </c>
      <c r="I373">
        <f>IFERROR(VLOOKUP(A373,'From DB'!A:K,11,FALSE),"MISSING")</f>
        <v>12</v>
      </c>
      <c r="K373" t="str">
        <f t="shared" si="6"/>
        <v/>
      </c>
      <c r="L373" t="str">
        <f>VLOOKUP(A373,new_list!A:E,5,FALSE)</f>
        <v>Generator</v>
      </c>
    </row>
    <row r="374" spans="1:12">
      <c r="A374" t="s">
        <v>729</v>
      </c>
      <c r="B374" t="s">
        <v>2677</v>
      </c>
      <c r="C374">
        <v>132</v>
      </c>
      <c r="D374" t="s">
        <v>2678</v>
      </c>
      <c r="E374" t="s">
        <v>2658</v>
      </c>
      <c r="F374">
        <v>1.0119</v>
      </c>
      <c r="G374">
        <v>0.99770000000000003</v>
      </c>
      <c r="H374" t="str">
        <f>IFERROR(VLOOKUP(A374,final!D:D,1,FALSE),"MISSING")</f>
        <v>MISSING</v>
      </c>
      <c r="I374">
        <f>IFERROR(VLOOKUP(A374,'From DB'!A:K,11,FALSE),"MISSING")</f>
        <v>7</v>
      </c>
      <c r="K374" t="str">
        <f t="shared" si="6"/>
        <v/>
      </c>
      <c r="L374" t="str">
        <f>VLOOKUP(A374,new_list!A:E,5,FALSE)</f>
        <v>Generator</v>
      </c>
    </row>
    <row r="375" spans="1:12">
      <c r="A375" t="s">
        <v>756</v>
      </c>
      <c r="B375" t="s">
        <v>757</v>
      </c>
      <c r="C375">
        <v>330</v>
      </c>
      <c r="D375" t="s">
        <v>1239</v>
      </c>
      <c r="E375" t="s">
        <v>2462</v>
      </c>
      <c r="F375">
        <v>0.97419999999999995</v>
      </c>
      <c r="G375">
        <v>1.01</v>
      </c>
      <c r="H375" t="str">
        <f>IFERROR(VLOOKUP(A375,final!D:D,1,FALSE),"MISSING")</f>
        <v>WOODLWN1</v>
      </c>
      <c r="I375">
        <f>IFERROR(VLOOKUP(A375,'From DB'!A:K,11,FALSE),"MISSING")</f>
        <v>48</v>
      </c>
      <c r="K375" t="str">
        <f t="shared" si="6"/>
        <v/>
      </c>
      <c r="L375" t="str">
        <f>VLOOKUP(A375,new_list!A:E,5,FALSE)</f>
        <v>Generator</v>
      </c>
    </row>
    <row r="376" spans="1:12">
      <c r="A376" t="s">
        <v>760</v>
      </c>
      <c r="B376" t="s">
        <v>2679</v>
      </c>
      <c r="C376">
        <v>66</v>
      </c>
      <c r="D376" t="s">
        <v>2680</v>
      </c>
      <c r="E376" t="s">
        <v>2619</v>
      </c>
      <c r="F376">
        <v>1.0025999999999999</v>
      </c>
      <c r="G376">
        <v>1.0011000000000001</v>
      </c>
      <c r="H376" t="str">
        <f>IFERROR(VLOOKUP(A376,final!D:D,1,FALSE),"MISSING")</f>
        <v>MISSING</v>
      </c>
      <c r="I376">
        <f>IFERROR(VLOOKUP(A376,'From DB'!A:K,11,FALSE),"MISSING")</f>
        <v>1.0640000000000001</v>
      </c>
      <c r="K376" t="str">
        <f t="shared" si="6"/>
        <v/>
      </c>
      <c r="L376" t="str">
        <f>VLOOKUP(A376,new_list!A:E,5,FALSE)</f>
        <v>Generator</v>
      </c>
    </row>
    <row r="377" spans="1:12">
      <c r="A377" t="s">
        <v>764</v>
      </c>
      <c r="B377" t="s">
        <v>2681</v>
      </c>
      <c r="C377">
        <v>66</v>
      </c>
      <c r="D377" t="s">
        <v>2682</v>
      </c>
      <c r="E377" t="s">
        <v>2683</v>
      </c>
      <c r="F377">
        <v>1.0357000000000001</v>
      </c>
      <c r="G377">
        <v>1.0410999999999999</v>
      </c>
      <c r="H377" t="str">
        <f>IFERROR(VLOOKUP(A377,final!D:D,1,FALSE),"MISSING")</f>
        <v>WYANGALA</v>
      </c>
      <c r="I377">
        <f>IFERROR(VLOOKUP(A377,'From DB'!A:K,11,FALSE),"MISSING")</f>
        <v>20</v>
      </c>
      <c r="K377" t="str">
        <f t="shared" si="6"/>
        <v/>
      </c>
      <c r="L377" t="str">
        <f>VLOOKUP(A377,new_list!A:E,5,FALSE)</f>
        <v>Generator</v>
      </c>
    </row>
    <row r="378" spans="1:12">
      <c r="A378" t="s">
        <v>766</v>
      </c>
      <c r="B378" t="s">
        <v>2684</v>
      </c>
      <c r="C378">
        <v>66</v>
      </c>
      <c r="D378" t="s">
        <v>2685</v>
      </c>
      <c r="E378" t="s">
        <v>2683</v>
      </c>
      <c r="F378">
        <v>1.0357000000000001</v>
      </c>
      <c r="G378">
        <v>1.0410999999999999</v>
      </c>
      <c r="H378" t="str">
        <f>IFERROR(VLOOKUP(A378,final!D:D,1,FALSE),"MISSING")</f>
        <v>MISSING</v>
      </c>
      <c r="I378">
        <f>IFERROR(VLOOKUP(A378,'From DB'!A:K,11,FALSE),"MISSING")</f>
        <v>4</v>
      </c>
      <c r="K378" t="str">
        <f t="shared" si="6"/>
        <v/>
      </c>
      <c r="L378" t="str">
        <f>VLOOKUP(A378,new_list!A:E,5,FALSE)</f>
        <v>Generator</v>
      </c>
    </row>
    <row r="379" spans="1:12">
      <c r="A379" t="s">
        <v>770</v>
      </c>
      <c r="B379" t="s">
        <v>2352</v>
      </c>
      <c r="C379">
        <v>132</v>
      </c>
      <c r="D379" t="s">
        <v>1308</v>
      </c>
      <c r="E379" t="s">
        <v>1308</v>
      </c>
      <c r="F379">
        <v>0.91900000000000004</v>
      </c>
      <c r="G379">
        <v>0.93459999999999999</v>
      </c>
      <c r="H379" t="str">
        <f>IFERROR(VLOOKUP(A379,final!D:D,1,FALSE),"MISSING")</f>
        <v>YABULU</v>
      </c>
      <c r="I379">
        <f>IFERROR(VLOOKUP(A379,'From DB'!A:K,11,FALSE),"MISSING")</f>
        <v>160</v>
      </c>
      <c r="K379" t="str">
        <f t="shared" si="6"/>
        <v/>
      </c>
      <c r="L379" t="str">
        <f>VLOOKUP(A379,new_list!A:E,5,FALSE)</f>
        <v>Generator</v>
      </c>
    </row>
    <row r="380" spans="1:12">
      <c r="A380" t="s">
        <v>772</v>
      </c>
      <c r="B380" t="s">
        <v>2441</v>
      </c>
      <c r="C380">
        <v>66</v>
      </c>
      <c r="D380" t="s">
        <v>1310</v>
      </c>
      <c r="E380" t="s">
        <v>2442</v>
      </c>
      <c r="F380">
        <v>0.95740000000000003</v>
      </c>
      <c r="G380">
        <v>0.94950000000000001</v>
      </c>
      <c r="H380" t="str">
        <f>IFERROR(VLOOKUP(A380,final!D:D,1,FALSE),"MISSING")</f>
        <v>YABULU2</v>
      </c>
      <c r="I380">
        <f>IFERROR(VLOOKUP(A380,'From DB'!A:K,11,FALSE),"MISSING")</f>
        <v>82</v>
      </c>
      <c r="K380" t="str">
        <f t="shared" si="6"/>
        <v/>
      </c>
      <c r="L380" t="str">
        <f>VLOOKUP(A380,new_list!A:E,5,FALSE)</f>
        <v>Generator</v>
      </c>
    </row>
    <row r="381" spans="1:12">
      <c r="A381" t="s">
        <v>777</v>
      </c>
      <c r="B381" t="s">
        <v>2805</v>
      </c>
      <c r="C381">
        <v>220</v>
      </c>
      <c r="D381" t="s">
        <v>1109</v>
      </c>
      <c r="E381" t="s">
        <v>2806</v>
      </c>
      <c r="F381">
        <v>0.96579999999999999</v>
      </c>
      <c r="G381">
        <v>0.96960000000000002</v>
      </c>
      <c r="H381" t="str">
        <f>IFERROR(VLOOKUP(A381,final!D:D,1,FALSE),"MISSING")</f>
        <v>YWPS1</v>
      </c>
      <c r="I381">
        <f>IFERROR(VLOOKUP(A381,'From DB'!A:K,11,FALSE),"MISSING")</f>
        <v>360</v>
      </c>
      <c r="K381" t="str">
        <f t="shared" si="6"/>
        <v/>
      </c>
      <c r="L381" t="str">
        <f>VLOOKUP(A381,new_list!A:E,5,FALSE)</f>
        <v>Generator</v>
      </c>
    </row>
    <row r="382" spans="1:12">
      <c r="A382" t="s">
        <v>779</v>
      </c>
      <c r="B382" t="s">
        <v>2807</v>
      </c>
      <c r="C382">
        <v>220</v>
      </c>
      <c r="D382" t="s">
        <v>1111</v>
      </c>
      <c r="E382" t="s">
        <v>2804</v>
      </c>
      <c r="F382">
        <v>0.95350000000000001</v>
      </c>
      <c r="G382">
        <v>0.95730000000000004</v>
      </c>
      <c r="H382" t="str">
        <f>IFERROR(VLOOKUP(A382,final!D:D,1,FALSE),"MISSING")</f>
        <v>YWPS2</v>
      </c>
      <c r="I382">
        <f>IFERROR(VLOOKUP(A382,'From DB'!A:K,11,FALSE),"MISSING")</f>
        <v>360</v>
      </c>
      <c r="K382" t="str">
        <f t="shared" si="6"/>
        <v/>
      </c>
      <c r="L382" t="str">
        <f>VLOOKUP(A382,new_list!A:E,5,FALSE)</f>
        <v>Generator</v>
      </c>
    </row>
    <row r="383" spans="1:12">
      <c r="A383" t="s">
        <v>780</v>
      </c>
      <c r="B383" t="s">
        <v>2808</v>
      </c>
      <c r="C383">
        <v>220</v>
      </c>
      <c r="D383" t="s">
        <v>1112</v>
      </c>
      <c r="E383" t="s">
        <v>2804</v>
      </c>
      <c r="F383">
        <v>0.95350000000000001</v>
      </c>
      <c r="G383">
        <v>0.95730000000000004</v>
      </c>
      <c r="H383" t="str">
        <f>IFERROR(VLOOKUP(A383,final!D:D,1,FALSE),"MISSING")</f>
        <v>YWPS3</v>
      </c>
      <c r="I383">
        <f>IFERROR(VLOOKUP(A383,'From DB'!A:K,11,FALSE),"MISSING")</f>
        <v>380</v>
      </c>
      <c r="K383" t="str">
        <f t="shared" si="6"/>
        <v/>
      </c>
      <c r="L383" t="str">
        <f>VLOOKUP(A383,new_list!A:E,5,FALSE)</f>
        <v>Generator</v>
      </c>
    </row>
    <row r="384" spans="1:12">
      <c r="A384" t="s">
        <v>781</v>
      </c>
      <c r="B384" t="s">
        <v>2809</v>
      </c>
      <c r="C384">
        <v>220</v>
      </c>
      <c r="D384" t="s">
        <v>1113</v>
      </c>
      <c r="E384" t="s">
        <v>2804</v>
      </c>
      <c r="F384">
        <v>0.95350000000000001</v>
      </c>
      <c r="G384">
        <v>0.95730000000000004</v>
      </c>
      <c r="H384" t="str">
        <f>IFERROR(VLOOKUP(A384,final!D:D,1,FALSE),"MISSING")</f>
        <v>YWPS4</v>
      </c>
      <c r="I384">
        <f>IFERROR(VLOOKUP(A384,'From DB'!A:K,11,FALSE),"MISSING")</f>
        <v>380</v>
      </c>
      <c r="K384" t="str">
        <f t="shared" si="6"/>
        <v/>
      </c>
      <c r="L384" t="str">
        <f>VLOOKUP(A384,new_list!A:E,5,FALSE)</f>
        <v>Generator</v>
      </c>
    </row>
    <row r="385" spans="1:12">
      <c r="A385" t="s">
        <v>2811</v>
      </c>
      <c r="B385" t="s">
        <v>2810</v>
      </c>
      <c r="C385">
        <v>66</v>
      </c>
      <c r="D385" t="s">
        <v>2812</v>
      </c>
      <c r="E385" t="s">
        <v>2813</v>
      </c>
      <c r="F385">
        <v>0.97</v>
      </c>
      <c r="G385">
        <v>1.0016</v>
      </c>
      <c r="H385" t="str">
        <f>IFERROR(VLOOKUP(A385,final!D:D,1,FALSE),"MISSING")</f>
        <v>YSWF1</v>
      </c>
      <c r="I385" t="str">
        <f>IFERROR(VLOOKUP(A385,'From DB'!A:K,11,FALSE),"MISSING")</f>
        <v>MISSING</v>
      </c>
      <c r="K385" t="str">
        <f t="shared" si="6"/>
        <v/>
      </c>
      <c r="L385" t="str">
        <f>VLOOKUP(A385,new_list!A:E,5,FALSE)</f>
        <v>Generator</v>
      </c>
    </row>
    <row r="386" spans="1:12">
      <c r="A386" t="s">
        <v>773</v>
      </c>
      <c r="B386" t="s">
        <v>2883</v>
      </c>
      <c r="C386">
        <v>66</v>
      </c>
      <c r="D386" t="s">
        <v>1159</v>
      </c>
      <c r="E386" t="s">
        <v>2781</v>
      </c>
      <c r="F386">
        <v>0.99909999999999999</v>
      </c>
      <c r="G386">
        <v>1.0148999999999999</v>
      </c>
      <c r="H386" t="str">
        <f>IFERROR(VLOOKUP(A386,final!D:D,1,FALSE),"MISSING")</f>
        <v>YAMBUKWF</v>
      </c>
      <c r="I386">
        <f>IFERROR(VLOOKUP(A386,'From DB'!A:K,11,FALSE),"MISSING")</f>
        <v>30</v>
      </c>
      <c r="K386" t="str">
        <f t="shared" si="6"/>
        <v/>
      </c>
      <c r="L386" t="str">
        <f>VLOOKUP(A386,new_list!A:E,5,FALSE)</f>
        <v>Generator</v>
      </c>
    </row>
    <row r="387" spans="1:12">
      <c r="A387" t="s">
        <v>2885</v>
      </c>
      <c r="B387" t="s">
        <v>2884</v>
      </c>
      <c r="C387">
        <v>66</v>
      </c>
      <c r="D387" t="s">
        <v>2886</v>
      </c>
      <c r="E387" t="s">
        <v>2870</v>
      </c>
      <c r="F387">
        <v>1.0150999999999999</v>
      </c>
      <c r="G387">
        <v>1.0002</v>
      </c>
      <c r="H387" t="str">
        <f>IFERROR(VLOOKUP(A387,final!D:D,1,FALSE),"MISSING")</f>
        <v>MISSING</v>
      </c>
      <c r="I387" t="str">
        <f>IFERROR(VLOOKUP(A387,'From DB'!A:K,11,FALSE),"MISSING")</f>
        <v>MISSING</v>
      </c>
      <c r="K387" t="str">
        <f t="shared" si="6"/>
        <v>NEED TO FIND</v>
      </c>
      <c r="L387" t="str">
        <f>VLOOKUP(A387,new_list!A:E,5,FALSE)</f>
        <v>Generator</v>
      </c>
    </row>
    <row r="388" spans="1:12">
      <c r="A388" t="s">
        <v>775</v>
      </c>
      <c r="B388" t="s">
        <v>135</v>
      </c>
      <c r="C388">
        <v>132</v>
      </c>
      <c r="D388" t="s">
        <v>1334</v>
      </c>
      <c r="E388" t="s">
        <v>2353</v>
      </c>
      <c r="F388">
        <v>0.91849999999999998</v>
      </c>
      <c r="G388">
        <v>0.92449999999999999</v>
      </c>
      <c r="H388" t="str">
        <f>IFERROR(VLOOKUP(A388,final!D:D,1,FALSE),"MISSING")</f>
        <v>YARWUN_1</v>
      </c>
      <c r="I388">
        <f>IFERROR(VLOOKUP(A388,'From DB'!A:K,11,FALSE),"MISSING")</f>
        <v>154</v>
      </c>
      <c r="K388" t="str">
        <f t="shared" si="6"/>
        <v/>
      </c>
      <c r="L388" t="str">
        <f>VLOOKUP(A388,new_list!A:E,5,FALSE)</f>
        <v>Generator</v>
      </c>
    </row>
    <row r="389" spans="1:12">
      <c r="A389" t="s">
        <v>2888</v>
      </c>
      <c r="B389" t="s">
        <v>2887</v>
      </c>
      <c r="C389">
        <v>66</v>
      </c>
      <c r="D389" t="s">
        <v>2889</v>
      </c>
      <c r="E389" t="s">
        <v>2712</v>
      </c>
      <c r="F389">
        <v>0.99790000000000001</v>
      </c>
      <c r="G389">
        <v>1.0136000000000001</v>
      </c>
      <c r="H389" t="str">
        <f>IFERROR(VLOOKUP(A389,final!D:D,1,FALSE),"MISSING")</f>
        <v>MISSING</v>
      </c>
      <c r="I389" t="str">
        <f>IFERROR(VLOOKUP(A389,'From DB'!A:K,11,FALSE),"MISSING")</f>
        <v>MISSING</v>
      </c>
      <c r="K389" t="str">
        <f t="shared" si="6"/>
        <v>NEED TO FIND</v>
      </c>
      <c r="L389" t="str">
        <f>VLOOKUP(A389,new_list!A:E,5,FALSE)</f>
        <v>Generator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2:F22"/>
  <sheetViews>
    <sheetView workbookViewId="0">
      <selection activeCell="F26" sqref="F26"/>
    </sheetView>
  </sheetViews>
  <sheetFormatPr baseColWidth="10" defaultRowHeight="15" x14ac:dyDescent="0"/>
  <cols>
    <col min="4" max="4" width="27.1640625" bestFit="1" customWidth="1"/>
  </cols>
  <sheetData>
    <row r="2" spans="1:6">
      <c r="A2" t="s">
        <v>194</v>
      </c>
      <c r="B2" t="s">
        <v>193</v>
      </c>
      <c r="D2" t="s">
        <v>4541</v>
      </c>
      <c r="E2" t="s">
        <v>4628</v>
      </c>
      <c r="F2" t="str">
        <f>VLOOKUP(E2,MLF_WA!B:F,5,FALSE)</f>
        <v>WALB</v>
      </c>
    </row>
    <row r="3" spans="1:6">
      <c r="A3" t="s">
        <v>198</v>
      </c>
      <c r="B3" t="s">
        <v>198</v>
      </c>
      <c r="D3" t="s">
        <v>4525</v>
      </c>
      <c r="E3" t="s">
        <v>4861</v>
      </c>
      <c r="F3" t="str">
        <f>VLOOKUP(E3,MLF_WA!B:F,5,FALSE)</f>
        <v>WPNJ</v>
      </c>
    </row>
    <row r="4" spans="1:6">
      <c r="A4" t="s">
        <v>188</v>
      </c>
      <c r="B4" t="s">
        <v>188</v>
      </c>
      <c r="D4" t="s">
        <v>4528</v>
      </c>
      <c r="E4" t="s">
        <v>4908</v>
      </c>
      <c r="F4" t="str">
        <f>VLOOKUP(E4,MLF_WA!B:F,5,FALSE)</f>
        <v>WWGP</v>
      </c>
    </row>
    <row r="5" spans="1:6">
      <c r="A5" t="s">
        <v>171</v>
      </c>
      <c r="B5" t="s">
        <v>170</v>
      </c>
      <c r="D5" t="s">
        <v>4428</v>
      </c>
      <c r="E5" t="s">
        <v>4924</v>
      </c>
      <c r="F5" t="str">
        <f>VLOOKUP(E5,MLF_WA!B:F,5,FALSE)</f>
        <v>WWWF</v>
      </c>
    </row>
    <row r="6" spans="1:6">
      <c r="A6" t="s">
        <v>211</v>
      </c>
      <c r="B6" t="s">
        <v>210</v>
      </c>
      <c r="D6" t="s">
        <v>4534</v>
      </c>
      <c r="E6" t="s">
        <v>4577</v>
      </c>
      <c r="F6" t="str">
        <f>VLOOKUP(E6,MLF_WA!B:F,5,FALSE)</f>
        <v>TBLB</v>
      </c>
    </row>
    <row r="7" spans="1:6">
      <c r="A7" t="s">
        <v>280</v>
      </c>
      <c r="B7" t="s">
        <v>193</v>
      </c>
      <c r="D7" t="s">
        <v>4538</v>
      </c>
      <c r="E7" t="s">
        <v>4776</v>
      </c>
      <c r="F7" t="str">
        <f>VLOOKUP(E7,MLF_WA!B:F,5,FALSE)</f>
        <v>WKPS</v>
      </c>
    </row>
    <row r="8" spans="1:6">
      <c r="A8" t="s">
        <v>411</v>
      </c>
      <c r="B8" t="s">
        <v>170</v>
      </c>
      <c r="D8" t="s">
        <v>4540</v>
      </c>
      <c r="E8" t="s">
        <v>4703</v>
      </c>
      <c r="F8" t="str">
        <f>VLOOKUP(E8,MLF_WA!B:F,5,FALSE)</f>
        <v>WCPS</v>
      </c>
    </row>
    <row r="9" spans="1:6">
      <c r="A9" t="s">
        <v>219</v>
      </c>
      <c r="B9" t="s">
        <v>219</v>
      </c>
      <c r="D9" t="s">
        <v>4444</v>
      </c>
      <c r="E9" t="s">
        <v>4719</v>
      </c>
      <c r="F9" t="str">
        <f>VLOOKUP(E9,MLF_WA!B:F,5,FALSE)</f>
        <v>WEMD</v>
      </c>
    </row>
    <row r="10" spans="1:6">
      <c r="A10" t="s">
        <v>287</v>
      </c>
      <c r="B10" t="s">
        <v>286</v>
      </c>
      <c r="D10" t="s">
        <v>4449</v>
      </c>
      <c r="E10" t="s">
        <v>4687</v>
      </c>
      <c r="F10" t="str">
        <f>VLOOKUP(E10,MLF_WA!B:F,5,FALSE)</f>
        <v>WCGW</v>
      </c>
    </row>
    <row r="11" spans="1:6">
      <c r="A11" t="s">
        <v>257</v>
      </c>
      <c r="B11" t="s">
        <v>170</v>
      </c>
      <c r="D11" t="s">
        <v>4544</v>
      </c>
      <c r="E11" t="s">
        <v>4764</v>
      </c>
      <c r="F11" t="str">
        <f>VLOOKUP(E11,MLF_WA!B:F,5,FALSE)</f>
        <v>WKEM</v>
      </c>
    </row>
    <row r="12" spans="1:6">
      <c r="A12" t="s">
        <v>178</v>
      </c>
      <c r="B12" t="s">
        <v>170</v>
      </c>
      <c r="D12" t="s">
        <v>4547</v>
      </c>
      <c r="E12" t="s">
        <v>4776</v>
      </c>
      <c r="F12" t="str">
        <f>VLOOKUP(E12,MLF_WA!B:F,5,FALSE)</f>
        <v>WKPS</v>
      </c>
    </row>
    <row r="13" spans="1:6">
      <c r="A13" t="s">
        <v>3348</v>
      </c>
      <c r="B13" t="s">
        <v>170</v>
      </c>
      <c r="D13" t="s">
        <v>4553</v>
      </c>
      <c r="E13" t="s">
        <v>4810</v>
      </c>
      <c r="F13" t="str">
        <f>VLOOKUP(E13,MLF_WA!B:F,5,FALSE)</f>
        <v>WMPS</v>
      </c>
    </row>
    <row r="14" spans="1:6">
      <c r="A14" t="s">
        <v>3414</v>
      </c>
      <c r="B14" t="s">
        <v>3414</v>
      </c>
      <c r="D14" t="s">
        <v>4556</v>
      </c>
      <c r="E14" t="s">
        <v>4794</v>
      </c>
      <c r="F14" t="str">
        <f>VLOOKUP(E14,MLF_WA!B:F,5,FALSE)</f>
        <v>WMGA</v>
      </c>
    </row>
    <row r="15" spans="1:6">
      <c r="A15" t="s">
        <v>3325</v>
      </c>
      <c r="B15" t="s">
        <v>219</v>
      </c>
      <c r="D15" t="s">
        <v>4478</v>
      </c>
      <c r="E15" t="s">
        <v>4478</v>
      </c>
      <c r="F15" t="str">
        <f>VLOOKUP(E15,MLF_WA!B:F,5,FALSE)</f>
        <v>TMBA</v>
      </c>
    </row>
    <row r="16" spans="1:6">
      <c r="A16" t="s">
        <v>170</v>
      </c>
      <c r="B16" t="s">
        <v>170</v>
      </c>
      <c r="D16" t="s">
        <v>4481</v>
      </c>
      <c r="E16" t="s">
        <v>4606</v>
      </c>
      <c r="F16" t="str">
        <f>VLOOKUP(E16,MLF_WA!B:F,5,FALSE)</f>
        <v>TMDP</v>
      </c>
    </row>
    <row r="17" spans="1:6">
      <c r="A17" t="s">
        <v>193</v>
      </c>
      <c r="B17" t="s">
        <v>193</v>
      </c>
      <c r="D17" t="s">
        <v>4549</v>
      </c>
      <c r="E17" t="s">
        <v>4581</v>
      </c>
      <c r="F17" t="str">
        <f>VLOOKUP(E17,MLF_WA!B:F,5,FALSE)</f>
        <v>WNGK</v>
      </c>
    </row>
    <row r="18" spans="1:6">
      <c r="A18" t="s">
        <v>4423</v>
      </c>
      <c r="B18" t="s">
        <v>188</v>
      </c>
      <c r="D18" t="s">
        <v>4560</v>
      </c>
      <c r="E18" t="s">
        <v>4733</v>
      </c>
      <c r="F18" t="str">
        <f>VLOOKUP(E18,MLF_WA!B:F,5,FALSE)</f>
        <v>WGNN</v>
      </c>
    </row>
    <row r="19" spans="1:6">
      <c r="D19" t="s">
        <v>4563</v>
      </c>
      <c r="E19" t="s">
        <v>4855</v>
      </c>
      <c r="F19" t="str">
        <f>VLOOKUP(E19,MLF_WA!B:F,5,FALSE)</f>
        <v>WPJR</v>
      </c>
    </row>
    <row r="20" spans="1:6">
      <c r="D20" t="s">
        <v>4565</v>
      </c>
      <c r="E20" t="s">
        <v>4857</v>
      </c>
      <c r="F20" t="str">
        <f>VLOOKUP(E20,MLF_WA!B:F,5,FALSE)</f>
        <v>WPKS</v>
      </c>
    </row>
    <row r="21" spans="1:6">
      <c r="D21" t="s">
        <v>4568</v>
      </c>
      <c r="E21" t="s">
        <v>4910</v>
      </c>
      <c r="F21" t="str">
        <f>VLOOKUP(E21,MLF_WA!B:F,5,FALSE)</f>
        <v>WWKT</v>
      </c>
    </row>
    <row r="22" spans="1:6">
      <c r="D22" t="s">
        <v>4430</v>
      </c>
      <c r="E22" t="s">
        <v>4430</v>
      </c>
      <c r="F22" t="str">
        <f>VLOOKUP(E22,MLF_WA!B:F,5,FALSE)</f>
        <v>WBWF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csv import</vt:lpstr>
      <vt:lpstr>From DB</vt:lpstr>
      <vt:lpstr>new_list</vt:lpstr>
      <vt:lpstr>wa_2</vt:lpstr>
      <vt:lpstr>final</vt:lpstr>
      <vt:lpstr>format</vt:lpstr>
      <vt:lpstr>MLF_WA</vt:lpstr>
      <vt:lpstr>MLF12</vt:lpstr>
      <vt:lpstr>MLF14</vt:lpstr>
      <vt:lpstr>MLF16</vt:lpstr>
      <vt:lpstr>MLF18</vt:lpstr>
      <vt:lpstr>MLF20</vt:lpstr>
      <vt:lpstr>ref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Sam</cp:lastModifiedBy>
  <dcterms:created xsi:type="dcterms:W3CDTF">2019-04-14T02:44:50Z</dcterms:created>
  <dcterms:modified xsi:type="dcterms:W3CDTF">2019-04-16T07:52:21Z</dcterms:modified>
</cp:coreProperties>
</file>